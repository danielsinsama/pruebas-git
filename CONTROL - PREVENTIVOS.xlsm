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UAN RAMIREZ\Pictures\"/>
    </mc:Choice>
  </mc:AlternateContent>
  <xr:revisionPtr revIDLastSave="0" documentId="13_ncr:1_{F388C8A6-EC78-4F88-BACD-59E8F1840150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MP-PROGR" sheetId="17" r:id="rId1"/>
    <sheet name="MP-CIERRE AVISOS" sheetId="27" r:id="rId2"/>
    <sheet name="COSTO MATERIAL" sheetId="30" r:id="rId3"/>
    <sheet name="DB-EQUIPOS GEN" sheetId="16" r:id="rId4"/>
    <sheet name="LISTAS" sheetId="12" state="hidden" r:id="rId5"/>
  </sheets>
  <functionGroups builtInGroupCount="19"/>
  <definedNames>
    <definedName name="_xlnm._FilterDatabase" localSheetId="0" hidden="1">'MP-PROGR'!$D$1:$O$1278</definedName>
    <definedName name="_xlnm.Print_Area" localSheetId="0">'MP-PROGR'!$A$1:$P$257</definedName>
    <definedName name="EMPRESA">#REF!</definedName>
    <definedName name="h">#REF!</definedName>
    <definedName name="Info">#REF!</definedName>
    <definedName name="J">#REF!</definedName>
    <definedName name="OK">#REF!</definedName>
    <definedName name="P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213" i="17" l="1"/>
  <c r="M1214" i="17"/>
  <c r="M1215" i="17"/>
  <c r="M1216" i="17"/>
  <c r="M1217" i="17"/>
  <c r="M1218" i="17"/>
  <c r="M1219" i="17"/>
  <c r="M1220" i="17"/>
  <c r="M1221" i="17"/>
  <c r="M1222" i="17"/>
  <c r="M1223" i="17"/>
  <c r="M1224" i="17"/>
  <c r="M1225" i="17"/>
  <c r="M1226" i="17"/>
  <c r="M1227" i="17"/>
  <c r="M1228" i="17"/>
  <c r="M1229" i="17"/>
  <c r="M1230" i="17"/>
  <c r="M1231" i="17"/>
  <c r="M1232" i="17"/>
  <c r="M1233" i="17"/>
  <c r="M1234" i="17"/>
  <c r="M1235" i="17"/>
  <c r="M1236" i="17"/>
  <c r="M1237" i="17"/>
  <c r="M1238" i="17"/>
  <c r="M1239" i="17"/>
  <c r="M1240" i="17"/>
  <c r="M1241" i="17"/>
  <c r="M1242" i="17"/>
  <c r="M1243" i="17"/>
  <c r="M1244" i="17"/>
  <c r="M1245" i="17"/>
  <c r="M1246" i="17"/>
  <c r="M1247" i="17"/>
  <c r="M1248" i="17"/>
  <c r="M1249" i="17"/>
  <c r="M1250" i="17"/>
  <c r="M1251" i="17"/>
  <c r="M1252" i="17"/>
  <c r="M1253" i="17"/>
  <c r="M1254" i="17"/>
  <c r="M1255" i="17"/>
  <c r="M1256" i="17"/>
  <c r="M1257" i="17"/>
  <c r="M1258" i="17"/>
  <c r="M1259" i="17"/>
  <c r="M1260" i="17"/>
  <c r="M1261" i="17"/>
  <c r="M1262" i="17"/>
  <c r="M1263" i="17"/>
  <c r="M1264" i="17"/>
  <c r="M1265" i="17"/>
  <c r="M1266" i="17"/>
  <c r="M1267" i="17"/>
  <c r="M1268" i="17"/>
  <c r="M1269" i="17"/>
  <c r="M1270" i="17"/>
  <c r="M1271" i="17"/>
  <c r="M1272" i="17"/>
  <c r="M1273" i="17"/>
  <c r="M1274" i="17"/>
  <c r="M1275" i="17"/>
  <c r="M1276" i="17"/>
  <c r="M1277" i="17"/>
  <c r="M1278" i="17"/>
  <c r="M1212" i="17"/>
  <c r="F1212" i="17"/>
  <c r="F1213" i="17"/>
  <c r="F1214" i="17"/>
  <c r="F1215" i="17"/>
  <c r="F1216" i="17"/>
  <c r="F1217" i="17"/>
  <c r="F1218" i="17"/>
  <c r="F1219" i="17"/>
  <c r="F1220" i="17"/>
  <c r="F1221" i="17"/>
  <c r="F1222" i="17"/>
  <c r="F1223" i="17"/>
  <c r="F1224" i="17"/>
  <c r="F1225" i="17"/>
  <c r="F1226" i="17"/>
  <c r="F1227" i="17"/>
  <c r="F1228" i="17"/>
  <c r="F1229" i="17"/>
  <c r="F1230" i="17"/>
  <c r="F1231" i="17"/>
  <c r="F1232" i="17"/>
  <c r="F1233" i="17"/>
  <c r="F1234" i="17"/>
  <c r="F1235" i="17"/>
  <c r="F1236" i="17"/>
  <c r="F1237" i="17"/>
  <c r="F1238" i="17"/>
  <c r="F1239" i="17"/>
  <c r="F1240" i="17"/>
  <c r="F1241" i="17"/>
  <c r="F1242" i="17"/>
  <c r="F1243" i="17"/>
  <c r="F1244" i="17"/>
  <c r="F1245" i="17"/>
  <c r="F1246" i="17"/>
  <c r="F1247" i="17"/>
  <c r="F1248" i="17"/>
  <c r="F1249" i="17"/>
  <c r="F1250" i="17"/>
  <c r="F1251" i="17"/>
  <c r="F1252" i="17"/>
  <c r="F1253" i="17"/>
  <c r="F1254" i="17"/>
  <c r="F1255" i="17"/>
  <c r="F1256" i="17"/>
  <c r="F1257" i="17"/>
  <c r="F1258" i="17"/>
  <c r="F1259" i="17"/>
  <c r="F1260" i="17"/>
  <c r="F1261" i="17"/>
  <c r="F1262" i="17"/>
  <c r="F1263" i="17"/>
  <c r="F1264" i="17"/>
  <c r="F1265" i="17"/>
  <c r="F1266" i="17"/>
  <c r="F1267" i="17"/>
  <c r="F1268" i="17"/>
  <c r="F1269" i="17"/>
  <c r="F1270" i="17"/>
  <c r="F1271" i="17"/>
  <c r="F1272" i="17"/>
  <c r="F1273" i="17"/>
  <c r="F1274" i="17"/>
  <c r="F1275" i="17"/>
  <c r="F1276" i="17"/>
  <c r="F1277" i="17"/>
  <c r="F1278" i="17"/>
  <c r="G1212" i="17"/>
  <c r="G1213" i="17"/>
  <c r="G1214" i="17"/>
  <c r="G1215" i="17"/>
  <c r="G1216" i="17"/>
  <c r="G1217" i="17"/>
  <c r="G1218" i="17"/>
  <c r="G1219" i="17"/>
  <c r="G1220" i="17"/>
  <c r="G1221" i="17"/>
  <c r="G1222" i="17"/>
  <c r="G1223" i="17"/>
  <c r="G1224" i="17"/>
  <c r="G1225" i="17"/>
  <c r="G1226" i="17"/>
  <c r="G1227" i="17"/>
  <c r="G1228" i="17"/>
  <c r="G1229" i="17"/>
  <c r="G1230" i="17"/>
  <c r="G1231" i="17"/>
  <c r="G1232" i="17"/>
  <c r="G1233" i="17"/>
  <c r="G1234" i="17"/>
  <c r="G1235" i="17"/>
  <c r="G1236" i="17"/>
  <c r="G1237" i="17"/>
  <c r="G1238" i="17"/>
  <c r="G1239" i="17"/>
  <c r="G1240" i="17"/>
  <c r="G1241" i="17"/>
  <c r="G1242" i="17"/>
  <c r="G1243" i="17"/>
  <c r="G1244" i="17"/>
  <c r="G1245" i="17"/>
  <c r="G1246" i="17"/>
  <c r="G1247" i="17"/>
  <c r="G1248" i="17"/>
  <c r="G1249" i="17"/>
  <c r="G1250" i="17"/>
  <c r="G1251" i="17"/>
  <c r="G1252" i="17"/>
  <c r="G1253" i="17"/>
  <c r="G1254" i="17"/>
  <c r="G1255" i="17"/>
  <c r="G1256" i="17"/>
  <c r="G1257" i="17"/>
  <c r="G1258" i="17"/>
  <c r="G1259" i="17"/>
  <c r="G1260" i="17"/>
  <c r="G1261" i="17"/>
  <c r="G1262" i="17"/>
  <c r="G1263" i="17"/>
  <c r="G1264" i="17"/>
  <c r="G1265" i="17"/>
  <c r="G1266" i="17"/>
  <c r="G1267" i="17"/>
  <c r="G1268" i="17"/>
  <c r="G1269" i="17"/>
  <c r="G1270" i="17"/>
  <c r="G1271" i="17"/>
  <c r="G1272" i="17"/>
  <c r="G1273" i="17"/>
  <c r="G1274" i="17"/>
  <c r="G1275" i="17"/>
  <c r="G1276" i="17"/>
  <c r="G1277" i="17"/>
  <c r="G1278" i="17"/>
  <c r="H1212" i="17"/>
  <c r="H1213" i="17"/>
  <c r="H1214" i="17"/>
  <c r="H1215" i="17"/>
  <c r="H1216" i="17"/>
  <c r="H1217" i="17"/>
  <c r="H1218" i="17"/>
  <c r="H1219" i="17"/>
  <c r="H1220" i="17"/>
  <c r="H1221" i="17"/>
  <c r="H1222" i="17"/>
  <c r="H1223" i="17"/>
  <c r="H1224" i="17"/>
  <c r="H1225" i="17"/>
  <c r="H1226" i="17"/>
  <c r="H1227" i="17"/>
  <c r="H1228" i="17"/>
  <c r="H1229" i="17"/>
  <c r="H1230" i="17"/>
  <c r="H1231" i="17"/>
  <c r="H1232" i="17"/>
  <c r="H1233" i="17"/>
  <c r="H1234" i="17"/>
  <c r="H1235" i="17"/>
  <c r="H1236" i="17"/>
  <c r="H1237" i="17"/>
  <c r="H1238" i="17"/>
  <c r="H1239" i="17"/>
  <c r="H1240" i="17"/>
  <c r="H1241" i="17"/>
  <c r="H1242" i="17"/>
  <c r="H1243" i="17"/>
  <c r="H1244" i="17"/>
  <c r="H1245" i="17"/>
  <c r="H1246" i="17"/>
  <c r="H1247" i="17"/>
  <c r="H1248" i="17"/>
  <c r="H1249" i="17"/>
  <c r="H1250" i="17"/>
  <c r="H1251" i="17"/>
  <c r="H1252" i="17"/>
  <c r="H1253" i="17"/>
  <c r="H1254" i="17"/>
  <c r="H1255" i="17"/>
  <c r="H1256" i="17"/>
  <c r="H1257" i="17"/>
  <c r="H1258" i="17"/>
  <c r="H1259" i="17"/>
  <c r="H1260" i="17"/>
  <c r="H1261" i="17"/>
  <c r="H1262" i="17"/>
  <c r="H1263" i="17"/>
  <c r="H1264" i="17"/>
  <c r="H1265" i="17"/>
  <c r="H1266" i="17"/>
  <c r="H1267" i="17"/>
  <c r="H1268" i="17"/>
  <c r="H1269" i="17"/>
  <c r="H1270" i="17"/>
  <c r="H1271" i="17"/>
  <c r="H1272" i="17"/>
  <c r="H1273" i="17"/>
  <c r="H1274" i="17"/>
  <c r="H1275" i="17"/>
  <c r="H1276" i="17"/>
  <c r="H1277" i="17"/>
  <c r="H1278" i="17"/>
  <c r="I1212" i="17"/>
  <c r="I1213" i="17"/>
  <c r="I1214" i="17"/>
  <c r="I1215" i="17"/>
  <c r="I1216" i="17"/>
  <c r="I1217" i="17"/>
  <c r="I1218" i="17"/>
  <c r="I1219" i="17"/>
  <c r="I1220" i="17"/>
  <c r="I1221" i="17"/>
  <c r="I1222" i="17"/>
  <c r="I1223" i="17"/>
  <c r="I1224" i="17"/>
  <c r="I1225" i="17"/>
  <c r="I1226" i="17"/>
  <c r="I1227" i="17"/>
  <c r="I1228" i="17"/>
  <c r="I1229" i="17"/>
  <c r="I1230" i="17"/>
  <c r="I1231" i="17"/>
  <c r="I1232" i="17"/>
  <c r="I1233" i="17"/>
  <c r="I1234" i="17"/>
  <c r="I1235" i="17"/>
  <c r="I1236" i="17"/>
  <c r="I1237" i="17"/>
  <c r="I1238" i="17"/>
  <c r="I1239" i="17"/>
  <c r="I1240" i="17"/>
  <c r="I1241" i="17"/>
  <c r="I1242" i="17"/>
  <c r="I1243" i="17"/>
  <c r="I1244" i="17"/>
  <c r="I1245" i="17"/>
  <c r="I1246" i="17"/>
  <c r="I1247" i="17"/>
  <c r="I1248" i="17"/>
  <c r="I1249" i="17"/>
  <c r="I1250" i="17"/>
  <c r="I1251" i="17"/>
  <c r="I1252" i="17"/>
  <c r="I1253" i="17"/>
  <c r="I1254" i="17"/>
  <c r="I1255" i="17"/>
  <c r="I1256" i="17"/>
  <c r="I1257" i="17"/>
  <c r="I1258" i="17"/>
  <c r="I1259" i="17"/>
  <c r="I1260" i="17"/>
  <c r="I1261" i="17"/>
  <c r="I1262" i="17"/>
  <c r="I1263" i="17"/>
  <c r="I1264" i="17"/>
  <c r="I1265" i="17"/>
  <c r="I1266" i="17"/>
  <c r="I1267" i="17"/>
  <c r="I1268" i="17"/>
  <c r="I1269" i="17"/>
  <c r="I1270" i="17"/>
  <c r="I1271" i="17"/>
  <c r="I1272" i="17"/>
  <c r="I1273" i="17"/>
  <c r="I1274" i="17"/>
  <c r="I1275" i="17"/>
  <c r="I1276" i="17"/>
  <c r="I1277" i="17"/>
  <c r="I1278" i="17"/>
  <c r="J1212" i="17"/>
  <c r="J1213" i="17"/>
  <c r="J1214" i="17"/>
  <c r="J1215" i="17"/>
  <c r="J1216" i="17"/>
  <c r="J1217" i="17"/>
  <c r="J1218" i="17"/>
  <c r="J1219" i="17"/>
  <c r="J1220" i="17"/>
  <c r="J1221" i="17"/>
  <c r="J1222" i="17"/>
  <c r="J1223" i="17"/>
  <c r="J1224" i="17"/>
  <c r="J1225" i="17"/>
  <c r="J1226" i="17"/>
  <c r="J1227" i="17"/>
  <c r="J1228" i="17"/>
  <c r="J1229" i="17"/>
  <c r="J1230" i="17"/>
  <c r="J1231" i="17"/>
  <c r="J1232" i="17"/>
  <c r="J1233" i="17"/>
  <c r="J1234" i="17"/>
  <c r="J1235" i="17"/>
  <c r="J1236" i="17"/>
  <c r="J1237" i="17"/>
  <c r="J1238" i="17"/>
  <c r="J1239" i="17"/>
  <c r="J1240" i="17"/>
  <c r="J1241" i="17"/>
  <c r="J1242" i="17"/>
  <c r="J1243" i="17"/>
  <c r="J1244" i="17"/>
  <c r="J1245" i="17"/>
  <c r="J1246" i="17"/>
  <c r="J1247" i="17"/>
  <c r="J1248" i="17"/>
  <c r="J1249" i="17"/>
  <c r="J1250" i="17"/>
  <c r="J1251" i="17"/>
  <c r="J1252" i="17"/>
  <c r="J1253" i="17"/>
  <c r="J1254" i="17"/>
  <c r="J1255" i="17"/>
  <c r="J1256" i="17"/>
  <c r="J1257" i="17"/>
  <c r="J1258" i="17"/>
  <c r="J1259" i="17"/>
  <c r="J1260" i="17"/>
  <c r="J1261" i="17"/>
  <c r="J1262" i="17"/>
  <c r="J1263" i="17"/>
  <c r="J1264" i="17"/>
  <c r="J1265" i="17"/>
  <c r="J1266" i="17"/>
  <c r="J1267" i="17"/>
  <c r="J1268" i="17"/>
  <c r="J1269" i="17"/>
  <c r="J1270" i="17"/>
  <c r="J1271" i="17"/>
  <c r="J1272" i="17"/>
  <c r="J1273" i="17"/>
  <c r="J1274" i="17"/>
  <c r="J1275" i="17"/>
  <c r="J1276" i="17"/>
  <c r="J1277" i="17"/>
  <c r="J1278" i="17"/>
  <c r="M1154" i="17" l="1"/>
  <c r="M1155" i="17"/>
  <c r="M1156" i="17"/>
  <c r="M1157" i="17"/>
  <c r="M1158" i="17"/>
  <c r="M1159" i="17"/>
  <c r="M1160" i="17"/>
  <c r="M1161" i="17"/>
  <c r="M1162" i="17"/>
  <c r="M1163" i="17"/>
  <c r="M1164" i="17"/>
  <c r="M1165" i="17"/>
  <c r="M1166" i="17"/>
  <c r="M1167" i="17"/>
  <c r="M1168" i="17"/>
  <c r="M1169" i="17"/>
  <c r="M1170" i="17"/>
  <c r="M1171" i="17"/>
  <c r="M1172" i="17"/>
  <c r="M1173" i="17"/>
  <c r="M1174" i="17"/>
  <c r="M1175" i="17"/>
  <c r="M1176" i="17"/>
  <c r="M1177" i="17"/>
  <c r="M1178" i="17"/>
  <c r="M1179" i="17"/>
  <c r="M1180" i="17"/>
  <c r="M1181" i="17"/>
  <c r="M1182" i="17"/>
  <c r="M1183" i="17"/>
  <c r="M1184" i="17"/>
  <c r="M1185" i="17"/>
  <c r="M1186" i="17"/>
  <c r="M1187" i="17"/>
  <c r="M1188" i="17"/>
  <c r="M1189" i="17"/>
  <c r="M1190" i="17"/>
  <c r="M1191" i="17"/>
  <c r="M1192" i="17"/>
  <c r="M1193" i="17"/>
  <c r="M1194" i="17"/>
  <c r="M1195" i="17"/>
  <c r="M1196" i="17"/>
  <c r="M1197" i="17"/>
  <c r="M1198" i="17"/>
  <c r="M1199" i="17"/>
  <c r="M1200" i="17"/>
  <c r="M1201" i="17"/>
  <c r="M1202" i="17"/>
  <c r="M1203" i="17"/>
  <c r="M1204" i="17"/>
  <c r="M1205" i="17"/>
  <c r="M1206" i="17"/>
  <c r="M1207" i="17"/>
  <c r="M1208" i="17"/>
  <c r="M1209" i="17"/>
  <c r="M1210" i="17"/>
  <c r="M1211" i="17"/>
  <c r="M1153" i="17"/>
  <c r="M1152" i="17"/>
  <c r="F1152" i="17"/>
  <c r="F1153" i="17"/>
  <c r="F1154" i="17"/>
  <c r="F1155" i="17"/>
  <c r="F1156" i="17"/>
  <c r="F1157" i="17"/>
  <c r="F1158" i="17"/>
  <c r="F1159" i="17"/>
  <c r="F1160" i="17"/>
  <c r="F1161" i="17"/>
  <c r="F1162" i="17"/>
  <c r="F1163" i="17"/>
  <c r="F1164" i="17"/>
  <c r="F1165" i="17"/>
  <c r="F1166" i="17"/>
  <c r="F1167" i="17"/>
  <c r="F1168" i="17"/>
  <c r="F1169" i="17"/>
  <c r="F1170" i="17"/>
  <c r="F1171" i="17"/>
  <c r="F1172" i="17"/>
  <c r="F1173" i="17"/>
  <c r="F1174" i="17"/>
  <c r="F1175" i="17"/>
  <c r="F1176" i="17"/>
  <c r="F1177" i="17"/>
  <c r="F1178" i="17"/>
  <c r="F1179" i="17"/>
  <c r="F1180" i="17"/>
  <c r="F1181" i="17"/>
  <c r="F1182" i="17"/>
  <c r="F1183" i="17"/>
  <c r="F1184" i="17"/>
  <c r="F1185" i="17"/>
  <c r="F1186" i="17"/>
  <c r="F1187" i="17"/>
  <c r="F1188" i="17"/>
  <c r="F1189" i="17"/>
  <c r="F1190" i="17"/>
  <c r="F1191" i="17"/>
  <c r="F1192" i="17"/>
  <c r="F1193" i="17"/>
  <c r="F1194" i="17"/>
  <c r="F1195" i="17"/>
  <c r="F1196" i="17"/>
  <c r="F1197" i="17"/>
  <c r="F1198" i="17"/>
  <c r="F1199" i="17"/>
  <c r="F1200" i="17"/>
  <c r="F1201" i="17"/>
  <c r="F1202" i="17"/>
  <c r="F1203" i="17"/>
  <c r="F1204" i="17"/>
  <c r="F1205" i="17"/>
  <c r="F1206" i="17"/>
  <c r="F1207" i="17"/>
  <c r="F1208" i="17"/>
  <c r="F1209" i="17"/>
  <c r="F1210" i="17"/>
  <c r="F1211" i="17"/>
  <c r="G1152" i="17"/>
  <c r="G1153" i="17"/>
  <c r="G1154" i="17"/>
  <c r="G1155" i="17"/>
  <c r="G1156" i="17"/>
  <c r="G1157" i="17"/>
  <c r="G1158" i="17"/>
  <c r="G1159" i="17"/>
  <c r="G1160" i="17"/>
  <c r="G1161" i="17"/>
  <c r="G1162" i="17"/>
  <c r="G1163" i="17"/>
  <c r="G1164" i="17"/>
  <c r="G1165" i="17"/>
  <c r="G1166" i="17"/>
  <c r="G1167" i="17"/>
  <c r="G1168" i="17"/>
  <c r="G1169" i="17"/>
  <c r="G1170" i="17"/>
  <c r="G1171" i="17"/>
  <c r="G1172" i="17"/>
  <c r="G1173" i="17"/>
  <c r="G1174" i="17"/>
  <c r="G1175" i="17"/>
  <c r="G1176" i="17"/>
  <c r="G1177" i="17"/>
  <c r="G1178" i="17"/>
  <c r="G1179" i="17"/>
  <c r="G1180" i="17"/>
  <c r="G1181" i="17"/>
  <c r="G1182" i="17"/>
  <c r="G1183" i="17"/>
  <c r="G1184" i="17"/>
  <c r="G1185" i="17"/>
  <c r="G1186" i="17"/>
  <c r="G1187" i="17"/>
  <c r="G1188" i="17"/>
  <c r="G1189" i="17"/>
  <c r="G1190" i="17"/>
  <c r="G1191" i="17"/>
  <c r="G1192" i="17"/>
  <c r="G1193" i="17"/>
  <c r="G1194" i="17"/>
  <c r="G1195" i="17"/>
  <c r="G1196" i="17"/>
  <c r="G1197" i="17"/>
  <c r="G1198" i="17"/>
  <c r="G1199" i="17"/>
  <c r="G1200" i="17"/>
  <c r="G1201" i="17"/>
  <c r="G1202" i="17"/>
  <c r="G1203" i="17"/>
  <c r="G1204" i="17"/>
  <c r="G1205" i="17"/>
  <c r="G1206" i="17"/>
  <c r="G1207" i="17"/>
  <c r="G1208" i="17"/>
  <c r="G1209" i="17"/>
  <c r="G1210" i="17"/>
  <c r="G1211" i="17"/>
  <c r="H1152" i="17"/>
  <c r="H1153" i="17"/>
  <c r="H1154" i="17"/>
  <c r="H1155" i="17"/>
  <c r="H1156" i="17"/>
  <c r="H1157" i="17"/>
  <c r="H1158" i="17"/>
  <c r="H1159" i="17"/>
  <c r="H1160" i="17"/>
  <c r="H1161" i="17"/>
  <c r="H1162" i="17"/>
  <c r="H1163" i="17"/>
  <c r="H1164" i="17"/>
  <c r="H1165" i="17"/>
  <c r="H1166" i="17"/>
  <c r="H1167" i="17"/>
  <c r="H1168" i="17"/>
  <c r="H1169" i="17"/>
  <c r="H1170" i="17"/>
  <c r="H1171" i="17"/>
  <c r="H1172" i="17"/>
  <c r="H1173" i="17"/>
  <c r="H1174" i="17"/>
  <c r="H1175" i="17"/>
  <c r="H1176" i="17"/>
  <c r="H1177" i="17"/>
  <c r="H1178" i="17"/>
  <c r="H1179" i="17"/>
  <c r="H1180" i="17"/>
  <c r="H1181" i="17"/>
  <c r="H1182" i="17"/>
  <c r="H1183" i="17"/>
  <c r="H1184" i="17"/>
  <c r="H1185" i="17"/>
  <c r="H1186" i="17"/>
  <c r="H1187" i="17"/>
  <c r="H1188" i="17"/>
  <c r="H1189" i="17"/>
  <c r="H1190" i="17"/>
  <c r="H1191" i="17"/>
  <c r="H1192" i="17"/>
  <c r="H1193" i="17"/>
  <c r="H1194" i="17"/>
  <c r="H1195" i="17"/>
  <c r="H1196" i="17"/>
  <c r="H1197" i="17"/>
  <c r="H1198" i="17"/>
  <c r="H1199" i="17"/>
  <c r="H1200" i="17"/>
  <c r="H1201" i="17"/>
  <c r="H1202" i="17"/>
  <c r="H1203" i="17"/>
  <c r="H1204" i="17"/>
  <c r="H1205" i="17"/>
  <c r="H1206" i="17"/>
  <c r="H1207" i="17"/>
  <c r="H1208" i="17"/>
  <c r="H1209" i="17"/>
  <c r="H1210" i="17"/>
  <c r="H1211" i="17"/>
  <c r="I1152" i="17"/>
  <c r="I1153" i="17"/>
  <c r="I1154" i="17"/>
  <c r="I1155" i="17"/>
  <c r="I1156" i="17"/>
  <c r="I1157" i="17"/>
  <c r="I1158" i="17"/>
  <c r="I1159" i="17"/>
  <c r="I1160" i="17"/>
  <c r="I1161" i="17"/>
  <c r="I1162" i="17"/>
  <c r="I1163" i="17"/>
  <c r="I1164" i="17"/>
  <c r="I1165" i="17"/>
  <c r="I1166" i="17"/>
  <c r="I1167" i="17"/>
  <c r="I1168" i="17"/>
  <c r="I1169" i="17"/>
  <c r="I1170" i="17"/>
  <c r="I1171" i="17"/>
  <c r="I1172" i="17"/>
  <c r="I1173" i="17"/>
  <c r="I1174" i="17"/>
  <c r="I1175" i="17"/>
  <c r="I1176" i="17"/>
  <c r="I1177" i="17"/>
  <c r="I1178" i="17"/>
  <c r="I1179" i="17"/>
  <c r="I1180" i="17"/>
  <c r="I1181" i="17"/>
  <c r="I1182" i="17"/>
  <c r="I1183" i="17"/>
  <c r="I1184" i="17"/>
  <c r="I1185" i="17"/>
  <c r="I1186" i="17"/>
  <c r="I1187" i="17"/>
  <c r="I1188" i="17"/>
  <c r="I1189" i="17"/>
  <c r="I1190" i="17"/>
  <c r="I1191" i="17"/>
  <c r="I1192" i="17"/>
  <c r="I1193" i="17"/>
  <c r="I1194" i="17"/>
  <c r="I1195" i="17"/>
  <c r="I1196" i="17"/>
  <c r="I1197" i="17"/>
  <c r="I1198" i="17"/>
  <c r="I1199" i="17"/>
  <c r="I1200" i="17"/>
  <c r="I1201" i="17"/>
  <c r="I1202" i="17"/>
  <c r="I1203" i="17"/>
  <c r="I1204" i="17"/>
  <c r="I1205" i="17"/>
  <c r="I1206" i="17"/>
  <c r="I1207" i="17"/>
  <c r="I1208" i="17"/>
  <c r="I1209" i="17"/>
  <c r="I1210" i="17"/>
  <c r="I1211" i="17"/>
  <c r="J1152" i="17"/>
  <c r="J1153" i="17"/>
  <c r="J1154" i="17"/>
  <c r="J1155" i="17"/>
  <c r="J1156" i="17"/>
  <c r="J1157" i="17"/>
  <c r="J1158" i="17"/>
  <c r="J1159" i="17"/>
  <c r="J1160" i="17"/>
  <c r="J1161" i="17"/>
  <c r="J1162" i="17"/>
  <c r="J1163" i="17"/>
  <c r="J1164" i="17"/>
  <c r="J1165" i="17"/>
  <c r="J1166" i="17"/>
  <c r="J1167" i="17"/>
  <c r="J1168" i="17"/>
  <c r="J1169" i="17"/>
  <c r="J1170" i="17"/>
  <c r="J1171" i="17"/>
  <c r="J1172" i="17"/>
  <c r="J1173" i="17"/>
  <c r="J1174" i="17"/>
  <c r="J1175" i="17"/>
  <c r="J1176" i="17"/>
  <c r="J1177" i="17"/>
  <c r="J1178" i="17"/>
  <c r="J1179" i="17"/>
  <c r="J1180" i="17"/>
  <c r="J1181" i="17"/>
  <c r="J1182" i="17"/>
  <c r="J1183" i="17"/>
  <c r="J1184" i="17"/>
  <c r="J1185" i="17"/>
  <c r="J1186" i="17"/>
  <c r="J1187" i="17"/>
  <c r="J1188" i="17"/>
  <c r="J1189" i="17"/>
  <c r="J1190" i="17"/>
  <c r="J1191" i="17"/>
  <c r="J1192" i="17"/>
  <c r="J1193" i="17"/>
  <c r="J1194" i="17"/>
  <c r="J1195" i="17"/>
  <c r="J1196" i="17"/>
  <c r="J1197" i="17"/>
  <c r="J1198" i="17"/>
  <c r="J1199" i="17"/>
  <c r="J1200" i="17"/>
  <c r="J1201" i="17"/>
  <c r="J1202" i="17"/>
  <c r="J1203" i="17"/>
  <c r="J1204" i="17"/>
  <c r="J1205" i="17"/>
  <c r="J1206" i="17"/>
  <c r="J1207" i="17"/>
  <c r="J1208" i="17"/>
  <c r="J1209" i="17"/>
  <c r="J1210" i="17"/>
  <c r="J1211" i="17"/>
  <c r="M1107" i="17" l="1"/>
  <c r="M1108" i="17"/>
  <c r="M1109" i="17"/>
  <c r="M1110" i="17"/>
  <c r="M1111" i="17"/>
  <c r="M1112" i="17"/>
  <c r="M1113" i="17"/>
  <c r="M1114" i="17"/>
  <c r="M1115" i="17"/>
  <c r="M1116" i="17"/>
  <c r="M1117" i="17"/>
  <c r="M1118" i="17"/>
  <c r="M1119" i="17"/>
  <c r="M1120" i="17"/>
  <c r="M1121" i="17"/>
  <c r="M1122" i="17"/>
  <c r="M1123" i="17"/>
  <c r="M1124" i="17"/>
  <c r="M1125" i="17"/>
  <c r="M1126" i="17"/>
  <c r="M1127" i="17"/>
  <c r="M1128" i="17"/>
  <c r="M1129" i="17"/>
  <c r="M1130" i="17"/>
  <c r="M1131" i="17"/>
  <c r="M1132" i="17"/>
  <c r="M1133" i="17"/>
  <c r="M1134" i="17"/>
  <c r="M1135" i="17"/>
  <c r="M1136" i="17"/>
  <c r="M1137" i="17"/>
  <c r="M1138" i="17"/>
  <c r="M1139" i="17"/>
  <c r="M1140" i="17"/>
  <c r="M1141" i="17"/>
  <c r="M1142" i="17"/>
  <c r="M1143" i="17"/>
  <c r="M1144" i="17"/>
  <c r="M1145" i="17"/>
  <c r="M1146" i="17"/>
  <c r="M1147" i="17"/>
  <c r="M1148" i="17"/>
  <c r="M1149" i="17"/>
  <c r="M1150" i="17"/>
  <c r="M1151" i="17"/>
  <c r="F1107" i="17"/>
  <c r="F1108" i="17"/>
  <c r="F1109" i="17"/>
  <c r="F1110" i="17"/>
  <c r="F1111" i="17"/>
  <c r="F1112" i="17"/>
  <c r="F1113" i="17"/>
  <c r="F1114" i="17"/>
  <c r="F1115" i="17"/>
  <c r="F1116" i="17"/>
  <c r="F1117" i="17"/>
  <c r="F1118" i="17"/>
  <c r="F1119" i="17"/>
  <c r="F1120" i="17"/>
  <c r="F1121" i="17"/>
  <c r="F1122" i="17"/>
  <c r="F1123" i="17"/>
  <c r="F1124" i="17"/>
  <c r="F1125" i="17"/>
  <c r="F1126" i="17"/>
  <c r="F1127" i="17"/>
  <c r="F1128" i="17"/>
  <c r="F1129" i="17"/>
  <c r="F1130" i="17"/>
  <c r="F1131" i="17"/>
  <c r="F1132" i="17"/>
  <c r="F1133" i="17"/>
  <c r="F1134" i="17"/>
  <c r="F1135" i="17"/>
  <c r="F1136" i="17"/>
  <c r="F1137" i="17"/>
  <c r="F1138" i="17"/>
  <c r="F1139" i="17"/>
  <c r="F1140" i="17"/>
  <c r="F1141" i="17"/>
  <c r="F1142" i="17"/>
  <c r="F1143" i="17"/>
  <c r="F1144" i="17"/>
  <c r="F1145" i="17"/>
  <c r="F1146" i="17"/>
  <c r="F1147" i="17"/>
  <c r="F1148" i="17"/>
  <c r="F1149" i="17"/>
  <c r="F1150" i="17"/>
  <c r="F1151" i="17"/>
  <c r="G1107" i="17"/>
  <c r="G1108" i="17"/>
  <c r="G1109" i="17"/>
  <c r="G1110" i="17"/>
  <c r="G1111" i="17"/>
  <c r="G1112" i="17"/>
  <c r="G1113" i="17"/>
  <c r="G1114" i="17"/>
  <c r="G1115" i="17"/>
  <c r="G1116" i="17"/>
  <c r="G1117" i="17"/>
  <c r="G1118" i="17"/>
  <c r="G1119" i="17"/>
  <c r="G1120" i="17"/>
  <c r="G1121" i="17"/>
  <c r="G1122" i="17"/>
  <c r="G1123" i="17"/>
  <c r="G1124" i="17"/>
  <c r="G1125" i="17"/>
  <c r="G1126" i="17"/>
  <c r="G1127" i="17"/>
  <c r="G1128" i="17"/>
  <c r="G1129" i="17"/>
  <c r="G1130" i="17"/>
  <c r="G1131" i="17"/>
  <c r="G1132" i="17"/>
  <c r="G1133" i="17"/>
  <c r="G1134" i="17"/>
  <c r="G1135" i="17"/>
  <c r="G1136" i="17"/>
  <c r="G1137" i="17"/>
  <c r="G1138" i="17"/>
  <c r="G1139" i="17"/>
  <c r="G1140" i="17"/>
  <c r="G1141" i="17"/>
  <c r="G1142" i="17"/>
  <c r="G1143" i="17"/>
  <c r="G1144" i="17"/>
  <c r="G1145" i="17"/>
  <c r="G1146" i="17"/>
  <c r="G1147" i="17"/>
  <c r="G1148" i="17"/>
  <c r="G1149" i="17"/>
  <c r="G1150" i="17"/>
  <c r="G1151" i="17"/>
  <c r="H1107" i="17"/>
  <c r="H1108" i="17"/>
  <c r="H1109" i="17"/>
  <c r="H1110" i="17"/>
  <c r="H1111" i="17"/>
  <c r="H1112" i="17"/>
  <c r="H1113" i="17"/>
  <c r="H1114" i="17"/>
  <c r="H1115" i="17"/>
  <c r="H1116" i="17"/>
  <c r="H1117" i="17"/>
  <c r="H1118" i="17"/>
  <c r="H1119" i="17"/>
  <c r="H1120" i="17"/>
  <c r="H1121" i="17"/>
  <c r="H1122" i="17"/>
  <c r="H1123" i="17"/>
  <c r="H1124" i="17"/>
  <c r="H1125" i="17"/>
  <c r="H1126" i="17"/>
  <c r="H1127" i="17"/>
  <c r="H1128" i="17"/>
  <c r="H1129" i="17"/>
  <c r="H1130" i="17"/>
  <c r="H1131" i="17"/>
  <c r="H1132" i="17"/>
  <c r="H1133" i="17"/>
  <c r="H1134" i="17"/>
  <c r="H1135" i="17"/>
  <c r="H1136" i="17"/>
  <c r="H1137" i="17"/>
  <c r="H1138" i="17"/>
  <c r="H1139" i="17"/>
  <c r="H1140" i="17"/>
  <c r="H1141" i="17"/>
  <c r="H1142" i="17"/>
  <c r="H1143" i="17"/>
  <c r="H1144" i="17"/>
  <c r="H1145" i="17"/>
  <c r="H1146" i="17"/>
  <c r="H1147" i="17"/>
  <c r="H1148" i="17"/>
  <c r="H1149" i="17"/>
  <c r="H1150" i="17"/>
  <c r="H1151" i="17"/>
  <c r="I1107" i="17"/>
  <c r="I1108" i="17"/>
  <c r="I1109" i="17"/>
  <c r="I1110" i="17"/>
  <c r="I1111" i="17"/>
  <c r="I1112" i="17"/>
  <c r="I1113" i="17"/>
  <c r="I1114" i="17"/>
  <c r="I1115" i="17"/>
  <c r="I1116" i="17"/>
  <c r="I1117" i="17"/>
  <c r="I1118" i="17"/>
  <c r="I1119" i="17"/>
  <c r="I1120" i="17"/>
  <c r="I1121" i="17"/>
  <c r="I1122" i="17"/>
  <c r="I1123" i="17"/>
  <c r="I1124" i="17"/>
  <c r="I1125" i="17"/>
  <c r="I1126" i="17"/>
  <c r="I1127" i="17"/>
  <c r="I1128" i="17"/>
  <c r="I1129" i="17"/>
  <c r="I1130" i="17"/>
  <c r="I1131" i="17"/>
  <c r="I1132" i="17"/>
  <c r="I1133" i="17"/>
  <c r="I1134" i="17"/>
  <c r="I1135" i="17"/>
  <c r="I1136" i="17"/>
  <c r="I1137" i="17"/>
  <c r="I1138" i="17"/>
  <c r="I1139" i="17"/>
  <c r="I1140" i="17"/>
  <c r="I1141" i="17"/>
  <c r="I1142" i="17"/>
  <c r="I1143" i="17"/>
  <c r="I1144" i="17"/>
  <c r="I1145" i="17"/>
  <c r="I1146" i="17"/>
  <c r="I1147" i="17"/>
  <c r="I1148" i="17"/>
  <c r="I1149" i="17"/>
  <c r="I1150" i="17"/>
  <c r="I1151" i="17"/>
  <c r="J1107" i="17"/>
  <c r="J1108" i="17"/>
  <c r="J1109" i="17"/>
  <c r="J1110" i="17"/>
  <c r="J1111" i="17"/>
  <c r="J1112" i="17"/>
  <c r="J1113" i="17"/>
  <c r="J1114" i="17"/>
  <c r="J1115" i="17"/>
  <c r="J1116" i="17"/>
  <c r="J1117" i="17"/>
  <c r="J1118" i="17"/>
  <c r="J1119" i="17"/>
  <c r="J1120" i="17"/>
  <c r="J1121" i="17"/>
  <c r="J1122" i="17"/>
  <c r="J1123" i="17"/>
  <c r="J1124" i="17"/>
  <c r="J1125" i="17"/>
  <c r="J1126" i="17"/>
  <c r="J1127" i="17"/>
  <c r="J1128" i="17"/>
  <c r="J1129" i="17"/>
  <c r="J1130" i="17"/>
  <c r="J1131" i="17"/>
  <c r="J1132" i="17"/>
  <c r="J1133" i="17"/>
  <c r="J1134" i="17"/>
  <c r="J1135" i="17"/>
  <c r="J1136" i="17"/>
  <c r="J1137" i="17"/>
  <c r="J1138" i="17"/>
  <c r="J1139" i="17"/>
  <c r="J1140" i="17"/>
  <c r="J1141" i="17"/>
  <c r="J1142" i="17"/>
  <c r="J1143" i="17"/>
  <c r="J1144" i="17"/>
  <c r="J1145" i="17"/>
  <c r="J1146" i="17"/>
  <c r="J1147" i="17"/>
  <c r="J1148" i="17"/>
  <c r="J1149" i="17"/>
  <c r="J1150" i="17"/>
  <c r="J1151" i="17"/>
  <c r="M1070" i="17" l="1"/>
  <c r="M1071" i="17"/>
  <c r="M1072" i="17"/>
  <c r="M1073" i="17"/>
  <c r="M1074" i="17"/>
  <c r="M1075" i="17"/>
  <c r="M1076" i="17"/>
  <c r="M1077" i="17"/>
  <c r="M1078" i="17"/>
  <c r="M1079" i="17"/>
  <c r="M1080" i="17"/>
  <c r="M1081" i="17"/>
  <c r="M1082" i="17"/>
  <c r="M1083" i="17"/>
  <c r="M1084" i="17"/>
  <c r="M1085" i="17"/>
  <c r="M1086" i="17"/>
  <c r="M1087" i="17"/>
  <c r="M1088" i="17"/>
  <c r="M1089" i="17"/>
  <c r="M1090" i="17"/>
  <c r="M1091" i="17"/>
  <c r="M1092" i="17"/>
  <c r="M1093" i="17"/>
  <c r="M1094" i="17"/>
  <c r="M1095" i="17"/>
  <c r="M1096" i="17"/>
  <c r="M1097" i="17"/>
  <c r="M1098" i="17"/>
  <c r="M1099" i="17"/>
  <c r="M1100" i="17"/>
  <c r="M1101" i="17"/>
  <c r="M1102" i="17"/>
  <c r="M1103" i="17"/>
  <c r="M1104" i="17"/>
  <c r="M1105" i="17"/>
  <c r="M1106" i="17"/>
  <c r="M1069" i="17"/>
  <c r="F1069" i="17"/>
  <c r="F1070" i="17"/>
  <c r="F1071" i="17"/>
  <c r="F1072" i="17"/>
  <c r="F1073" i="17"/>
  <c r="F1074" i="17"/>
  <c r="F1075" i="17"/>
  <c r="F1076" i="17"/>
  <c r="F1077" i="17"/>
  <c r="F1078" i="17"/>
  <c r="F1079" i="17"/>
  <c r="F1080" i="17"/>
  <c r="F1081" i="17"/>
  <c r="F1082" i="17"/>
  <c r="F1083" i="17"/>
  <c r="F1084" i="17"/>
  <c r="F1085" i="17"/>
  <c r="F1086" i="17"/>
  <c r="F1087" i="17"/>
  <c r="F1088" i="17"/>
  <c r="F1089" i="17"/>
  <c r="F1090" i="17"/>
  <c r="F1091" i="17"/>
  <c r="F1092" i="17"/>
  <c r="F1093" i="17"/>
  <c r="F1094" i="17"/>
  <c r="F1095" i="17"/>
  <c r="F1096" i="17"/>
  <c r="F1097" i="17"/>
  <c r="F1098" i="17"/>
  <c r="F1099" i="17"/>
  <c r="F1100" i="17"/>
  <c r="F1101" i="17"/>
  <c r="F1102" i="17"/>
  <c r="F1103" i="17"/>
  <c r="F1104" i="17"/>
  <c r="F1105" i="17"/>
  <c r="F1106" i="17"/>
  <c r="G1069" i="17"/>
  <c r="G1070" i="17"/>
  <c r="G1071" i="17"/>
  <c r="G1072" i="17"/>
  <c r="G1073" i="17"/>
  <c r="G1074" i="17"/>
  <c r="G1075" i="17"/>
  <c r="G1076" i="17"/>
  <c r="G1077" i="17"/>
  <c r="G1078" i="17"/>
  <c r="G1079" i="17"/>
  <c r="G1080" i="17"/>
  <c r="G1081" i="17"/>
  <c r="G1082" i="17"/>
  <c r="G1083" i="17"/>
  <c r="G1084" i="17"/>
  <c r="G1085" i="17"/>
  <c r="G1086" i="17"/>
  <c r="G1087" i="17"/>
  <c r="G1088" i="17"/>
  <c r="G1089" i="17"/>
  <c r="G1090" i="17"/>
  <c r="G1091" i="17"/>
  <c r="G1092" i="17"/>
  <c r="G1093" i="17"/>
  <c r="G1094" i="17"/>
  <c r="G1095" i="17"/>
  <c r="G1096" i="17"/>
  <c r="G1097" i="17"/>
  <c r="G1098" i="17"/>
  <c r="G1099" i="17"/>
  <c r="G1100" i="17"/>
  <c r="G1101" i="17"/>
  <c r="G1102" i="17"/>
  <c r="G1103" i="17"/>
  <c r="G1104" i="17"/>
  <c r="G1105" i="17"/>
  <c r="G1106" i="17"/>
  <c r="H1069" i="17"/>
  <c r="H1070" i="17"/>
  <c r="H1071" i="17"/>
  <c r="H1072" i="17"/>
  <c r="H1073" i="17"/>
  <c r="H1074" i="17"/>
  <c r="H1075" i="17"/>
  <c r="H1076" i="17"/>
  <c r="H1077" i="17"/>
  <c r="H1078" i="17"/>
  <c r="H1079" i="17"/>
  <c r="H1080" i="17"/>
  <c r="H1081" i="17"/>
  <c r="H1082" i="17"/>
  <c r="H1083" i="17"/>
  <c r="H1084" i="17"/>
  <c r="H1085" i="17"/>
  <c r="H1086" i="17"/>
  <c r="H1087" i="17"/>
  <c r="H1088" i="17"/>
  <c r="H1089" i="17"/>
  <c r="H1090" i="17"/>
  <c r="H1091" i="17"/>
  <c r="H1092" i="17"/>
  <c r="H1093" i="17"/>
  <c r="H1094" i="17"/>
  <c r="H1095" i="17"/>
  <c r="H1096" i="17"/>
  <c r="H1097" i="17"/>
  <c r="H1098" i="17"/>
  <c r="H1099" i="17"/>
  <c r="H1100" i="17"/>
  <c r="H1101" i="17"/>
  <c r="H1102" i="17"/>
  <c r="H1103" i="17"/>
  <c r="H1104" i="17"/>
  <c r="H1105" i="17"/>
  <c r="H1106" i="17"/>
  <c r="I1069" i="17"/>
  <c r="I1070" i="17"/>
  <c r="I1071" i="17"/>
  <c r="I1072" i="17"/>
  <c r="I1073" i="17"/>
  <c r="I1074" i="17"/>
  <c r="I1075" i="17"/>
  <c r="I1076" i="17"/>
  <c r="I1077" i="17"/>
  <c r="I1078" i="17"/>
  <c r="I1079" i="17"/>
  <c r="I1080" i="17"/>
  <c r="I1081" i="17"/>
  <c r="I1082" i="17"/>
  <c r="I1083" i="17"/>
  <c r="I1084" i="17"/>
  <c r="I1085" i="17"/>
  <c r="I1086" i="17"/>
  <c r="I1087" i="17"/>
  <c r="I1088" i="17"/>
  <c r="I1089" i="17"/>
  <c r="I1090" i="17"/>
  <c r="I1091" i="17"/>
  <c r="I1092" i="17"/>
  <c r="I1093" i="17"/>
  <c r="I1094" i="17"/>
  <c r="I1095" i="17"/>
  <c r="I1096" i="17"/>
  <c r="I1097" i="17"/>
  <c r="I1098" i="17"/>
  <c r="I1099" i="17"/>
  <c r="I1100" i="17"/>
  <c r="I1101" i="17"/>
  <c r="I1102" i="17"/>
  <c r="I1103" i="17"/>
  <c r="I1104" i="17"/>
  <c r="I1105" i="17"/>
  <c r="I1106" i="17"/>
  <c r="J1069" i="17"/>
  <c r="J1070" i="17"/>
  <c r="J1071" i="17"/>
  <c r="J1072" i="17"/>
  <c r="J1073" i="17"/>
  <c r="J1074" i="17"/>
  <c r="J1075" i="17"/>
  <c r="J1076" i="17"/>
  <c r="J1077" i="17"/>
  <c r="J1078" i="17"/>
  <c r="J1079" i="17"/>
  <c r="J1080" i="17"/>
  <c r="J1081" i="17"/>
  <c r="J1082" i="17"/>
  <c r="J1083" i="17"/>
  <c r="J1084" i="17"/>
  <c r="J1085" i="17"/>
  <c r="J1086" i="17"/>
  <c r="J1087" i="17"/>
  <c r="J1088" i="17"/>
  <c r="J1089" i="17"/>
  <c r="J1090" i="17"/>
  <c r="J1091" i="17"/>
  <c r="J1092" i="17"/>
  <c r="J1093" i="17"/>
  <c r="J1094" i="17"/>
  <c r="J1095" i="17"/>
  <c r="J1096" i="17"/>
  <c r="J1097" i="17"/>
  <c r="J1098" i="17"/>
  <c r="J1099" i="17"/>
  <c r="J1100" i="17"/>
  <c r="J1101" i="17"/>
  <c r="J1102" i="17"/>
  <c r="J1103" i="17"/>
  <c r="J1104" i="17"/>
  <c r="J1105" i="17"/>
  <c r="J1106" i="17"/>
  <c r="I913" i="27" l="1"/>
  <c r="I914" i="27"/>
  <c r="I915" i="27"/>
  <c r="I916" i="27"/>
  <c r="I917" i="27"/>
  <c r="I918" i="27"/>
  <c r="I919" i="27"/>
  <c r="I920" i="27"/>
  <c r="I921" i="27"/>
  <c r="I922" i="27"/>
  <c r="I923" i="27"/>
  <c r="I924" i="27"/>
  <c r="I925" i="27"/>
  <c r="I926" i="27"/>
  <c r="I927" i="27"/>
  <c r="I928" i="27"/>
  <c r="I929" i="27"/>
  <c r="I930" i="27"/>
  <c r="I931" i="27"/>
  <c r="I932" i="27"/>
  <c r="I933" i="27"/>
  <c r="I934" i="27"/>
  <c r="I935" i="27"/>
  <c r="I936" i="27"/>
  <c r="I937" i="27"/>
  <c r="I938" i="27"/>
  <c r="I939" i="27"/>
  <c r="I940" i="27"/>
  <c r="I941" i="27"/>
  <c r="I887" i="27"/>
  <c r="I888" i="27"/>
  <c r="I889" i="27"/>
  <c r="I890" i="27"/>
  <c r="I891" i="27"/>
  <c r="I892" i="27"/>
  <c r="I893" i="27"/>
  <c r="I894" i="27"/>
  <c r="I895" i="27"/>
  <c r="I896" i="27"/>
  <c r="I897" i="27"/>
  <c r="I898" i="27"/>
  <c r="I899" i="27"/>
  <c r="I900" i="27"/>
  <c r="I901" i="27"/>
  <c r="I902" i="27"/>
  <c r="I903" i="27"/>
  <c r="I904" i="27"/>
  <c r="I905" i="27"/>
  <c r="I906" i="27"/>
  <c r="I907" i="27"/>
  <c r="I908" i="27"/>
  <c r="I909" i="27"/>
  <c r="I910" i="27"/>
  <c r="I911" i="27"/>
  <c r="I912" i="27"/>
  <c r="I869" i="27" l="1"/>
  <c r="I870" i="27"/>
  <c r="I871" i="27"/>
  <c r="I872" i="27"/>
  <c r="I825" i="27"/>
  <c r="I826" i="27"/>
  <c r="I827" i="27"/>
  <c r="I828" i="27"/>
  <c r="I829" i="27"/>
  <c r="I830" i="27"/>
  <c r="I831" i="27"/>
  <c r="I832" i="27"/>
  <c r="I833" i="27"/>
  <c r="I834" i="27"/>
  <c r="I835" i="27"/>
  <c r="I836" i="27"/>
  <c r="I837" i="27"/>
  <c r="I838" i="27"/>
  <c r="I839" i="27"/>
  <c r="I840" i="27"/>
  <c r="I841" i="27"/>
  <c r="I842" i="27"/>
  <c r="I843" i="27"/>
  <c r="I844" i="27"/>
  <c r="I845" i="27"/>
  <c r="I846" i="27"/>
  <c r="I847" i="27"/>
  <c r="I848" i="27"/>
  <c r="I849" i="27"/>
  <c r="I850" i="27"/>
  <c r="I851" i="27"/>
  <c r="I852" i="27"/>
  <c r="I853" i="27"/>
  <c r="I854" i="27"/>
  <c r="I855" i="27"/>
  <c r="I856" i="27"/>
  <c r="I857" i="27"/>
  <c r="I858" i="27"/>
  <c r="I859" i="27"/>
  <c r="I860" i="27"/>
  <c r="I861" i="27"/>
  <c r="I862" i="27"/>
  <c r="I863" i="27"/>
  <c r="I864" i="27"/>
  <c r="I865" i="27"/>
  <c r="I866" i="27"/>
  <c r="I867" i="27"/>
  <c r="I868" i="27"/>
  <c r="I873" i="27"/>
  <c r="I874" i="27"/>
  <c r="I875" i="27"/>
  <c r="I876" i="27"/>
  <c r="I877" i="27"/>
  <c r="I878" i="27"/>
  <c r="I879" i="27"/>
  <c r="I880" i="27"/>
  <c r="I881" i="27"/>
  <c r="I882" i="27"/>
  <c r="I883" i="27"/>
  <c r="I884" i="27"/>
  <c r="I885" i="27"/>
  <c r="I886" i="27"/>
  <c r="M784" i="17" l="1"/>
  <c r="M730" i="17"/>
  <c r="M731" i="17"/>
  <c r="M809" i="17"/>
  <c r="M810" i="17"/>
  <c r="M811" i="17"/>
  <c r="M812" i="17"/>
  <c r="M876" i="17"/>
  <c r="M875" i="17"/>
  <c r="M874" i="17"/>
  <c r="F874" i="17"/>
  <c r="G874" i="17"/>
  <c r="H874" i="17"/>
  <c r="I874" i="17"/>
  <c r="J874" i="17"/>
  <c r="F875" i="17"/>
  <c r="G875" i="17"/>
  <c r="H875" i="17"/>
  <c r="I875" i="17"/>
  <c r="J875" i="17"/>
  <c r="F876" i="17"/>
  <c r="G876" i="17"/>
  <c r="H876" i="17"/>
  <c r="I876" i="17"/>
  <c r="J876" i="17"/>
  <c r="I807" i="27" l="1"/>
  <c r="I808" i="27"/>
  <c r="I809" i="27"/>
  <c r="I810" i="27"/>
  <c r="I811" i="27"/>
  <c r="I812" i="27"/>
  <c r="I813" i="27"/>
  <c r="I814" i="27"/>
  <c r="I815" i="27"/>
  <c r="I816" i="27"/>
  <c r="I817" i="27"/>
  <c r="I818" i="27"/>
  <c r="I819" i="27"/>
  <c r="I820" i="27"/>
  <c r="I821" i="27"/>
  <c r="I822" i="27"/>
  <c r="I823" i="27"/>
  <c r="I824" i="27"/>
  <c r="I751" i="27"/>
  <c r="I752" i="27"/>
  <c r="I753" i="27"/>
  <c r="I754" i="27"/>
  <c r="I755" i="27"/>
  <c r="I756" i="27"/>
  <c r="I757" i="27"/>
  <c r="I758" i="27"/>
  <c r="I759" i="27"/>
  <c r="I760" i="27"/>
  <c r="I761" i="27"/>
  <c r="I762" i="27"/>
  <c r="I763" i="27"/>
  <c r="I764" i="27"/>
  <c r="I765" i="27"/>
  <c r="I766" i="27"/>
  <c r="I767" i="27"/>
  <c r="I768" i="27"/>
  <c r="I769" i="27"/>
  <c r="I770" i="27"/>
  <c r="I771" i="27"/>
  <c r="I772" i="27"/>
  <c r="I773" i="27"/>
  <c r="I774" i="27"/>
  <c r="I775" i="27"/>
  <c r="I776" i="27"/>
  <c r="I777" i="27"/>
  <c r="I778" i="27"/>
  <c r="I779" i="27"/>
  <c r="I780" i="27"/>
  <c r="I781" i="27"/>
  <c r="I782" i="27"/>
  <c r="I783" i="27"/>
  <c r="I784" i="27"/>
  <c r="I785" i="27"/>
  <c r="I786" i="27"/>
  <c r="I787" i="27"/>
  <c r="I788" i="27"/>
  <c r="I789" i="27"/>
  <c r="I790" i="27"/>
  <c r="I791" i="27"/>
  <c r="I792" i="27"/>
  <c r="I793" i="27"/>
  <c r="I794" i="27"/>
  <c r="I795" i="27"/>
  <c r="I796" i="27"/>
  <c r="I797" i="27"/>
  <c r="I798" i="27"/>
  <c r="I799" i="27"/>
  <c r="I800" i="27"/>
  <c r="I801" i="27"/>
  <c r="I802" i="27"/>
  <c r="I803" i="27"/>
  <c r="I804" i="27"/>
  <c r="I805" i="27"/>
  <c r="I806" i="27"/>
  <c r="I750" i="27" l="1"/>
  <c r="I748" i="27"/>
  <c r="I749" i="27"/>
  <c r="I727" i="27"/>
  <c r="I728" i="27"/>
  <c r="I729" i="27"/>
  <c r="I730" i="27"/>
  <c r="I731" i="27"/>
  <c r="I732" i="27"/>
  <c r="I733" i="27"/>
  <c r="I734" i="27"/>
  <c r="I735" i="27"/>
  <c r="I736" i="27"/>
  <c r="I737" i="27"/>
  <c r="I738" i="27"/>
  <c r="I739" i="27"/>
  <c r="I740" i="27"/>
  <c r="I741" i="27"/>
  <c r="I742" i="27"/>
  <c r="I743" i="27"/>
  <c r="I744" i="27"/>
  <c r="I745" i="27"/>
  <c r="I746" i="27"/>
  <c r="I747" i="27"/>
  <c r="I720" i="27"/>
  <c r="I721" i="27"/>
  <c r="I722" i="27"/>
  <c r="I723" i="27"/>
  <c r="I724" i="27"/>
  <c r="I725" i="27"/>
  <c r="I726" i="27"/>
  <c r="I716" i="27"/>
  <c r="I717" i="27"/>
  <c r="I718" i="27"/>
  <c r="I719" i="27"/>
  <c r="I711" i="27"/>
  <c r="I712" i="27"/>
  <c r="I713" i="27"/>
  <c r="I714" i="27"/>
  <c r="I715" i="27"/>
  <c r="I702" i="27"/>
  <c r="I703" i="27"/>
  <c r="I704" i="27"/>
  <c r="I705" i="27"/>
  <c r="I706" i="27"/>
  <c r="I707" i="27"/>
  <c r="I708" i="27"/>
  <c r="I709" i="27"/>
  <c r="I710" i="27"/>
  <c r="I696" i="27" l="1"/>
  <c r="I697" i="27"/>
  <c r="I698" i="27"/>
  <c r="I699" i="27"/>
  <c r="I700" i="27"/>
  <c r="I701" i="27"/>
  <c r="I694" i="27"/>
  <c r="I695" i="27"/>
  <c r="I686" i="27"/>
  <c r="I687" i="27"/>
  <c r="I688" i="27"/>
  <c r="I689" i="27"/>
  <c r="I690" i="27"/>
  <c r="I691" i="27"/>
  <c r="I692" i="27"/>
  <c r="I693" i="27"/>
  <c r="I672" i="27"/>
  <c r="I673" i="27"/>
  <c r="I674" i="27"/>
  <c r="I675" i="27"/>
  <c r="I676" i="27"/>
  <c r="I677" i="27"/>
  <c r="I678" i="27"/>
  <c r="I679" i="27"/>
  <c r="I680" i="27"/>
  <c r="I681" i="27"/>
  <c r="I682" i="27"/>
  <c r="I683" i="27"/>
  <c r="I684" i="27"/>
  <c r="I685" i="27"/>
  <c r="I668" i="27"/>
  <c r="I669" i="27"/>
  <c r="I670" i="27"/>
  <c r="I671" i="27"/>
  <c r="I657" i="27"/>
  <c r="I658" i="27"/>
  <c r="I659" i="27"/>
  <c r="I660" i="27"/>
  <c r="I661" i="27"/>
  <c r="I662" i="27"/>
  <c r="I663" i="27"/>
  <c r="I664" i="27"/>
  <c r="I665" i="27"/>
  <c r="I666" i="27"/>
  <c r="I667" i="27"/>
  <c r="M1040" i="17" l="1"/>
  <c r="M1041" i="17"/>
  <c r="M1042" i="17"/>
  <c r="M1043" i="17"/>
  <c r="M1044" i="17"/>
  <c r="M1045" i="17"/>
  <c r="M1046" i="17"/>
  <c r="M1047" i="17"/>
  <c r="M1048" i="17"/>
  <c r="M1049" i="17"/>
  <c r="M1050" i="17"/>
  <c r="M1051" i="17"/>
  <c r="M1052" i="17"/>
  <c r="M1053" i="17"/>
  <c r="M1054" i="17"/>
  <c r="M1055" i="17"/>
  <c r="M1056" i="17"/>
  <c r="M1057" i="17"/>
  <c r="M1058" i="17"/>
  <c r="M1059" i="17"/>
  <c r="M1060" i="17"/>
  <c r="M1061" i="17"/>
  <c r="M1062" i="17"/>
  <c r="M1063" i="17"/>
  <c r="M1064" i="17"/>
  <c r="M1065" i="17"/>
  <c r="M1066" i="17"/>
  <c r="M1067" i="17"/>
  <c r="M1068" i="17"/>
  <c r="F1040" i="17"/>
  <c r="F1041" i="17"/>
  <c r="F1042" i="17"/>
  <c r="F1043" i="17"/>
  <c r="F1044" i="17"/>
  <c r="F1045" i="17"/>
  <c r="F1046" i="17"/>
  <c r="F1047" i="17"/>
  <c r="F1048" i="17"/>
  <c r="F1049" i="17"/>
  <c r="F1050" i="17"/>
  <c r="F1051" i="17"/>
  <c r="F1052" i="17"/>
  <c r="F1053" i="17"/>
  <c r="F1054" i="17"/>
  <c r="F1055" i="17"/>
  <c r="F1056" i="17"/>
  <c r="F1057" i="17"/>
  <c r="F1058" i="17"/>
  <c r="F1059" i="17"/>
  <c r="F1060" i="17"/>
  <c r="F1061" i="17"/>
  <c r="F1062" i="17"/>
  <c r="F1063" i="17"/>
  <c r="F1064" i="17"/>
  <c r="F1065" i="17"/>
  <c r="F1066" i="17"/>
  <c r="F1067" i="17"/>
  <c r="F1068" i="17"/>
  <c r="G1040" i="17"/>
  <c r="G1041" i="17"/>
  <c r="G1042" i="17"/>
  <c r="G1043" i="17"/>
  <c r="G1044" i="17"/>
  <c r="G1045" i="17"/>
  <c r="G1046" i="17"/>
  <c r="G1047" i="17"/>
  <c r="G1048" i="17"/>
  <c r="G1049" i="17"/>
  <c r="G1050" i="17"/>
  <c r="G1051" i="17"/>
  <c r="G1052" i="17"/>
  <c r="G1053" i="17"/>
  <c r="G1054" i="17"/>
  <c r="G1055" i="17"/>
  <c r="G1056" i="17"/>
  <c r="G1057" i="17"/>
  <c r="G1058" i="17"/>
  <c r="G1059" i="17"/>
  <c r="G1060" i="17"/>
  <c r="G1061" i="17"/>
  <c r="G1062" i="17"/>
  <c r="G1063" i="17"/>
  <c r="G1064" i="17"/>
  <c r="G1065" i="17"/>
  <c r="G1066" i="17"/>
  <c r="G1067" i="17"/>
  <c r="G1068" i="17"/>
  <c r="H1040" i="17"/>
  <c r="H1041" i="17"/>
  <c r="H1042" i="17"/>
  <c r="H1043" i="17"/>
  <c r="H1044" i="17"/>
  <c r="H1045" i="17"/>
  <c r="H1046" i="17"/>
  <c r="H1047" i="17"/>
  <c r="H1048" i="17"/>
  <c r="H1049" i="17"/>
  <c r="H1050" i="17"/>
  <c r="H1051" i="17"/>
  <c r="H1052" i="17"/>
  <c r="H1053" i="17"/>
  <c r="H1054" i="17"/>
  <c r="H1055" i="17"/>
  <c r="H1056" i="17"/>
  <c r="H1057" i="17"/>
  <c r="H1058" i="17"/>
  <c r="H1059" i="17"/>
  <c r="H1060" i="17"/>
  <c r="H1061" i="17"/>
  <c r="H1062" i="17"/>
  <c r="H1063" i="17"/>
  <c r="H1064" i="17"/>
  <c r="H1065" i="17"/>
  <c r="H1066" i="17"/>
  <c r="H1067" i="17"/>
  <c r="H1068" i="17"/>
  <c r="I1040" i="17"/>
  <c r="I1041" i="17"/>
  <c r="I1042" i="17"/>
  <c r="I1043" i="17"/>
  <c r="I1044" i="17"/>
  <c r="I1045" i="17"/>
  <c r="I1046" i="17"/>
  <c r="I1047" i="17"/>
  <c r="I1048" i="17"/>
  <c r="I1049" i="17"/>
  <c r="I1050" i="17"/>
  <c r="I1051" i="17"/>
  <c r="I1052" i="17"/>
  <c r="I1053" i="17"/>
  <c r="I1054" i="17"/>
  <c r="I1055" i="17"/>
  <c r="I1056" i="17"/>
  <c r="I1057" i="17"/>
  <c r="I1058" i="17"/>
  <c r="I1059" i="17"/>
  <c r="I1060" i="17"/>
  <c r="I1061" i="17"/>
  <c r="I1062" i="17"/>
  <c r="I1063" i="17"/>
  <c r="I1064" i="17"/>
  <c r="I1065" i="17"/>
  <c r="I1066" i="17"/>
  <c r="I1067" i="17"/>
  <c r="I1068" i="17"/>
  <c r="J1040" i="17"/>
  <c r="J1041" i="17"/>
  <c r="J1042" i="17"/>
  <c r="J1043" i="17"/>
  <c r="J1044" i="17"/>
  <c r="J1045" i="17"/>
  <c r="J1046" i="17"/>
  <c r="J1047" i="17"/>
  <c r="J1048" i="17"/>
  <c r="J1049" i="17"/>
  <c r="J1050" i="17"/>
  <c r="J1051" i="17"/>
  <c r="J1052" i="17"/>
  <c r="J1053" i="17"/>
  <c r="J1054" i="17"/>
  <c r="J1055" i="17"/>
  <c r="J1056" i="17"/>
  <c r="J1057" i="17"/>
  <c r="J1058" i="17"/>
  <c r="J1059" i="17"/>
  <c r="J1060" i="17"/>
  <c r="J1061" i="17"/>
  <c r="J1062" i="17"/>
  <c r="J1063" i="17"/>
  <c r="J1064" i="17"/>
  <c r="J1065" i="17"/>
  <c r="J1066" i="17"/>
  <c r="J1067" i="17"/>
  <c r="J1068" i="17"/>
  <c r="M1014" i="17" l="1"/>
  <c r="M1015" i="17"/>
  <c r="M1016" i="17"/>
  <c r="M1017" i="17"/>
  <c r="M1018" i="17"/>
  <c r="M1019" i="17"/>
  <c r="M1020" i="17"/>
  <c r="M1021" i="17"/>
  <c r="M1022" i="17"/>
  <c r="M1023" i="17"/>
  <c r="M1024" i="17"/>
  <c r="M1025" i="17"/>
  <c r="M1026" i="17"/>
  <c r="M1027" i="17"/>
  <c r="M1028" i="17"/>
  <c r="M1029" i="17"/>
  <c r="M1030" i="17"/>
  <c r="M1031" i="17"/>
  <c r="M1032" i="17"/>
  <c r="M1033" i="17"/>
  <c r="M1034" i="17"/>
  <c r="M1035" i="17"/>
  <c r="M1036" i="17"/>
  <c r="M1037" i="17"/>
  <c r="M1038" i="17"/>
  <c r="M1039" i="17"/>
  <c r="F1014" i="17"/>
  <c r="F1015" i="17"/>
  <c r="F1016" i="17"/>
  <c r="F1017" i="17"/>
  <c r="F1018" i="17"/>
  <c r="F1019" i="17"/>
  <c r="F1020" i="17"/>
  <c r="F1021" i="17"/>
  <c r="F1022" i="17"/>
  <c r="F1023" i="17"/>
  <c r="F1024" i="17"/>
  <c r="F1025" i="17"/>
  <c r="F1026" i="17"/>
  <c r="F1027" i="17"/>
  <c r="F1028" i="17"/>
  <c r="F1029" i="17"/>
  <c r="F1030" i="17"/>
  <c r="F1031" i="17"/>
  <c r="F1032" i="17"/>
  <c r="F1033" i="17"/>
  <c r="F1034" i="17"/>
  <c r="F1035" i="17"/>
  <c r="F1036" i="17"/>
  <c r="F1037" i="17"/>
  <c r="F1038" i="17"/>
  <c r="F1039" i="17"/>
  <c r="G1014" i="17"/>
  <c r="G1015" i="17"/>
  <c r="G1016" i="17"/>
  <c r="G1017" i="17"/>
  <c r="G1018" i="17"/>
  <c r="G1019" i="17"/>
  <c r="G1020" i="17"/>
  <c r="G1021" i="17"/>
  <c r="G1022" i="17"/>
  <c r="G1023" i="17"/>
  <c r="G1024" i="17"/>
  <c r="G1025" i="17"/>
  <c r="G1026" i="17"/>
  <c r="G1027" i="17"/>
  <c r="G1028" i="17"/>
  <c r="G1029" i="17"/>
  <c r="G1030" i="17"/>
  <c r="G1031" i="17"/>
  <c r="G1032" i="17"/>
  <c r="G1033" i="17"/>
  <c r="G1034" i="17"/>
  <c r="G1035" i="17"/>
  <c r="G1036" i="17"/>
  <c r="G1037" i="17"/>
  <c r="G1038" i="17"/>
  <c r="G1039" i="17"/>
  <c r="H1014" i="17"/>
  <c r="H1015" i="17"/>
  <c r="H1016" i="17"/>
  <c r="H1017" i="17"/>
  <c r="H1018" i="17"/>
  <c r="H1019" i="17"/>
  <c r="H1020" i="17"/>
  <c r="H1021" i="17"/>
  <c r="H1022" i="17"/>
  <c r="H1023" i="17"/>
  <c r="H1024" i="17"/>
  <c r="H1025" i="17"/>
  <c r="H1026" i="17"/>
  <c r="H1027" i="17"/>
  <c r="H1028" i="17"/>
  <c r="H1029" i="17"/>
  <c r="H1030" i="17"/>
  <c r="H1031" i="17"/>
  <c r="H1032" i="17"/>
  <c r="H1033" i="17"/>
  <c r="H1034" i="17"/>
  <c r="H1035" i="17"/>
  <c r="H1036" i="17"/>
  <c r="H1037" i="17"/>
  <c r="H1038" i="17"/>
  <c r="H1039" i="17"/>
  <c r="I1014" i="17"/>
  <c r="I1015" i="17"/>
  <c r="I1016" i="17"/>
  <c r="I1017" i="17"/>
  <c r="I1018" i="17"/>
  <c r="I1019" i="17"/>
  <c r="I1020" i="17"/>
  <c r="I1021" i="17"/>
  <c r="I1022" i="17"/>
  <c r="I1023" i="17"/>
  <c r="I1024" i="17"/>
  <c r="I1025" i="17"/>
  <c r="I1026" i="17"/>
  <c r="I1027" i="17"/>
  <c r="I1028" i="17"/>
  <c r="I1029" i="17"/>
  <c r="I1030" i="17"/>
  <c r="I1031" i="17"/>
  <c r="I1032" i="17"/>
  <c r="I1033" i="17"/>
  <c r="I1034" i="17"/>
  <c r="I1035" i="17"/>
  <c r="I1036" i="17"/>
  <c r="I1037" i="17"/>
  <c r="I1038" i="17"/>
  <c r="I1039" i="17"/>
  <c r="J1014" i="17"/>
  <c r="J1015" i="17"/>
  <c r="J1016" i="17"/>
  <c r="J1017" i="17"/>
  <c r="J1018" i="17"/>
  <c r="J1019" i="17"/>
  <c r="J1020" i="17"/>
  <c r="J1021" i="17"/>
  <c r="J1022" i="17"/>
  <c r="J1023" i="17"/>
  <c r="J1024" i="17"/>
  <c r="J1025" i="17"/>
  <c r="J1026" i="17"/>
  <c r="J1027" i="17"/>
  <c r="J1028" i="17"/>
  <c r="J1029" i="17"/>
  <c r="J1030" i="17"/>
  <c r="J1031" i="17"/>
  <c r="J1032" i="17"/>
  <c r="J1033" i="17"/>
  <c r="J1034" i="17"/>
  <c r="J1035" i="17"/>
  <c r="J1036" i="17"/>
  <c r="J1037" i="17"/>
  <c r="J1038" i="17"/>
  <c r="J1039" i="17"/>
  <c r="F951" i="17" l="1"/>
  <c r="G951" i="17"/>
  <c r="H951" i="17"/>
  <c r="I951" i="17"/>
  <c r="F952" i="17"/>
  <c r="G952" i="17"/>
  <c r="H952" i="17"/>
  <c r="I952" i="17"/>
  <c r="F953" i="17"/>
  <c r="G953" i="17"/>
  <c r="H953" i="17"/>
  <c r="I953" i="17"/>
  <c r="F954" i="17"/>
  <c r="G954" i="17"/>
  <c r="H954" i="17"/>
  <c r="I954" i="17"/>
  <c r="F955" i="17"/>
  <c r="G955" i="17"/>
  <c r="H955" i="17"/>
  <c r="I955" i="17"/>
  <c r="F956" i="17"/>
  <c r="G956" i="17"/>
  <c r="H956" i="17"/>
  <c r="I956" i="17"/>
  <c r="F957" i="17"/>
  <c r="G957" i="17"/>
  <c r="H957" i="17"/>
  <c r="I957" i="17"/>
  <c r="F958" i="17"/>
  <c r="G958" i="17"/>
  <c r="H958" i="17"/>
  <c r="I958" i="17"/>
  <c r="F959" i="17"/>
  <c r="G959" i="17"/>
  <c r="H959" i="17"/>
  <c r="I959" i="17"/>
  <c r="F960" i="17"/>
  <c r="G960" i="17"/>
  <c r="H960" i="17"/>
  <c r="I960" i="17"/>
  <c r="F961" i="17"/>
  <c r="G961" i="17"/>
  <c r="H961" i="17"/>
  <c r="I961" i="17"/>
  <c r="F962" i="17"/>
  <c r="G962" i="17"/>
  <c r="H962" i="17"/>
  <c r="I962" i="17"/>
  <c r="F963" i="17"/>
  <c r="G963" i="17"/>
  <c r="H963" i="17"/>
  <c r="I963" i="17"/>
  <c r="F964" i="17"/>
  <c r="G964" i="17"/>
  <c r="H964" i="17"/>
  <c r="I964" i="17"/>
  <c r="F965" i="17"/>
  <c r="G965" i="17"/>
  <c r="H965" i="17"/>
  <c r="I965" i="17"/>
  <c r="F966" i="17"/>
  <c r="G966" i="17"/>
  <c r="H966" i="17"/>
  <c r="I966" i="17"/>
  <c r="F967" i="17"/>
  <c r="G967" i="17"/>
  <c r="H967" i="17"/>
  <c r="I967" i="17"/>
  <c r="F968" i="17"/>
  <c r="G968" i="17"/>
  <c r="H968" i="17"/>
  <c r="I968" i="17"/>
  <c r="F969" i="17"/>
  <c r="G969" i="17"/>
  <c r="H969" i="17"/>
  <c r="I969" i="17"/>
  <c r="F970" i="17"/>
  <c r="G970" i="17"/>
  <c r="H970" i="17"/>
  <c r="I970" i="17"/>
  <c r="F971" i="17"/>
  <c r="G971" i="17"/>
  <c r="H971" i="17"/>
  <c r="I971" i="17"/>
  <c r="F972" i="17"/>
  <c r="G972" i="17"/>
  <c r="H972" i="17"/>
  <c r="I972" i="17"/>
  <c r="F973" i="17"/>
  <c r="G973" i="17"/>
  <c r="H973" i="17"/>
  <c r="I973" i="17"/>
  <c r="F974" i="17"/>
  <c r="G974" i="17"/>
  <c r="H974" i="17"/>
  <c r="I974" i="17"/>
  <c r="F975" i="17"/>
  <c r="G975" i="17"/>
  <c r="H975" i="17"/>
  <c r="I975" i="17"/>
  <c r="F976" i="17"/>
  <c r="G976" i="17"/>
  <c r="H976" i="17"/>
  <c r="I976" i="17"/>
  <c r="F977" i="17"/>
  <c r="G977" i="17"/>
  <c r="H977" i="17"/>
  <c r="I977" i="17"/>
  <c r="F978" i="17"/>
  <c r="G978" i="17"/>
  <c r="H978" i="17"/>
  <c r="I978" i="17"/>
  <c r="F979" i="17"/>
  <c r="G979" i="17"/>
  <c r="H979" i="17"/>
  <c r="I979" i="17"/>
  <c r="F980" i="17"/>
  <c r="G980" i="17"/>
  <c r="H980" i="17"/>
  <c r="I980" i="17"/>
  <c r="F981" i="17"/>
  <c r="G981" i="17"/>
  <c r="H981" i="17"/>
  <c r="I981" i="17"/>
  <c r="F982" i="17"/>
  <c r="G982" i="17"/>
  <c r="H982" i="17"/>
  <c r="I982" i="17"/>
  <c r="F983" i="17"/>
  <c r="G983" i="17"/>
  <c r="H983" i="17"/>
  <c r="I983" i="17"/>
  <c r="F984" i="17"/>
  <c r="G984" i="17"/>
  <c r="H984" i="17"/>
  <c r="I984" i="17"/>
  <c r="F985" i="17"/>
  <c r="G985" i="17"/>
  <c r="H985" i="17"/>
  <c r="I985" i="17"/>
  <c r="F986" i="17"/>
  <c r="G986" i="17"/>
  <c r="H986" i="17"/>
  <c r="I986" i="17"/>
  <c r="F987" i="17"/>
  <c r="G987" i="17"/>
  <c r="H987" i="17"/>
  <c r="I987" i="17"/>
  <c r="F988" i="17"/>
  <c r="G988" i="17"/>
  <c r="H988" i="17"/>
  <c r="I988" i="17"/>
  <c r="F989" i="17"/>
  <c r="G989" i="17"/>
  <c r="H989" i="17"/>
  <c r="I989" i="17"/>
  <c r="F990" i="17"/>
  <c r="G990" i="17"/>
  <c r="H990" i="17"/>
  <c r="I990" i="17"/>
  <c r="F991" i="17"/>
  <c r="G991" i="17"/>
  <c r="H991" i="17"/>
  <c r="I991" i="17"/>
  <c r="F992" i="17"/>
  <c r="G992" i="17"/>
  <c r="H992" i="17"/>
  <c r="I992" i="17"/>
  <c r="F993" i="17"/>
  <c r="G993" i="17"/>
  <c r="H993" i="17"/>
  <c r="I993" i="17"/>
  <c r="F994" i="17"/>
  <c r="G994" i="17"/>
  <c r="H994" i="17"/>
  <c r="I994" i="17"/>
  <c r="F995" i="17"/>
  <c r="G995" i="17"/>
  <c r="H995" i="17"/>
  <c r="I995" i="17"/>
  <c r="F996" i="17"/>
  <c r="G996" i="17"/>
  <c r="H996" i="17"/>
  <c r="I996" i="17"/>
  <c r="F997" i="17"/>
  <c r="G997" i="17"/>
  <c r="H997" i="17"/>
  <c r="I997" i="17"/>
  <c r="F998" i="17"/>
  <c r="G998" i="17"/>
  <c r="H998" i="17"/>
  <c r="I998" i="17"/>
  <c r="F999" i="17"/>
  <c r="G999" i="17"/>
  <c r="H999" i="17"/>
  <c r="I999" i="17"/>
  <c r="F1000" i="17"/>
  <c r="G1000" i="17"/>
  <c r="H1000" i="17"/>
  <c r="I1000" i="17"/>
  <c r="F1001" i="17"/>
  <c r="G1001" i="17"/>
  <c r="H1001" i="17"/>
  <c r="I1001" i="17"/>
  <c r="F1002" i="17"/>
  <c r="G1002" i="17"/>
  <c r="H1002" i="17"/>
  <c r="I1002" i="17"/>
  <c r="F1003" i="17"/>
  <c r="G1003" i="17"/>
  <c r="H1003" i="17"/>
  <c r="I1003" i="17"/>
  <c r="F1004" i="17"/>
  <c r="G1004" i="17"/>
  <c r="H1004" i="17"/>
  <c r="I1004" i="17"/>
  <c r="F1005" i="17"/>
  <c r="G1005" i="17"/>
  <c r="H1005" i="17"/>
  <c r="I1005" i="17"/>
  <c r="F1006" i="17"/>
  <c r="G1006" i="17"/>
  <c r="H1006" i="17"/>
  <c r="I1006" i="17"/>
  <c r="F1007" i="17"/>
  <c r="G1007" i="17"/>
  <c r="H1007" i="17"/>
  <c r="I1007" i="17"/>
  <c r="F1008" i="17"/>
  <c r="G1008" i="17"/>
  <c r="H1008" i="17"/>
  <c r="I1008" i="17"/>
  <c r="F1009" i="17"/>
  <c r="G1009" i="17"/>
  <c r="H1009" i="17"/>
  <c r="I1009" i="17"/>
  <c r="F1010" i="17"/>
  <c r="G1010" i="17"/>
  <c r="H1010" i="17"/>
  <c r="I1010" i="17"/>
  <c r="F1011" i="17"/>
  <c r="G1011" i="17"/>
  <c r="H1011" i="17"/>
  <c r="I1011" i="17"/>
  <c r="F1012" i="17"/>
  <c r="G1012" i="17"/>
  <c r="H1012" i="17"/>
  <c r="I1012" i="17"/>
  <c r="F1013" i="17"/>
  <c r="G1013" i="17"/>
  <c r="H1013" i="17"/>
  <c r="I1013" i="17"/>
  <c r="M1002" i="17" l="1"/>
  <c r="M951" i="17"/>
  <c r="M952" i="17"/>
  <c r="M953" i="17"/>
  <c r="M954" i="17"/>
  <c r="M955" i="17"/>
  <c r="M956" i="17"/>
  <c r="M957" i="17"/>
  <c r="M958" i="17"/>
  <c r="M959" i="17"/>
  <c r="M960" i="17"/>
  <c r="M961" i="17"/>
  <c r="M962" i="17"/>
  <c r="M963" i="17"/>
  <c r="M964" i="17"/>
  <c r="M965" i="17"/>
  <c r="M966" i="17"/>
  <c r="M967" i="17"/>
  <c r="M968" i="17"/>
  <c r="M969" i="17"/>
  <c r="M970" i="17"/>
  <c r="M971" i="17"/>
  <c r="M972" i="17"/>
  <c r="M973" i="17"/>
  <c r="M974" i="17"/>
  <c r="M975" i="17"/>
  <c r="M976" i="17"/>
  <c r="M977" i="17"/>
  <c r="M978" i="17"/>
  <c r="M979" i="17"/>
  <c r="M980" i="17"/>
  <c r="M981" i="17"/>
  <c r="M982" i="17"/>
  <c r="M983" i="17"/>
  <c r="M984" i="17"/>
  <c r="M985" i="17"/>
  <c r="M986" i="17"/>
  <c r="M987" i="17"/>
  <c r="M988" i="17"/>
  <c r="M989" i="17"/>
  <c r="M990" i="17"/>
  <c r="M991" i="17"/>
  <c r="M992" i="17"/>
  <c r="M993" i="17"/>
  <c r="M994" i="17"/>
  <c r="M995" i="17"/>
  <c r="M996" i="17"/>
  <c r="M997" i="17"/>
  <c r="M998" i="17"/>
  <c r="M999" i="17"/>
  <c r="M1000" i="17"/>
  <c r="M1001" i="17"/>
  <c r="M1003" i="17"/>
  <c r="M1004" i="17"/>
  <c r="M1005" i="17"/>
  <c r="M1006" i="17"/>
  <c r="M1007" i="17"/>
  <c r="M1008" i="17"/>
  <c r="M1009" i="17"/>
  <c r="M1010" i="17"/>
  <c r="M1011" i="17"/>
  <c r="M1012" i="17"/>
  <c r="M1013" i="17"/>
  <c r="J1008" i="17" l="1"/>
  <c r="J1009" i="17"/>
  <c r="J1010" i="17"/>
  <c r="J1011" i="17"/>
  <c r="J1012" i="17"/>
  <c r="J1013" i="17"/>
  <c r="J951" i="17" l="1"/>
  <c r="J952" i="17"/>
  <c r="J953" i="17"/>
  <c r="J954" i="17"/>
  <c r="J955" i="17"/>
  <c r="J956" i="17"/>
  <c r="J957" i="17"/>
  <c r="J958" i="17"/>
  <c r="J959" i="17"/>
  <c r="J960" i="17"/>
  <c r="J961" i="17"/>
  <c r="J962" i="17"/>
  <c r="J963" i="17"/>
  <c r="J964" i="17"/>
  <c r="J965" i="17"/>
  <c r="J966" i="17"/>
  <c r="J967" i="17"/>
  <c r="J968" i="17"/>
  <c r="J969" i="17"/>
  <c r="J970" i="17"/>
  <c r="J971" i="17"/>
  <c r="J972" i="17"/>
  <c r="J973" i="17"/>
  <c r="J974" i="17"/>
  <c r="J975" i="17"/>
  <c r="J976" i="17"/>
  <c r="J977" i="17"/>
  <c r="J978" i="17"/>
  <c r="J979" i="17"/>
  <c r="J980" i="17"/>
  <c r="J981" i="17"/>
  <c r="J982" i="17"/>
  <c r="J983" i="17"/>
  <c r="J984" i="17"/>
  <c r="J985" i="17"/>
  <c r="J986" i="17"/>
  <c r="J987" i="17"/>
  <c r="J988" i="17"/>
  <c r="J989" i="17"/>
  <c r="J990" i="17"/>
  <c r="J991" i="17"/>
  <c r="J992" i="17"/>
  <c r="J993" i="17"/>
  <c r="J994" i="17"/>
  <c r="J995" i="17"/>
  <c r="J996" i="17"/>
  <c r="J997" i="17"/>
  <c r="J998" i="17"/>
  <c r="J999" i="17"/>
  <c r="J1000" i="17"/>
  <c r="J1001" i="17"/>
  <c r="J1002" i="17"/>
  <c r="J1003" i="17"/>
  <c r="J1004" i="17"/>
  <c r="J1005" i="17"/>
  <c r="J1006" i="17"/>
  <c r="J1007" i="17"/>
  <c r="M878" i="17" l="1"/>
  <c r="M879" i="17"/>
  <c r="M880" i="17"/>
  <c r="M881" i="17"/>
  <c r="M882" i="17"/>
  <c r="M883" i="17"/>
  <c r="M884" i="17"/>
  <c r="M885" i="17"/>
  <c r="M886" i="17"/>
  <c r="M887" i="17"/>
  <c r="M888" i="17"/>
  <c r="M889" i="17"/>
  <c r="M890" i="17"/>
  <c r="M891" i="17"/>
  <c r="M892" i="17"/>
  <c r="M893" i="17"/>
  <c r="M894" i="17"/>
  <c r="M895" i="17"/>
  <c r="M896" i="17"/>
  <c r="M897" i="17"/>
  <c r="M898" i="17"/>
  <c r="M899" i="17"/>
  <c r="M900" i="17"/>
  <c r="M901" i="17"/>
  <c r="M902" i="17"/>
  <c r="M903" i="17"/>
  <c r="M904" i="17"/>
  <c r="M905" i="17"/>
  <c r="M906" i="17"/>
  <c r="M907" i="17"/>
  <c r="M908" i="17"/>
  <c r="M909" i="17"/>
  <c r="M910" i="17"/>
  <c r="M911" i="17"/>
  <c r="M912" i="17"/>
  <c r="M913" i="17"/>
  <c r="M914" i="17"/>
  <c r="M915" i="17"/>
  <c r="M916" i="17"/>
  <c r="M917" i="17"/>
  <c r="M918" i="17"/>
  <c r="M919" i="17"/>
  <c r="M920" i="17"/>
  <c r="M921" i="17"/>
  <c r="M922" i="17"/>
  <c r="M923" i="17"/>
  <c r="M924" i="17"/>
  <c r="M925" i="17"/>
  <c r="M926" i="17"/>
  <c r="M927" i="17"/>
  <c r="M928" i="17"/>
  <c r="M929" i="17"/>
  <c r="M930" i="17"/>
  <c r="M931" i="17"/>
  <c r="M932" i="17"/>
  <c r="M933" i="17"/>
  <c r="M934" i="17"/>
  <c r="M935" i="17"/>
  <c r="M936" i="17"/>
  <c r="M937" i="17"/>
  <c r="M938" i="17"/>
  <c r="M939" i="17"/>
  <c r="M940" i="17"/>
  <c r="M941" i="17"/>
  <c r="M942" i="17"/>
  <c r="M943" i="17"/>
  <c r="M944" i="17"/>
  <c r="M945" i="17"/>
  <c r="M946" i="17"/>
  <c r="M947" i="17"/>
  <c r="M948" i="17"/>
  <c r="M949" i="17"/>
  <c r="M950" i="17"/>
  <c r="M877" i="17"/>
  <c r="J877" i="17"/>
  <c r="F911" i="17"/>
  <c r="F912" i="17"/>
  <c r="F913" i="17"/>
  <c r="F914" i="17"/>
  <c r="F915" i="17"/>
  <c r="F916" i="17"/>
  <c r="F917" i="17"/>
  <c r="F918" i="17"/>
  <c r="F919" i="17"/>
  <c r="F920" i="17"/>
  <c r="F921" i="17"/>
  <c r="F922" i="17"/>
  <c r="F923" i="17"/>
  <c r="F924" i="17"/>
  <c r="F925" i="17"/>
  <c r="F926" i="17"/>
  <c r="F927" i="17"/>
  <c r="F928" i="17"/>
  <c r="F929" i="17"/>
  <c r="F930" i="17"/>
  <c r="F931" i="17"/>
  <c r="F932" i="17"/>
  <c r="F933" i="17"/>
  <c r="F934" i="17"/>
  <c r="F935" i="17"/>
  <c r="F936" i="17"/>
  <c r="F937" i="17"/>
  <c r="F938" i="17"/>
  <c r="F939" i="17"/>
  <c r="F940" i="17"/>
  <c r="F941" i="17"/>
  <c r="F942" i="17"/>
  <c r="F943" i="17"/>
  <c r="F944" i="17"/>
  <c r="F945" i="17"/>
  <c r="F946" i="17"/>
  <c r="F947" i="17"/>
  <c r="F948" i="17"/>
  <c r="F949" i="17"/>
  <c r="F950" i="17"/>
  <c r="G911" i="17"/>
  <c r="G912" i="17"/>
  <c r="G913" i="17"/>
  <c r="G914" i="17"/>
  <c r="G915" i="17"/>
  <c r="G916" i="17"/>
  <c r="G917" i="17"/>
  <c r="G918" i="17"/>
  <c r="G919" i="17"/>
  <c r="G920" i="17"/>
  <c r="G921" i="17"/>
  <c r="G922" i="17"/>
  <c r="G923" i="17"/>
  <c r="G924" i="17"/>
  <c r="G925" i="17"/>
  <c r="G926" i="17"/>
  <c r="G927" i="17"/>
  <c r="G928" i="17"/>
  <c r="G929" i="17"/>
  <c r="G930" i="17"/>
  <c r="G931" i="17"/>
  <c r="G932" i="17"/>
  <c r="G933" i="17"/>
  <c r="G934" i="17"/>
  <c r="G935" i="17"/>
  <c r="G936" i="17"/>
  <c r="G937" i="17"/>
  <c r="G938" i="17"/>
  <c r="G939" i="17"/>
  <c r="G940" i="17"/>
  <c r="G941" i="17"/>
  <c r="G942" i="17"/>
  <c r="G943" i="17"/>
  <c r="G944" i="17"/>
  <c r="G945" i="17"/>
  <c r="G946" i="17"/>
  <c r="G947" i="17"/>
  <c r="G948" i="17"/>
  <c r="G949" i="17"/>
  <c r="G950" i="17"/>
  <c r="H911" i="17"/>
  <c r="H912" i="17"/>
  <c r="H913" i="17"/>
  <c r="H914" i="17"/>
  <c r="H915" i="17"/>
  <c r="H916" i="17"/>
  <c r="H917" i="17"/>
  <c r="H918" i="17"/>
  <c r="H919" i="17"/>
  <c r="H920" i="17"/>
  <c r="H921" i="17"/>
  <c r="H922" i="17"/>
  <c r="H923" i="17"/>
  <c r="H924" i="17"/>
  <c r="H925" i="17"/>
  <c r="H926" i="17"/>
  <c r="H927" i="17"/>
  <c r="H928" i="17"/>
  <c r="H929" i="17"/>
  <c r="H930" i="17"/>
  <c r="H931" i="17"/>
  <c r="H932" i="17"/>
  <c r="H933" i="17"/>
  <c r="H934" i="17"/>
  <c r="H935" i="17"/>
  <c r="H936" i="17"/>
  <c r="H937" i="17"/>
  <c r="H938" i="17"/>
  <c r="H939" i="17"/>
  <c r="H940" i="17"/>
  <c r="H941" i="17"/>
  <c r="H942" i="17"/>
  <c r="H943" i="17"/>
  <c r="H944" i="17"/>
  <c r="H945" i="17"/>
  <c r="H946" i="17"/>
  <c r="H947" i="17"/>
  <c r="H948" i="17"/>
  <c r="H949" i="17"/>
  <c r="H950" i="17"/>
  <c r="I911" i="17"/>
  <c r="I912" i="17"/>
  <c r="I913" i="17"/>
  <c r="I914" i="17"/>
  <c r="I915" i="17"/>
  <c r="I916" i="17"/>
  <c r="I917" i="17"/>
  <c r="I918" i="17"/>
  <c r="I919" i="17"/>
  <c r="I920" i="17"/>
  <c r="I921" i="17"/>
  <c r="I922" i="17"/>
  <c r="I923" i="17"/>
  <c r="I924" i="17"/>
  <c r="I925" i="17"/>
  <c r="I926" i="17"/>
  <c r="I927" i="17"/>
  <c r="I928" i="17"/>
  <c r="I929" i="17"/>
  <c r="I930" i="17"/>
  <c r="I931" i="17"/>
  <c r="I932" i="17"/>
  <c r="I933" i="17"/>
  <c r="I934" i="17"/>
  <c r="I935" i="17"/>
  <c r="I936" i="17"/>
  <c r="I937" i="17"/>
  <c r="I938" i="17"/>
  <c r="I939" i="17"/>
  <c r="I940" i="17"/>
  <c r="I941" i="17"/>
  <c r="I942" i="17"/>
  <c r="I943" i="17"/>
  <c r="I944" i="17"/>
  <c r="I945" i="17"/>
  <c r="I946" i="17"/>
  <c r="I947" i="17"/>
  <c r="I948" i="17"/>
  <c r="I949" i="17"/>
  <c r="I950" i="17"/>
  <c r="J911" i="17"/>
  <c r="J912" i="17"/>
  <c r="J913" i="17"/>
  <c r="J914" i="17"/>
  <c r="J915" i="17"/>
  <c r="J916" i="17"/>
  <c r="J917" i="17"/>
  <c r="J918" i="17"/>
  <c r="J919" i="17"/>
  <c r="J920" i="17"/>
  <c r="J921" i="17"/>
  <c r="J922" i="17"/>
  <c r="J923" i="17"/>
  <c r="J924" i="17"/>
  <c r="J925" i="17"/>
  <c r="J926" i="17"/>
  <c r="J927" i="17"/>
  <c r="J928" i="17"/>
  <c r="J929" i="17"/>
  <c r="J930" i="17"/>
  <c r="J931" i="17"/>
  <c r="J932" i="17"/>
  <c r="J933" i="17"/>
  <c r="J934" i="17"/>
  <c r="J935" i="17"/>
  <c r="J936" i="17"/>
  <c r="J937" i="17"/>
  <c r="J938" i="17"/>
  <c r="J939" i="17"/>
  <c r="J940" i="17"/>
  <c r="J941" i="17"/>
  <c r="J942" i="17"/>
  <c r="J943" i="17"/>
  <c r="J944" i="17"/>
  <c r="J945" i="17"/>
  <c r="J946" i="17"/>
  <c r="J947" i="17"/>
  <c r="J948" i="17"/>
  <c r="J949" i="17"/>
  <c r="J950" i="17"/>
  <c r="F878" i="17"/>
  <c r="F910" i="17"/>
  <c r="G910" i="17"/>
  <c r="H910" i="17"/>
  <c r="I910" i="17"/>
  <c r="J910" i="17"/>
  <c r="F908" i="17"/>
  <c r="F909" i="17"/>
  <c r="G908" i="17"/>
  <c r="G909" i="17"/>
  <c r="H908" i="17"/>
  <c r="H909" i="17"/>
  <c r="I908" i="17"/>
  <c r="I909" i="17"/>
  <c r="J908" i="17"/>
  <c r="J909" i="17"/>
  <c r="F905" i="17"/>
  <c r="F906" i="17"/>
  <c r="F907" i="17"/>
  <c r="G905" i="17"/>
  <c r="G906" i="17"/>
  <c r="G907" i="17"/>
  <c r="H905" i="17"/>
  <c r="H906" i="17"/>
  <c r="H907" i="17"/>
  <c r="I905" i="17"/>
  <c r="I906" i="17"/>
  <c r="I907" i="17"/>
  <c r="J905" i="17"/>
  <c r="J906" i="17"/>
  <c r="J907" i="17"/>
  <c r="F902" i="17"/>
  <c r="F903" i="17"/>
  <c r="F904" i="17"/>
  <c r="G902" i="17"/>
  <c r="G903" i="17"/>
  <c r="G904" i="17"/>
  <c r="H902" i="17"/>
  <c r="H903" i="17"/>
  <c r="H904" i="17"/>
  <c r="I902" i="17"/>
  <c r="I903" i="17"/>
  <c r="I904" i="17"/>
  <c r="J902" i="17"/>
  <c r="J903" i="17"/>
  <c r="J904" i="17"/>
  <c r="F901" i="17"/>
  <c r="G901" i="17"/>
  <c r="H901" i="17"/>
  <c r="I901" i="17"/>
  <c r="J901" i="17"/>
  <c r="F900" i="17"/>
  <c r="G900" i="17"/>
  <c r="H900" i="17"/>
  <c r="I900" i="17"/>
  <c r="J900" i="17"/>
  <c r="F899" i="17"/>
  <c r="G899" i="17"/>
  <c r="H899" i="17"/>
  <c r="I899" i="17"/>
  <c r="J899" i="17"/>
  <c r="F894" i="17"/>
  <c r="F895" i="17"/>
  <c r="F896" i="17"/>
  <c r="F897" i="17"/>
  <c r="F898" i="17"/>
  <c r="G894" i="17"/>
  <c r="G895" i="17"/>
  <c r="G896" i="17"/>
  <c r="G897" i="17"/>
  <c r="G898" i="17"/>
  <c r="H894" i="17"/>
  <c r="H895" i="17"/>
  <c r="H896" i="17"/>
  <c r="H897" i="17"/>
  <c r="H898" i="17"/>
  <c r="I894" i="17"/>
  <c r="I895" i="17"/>
  <c r="I896" i="17"/>
  <c r="I897" i="17"/>
  <c r="I898" i="17"/>
  <c r="J894" i="17"/>
  <c r="J895" i="17"/>
  <c r="J896" i="17"/>
  <c r="J897" i="17"/>
  <c r="J898" i="17"/>
  <c r="F892" i="17"/>
  <c r="F893" i="17"/>
  <c r="G892" i="17"/>
  <c r="G893" i="17"/>
  <c r="H892" i="17"/>
  <c r="H893" i="17"/>
  <c r="I892" i="17"/>
  <c r="I893" i="17"/>
  <c r="J892" i="17"/>
  <c r="J893" i="17"/>
  <c r="F891" i="17"/>
  <c r="G891" i="17"/>
  <c r="H891" i="17"/>
  <c r="I891" i="17"/>
  <c r="J891" i="17"/>
  <c r="F888" i="17"/>
  <c r="F889" i="17"/>
  <c r="F890" i="17"/>
  <c r="G888" i="17"/>
  <c r="G889" i="17"/>
  <c r="G890" i="17"/>
  <c r="H888" i="17"/>
  <c r="H889" i="17"/>
  <c r="H890" i="17"/>
  <c r="I888" i="17"/>
  <c r="I889" i="17"/>
  <c r="I890" i="17"/>
  <c r="J888" i="17"/>
  <c r="J889" i="17"/>
  <c r="J890" i="17"/>
  <c r="F884" i="17"/>
  <c r="F885" i="17"/>
  <c r="F886" i="17"/>
  <c r="F887" i="17"/>
  <c r="G884" i="17"/>
  <c r="G885" i="17"/>
  <c r="G886" i="17"/>
  <c r="G887" i="17"/>
  <c r="H884" i="17"/>
  <c r="H885" i="17"/>
  <c r="H886" i="17"/>
  <c r="H887" i="17"/>
  <c r="I884" i="17"/>
  <c r="I885" i="17"/>
  <c r="I886" i="17"/>
  <c r="I887" i="17"/>
  <c r="J884" i="17"/>
  <c r="J885" i="17"/>
  <c r="J886" i="17"/>
  <c r="J887" i="17"/>
  <c r="F883" i="17"/>
  <c r="G883" i="17"/>
  <c r="H883" i="17"/>
  <c r="I883" i="17"/>
  <c r="J883" i="17"/>
  <c r="F882" i="17"/>
  <c r="G882" i="17"/>
  <c r="H882" i="17"/>
  <c r="I882" i="17"/>
  <c r="J882" i="17"/>
  <c r="F879" i="17"/>
  <c r="F880" i="17"/>
  <c r="F881" i="17"/>
  <c r="G878" i="17"/>
  <c r="G879" i="17"/>
  <c r="G880" i="17"/>
  <c r="G881" i="17"/>
  <c r="H878" i="17"/>
  <c r="H879" i="17"/>
  <c r="H880" i="17"/>
  <c r="H881" i="17"/>
  <c r="I878" i="17"/>
  <c r="I879" i="17"/>
  <c r="I880" i="17"/>
  <c r="I881" i="17"/>
  <c r="J878" i="17"/>
  <c r="J879" i="17"/>
  <c r="J880" i="17"/>
  <c r="J881" i="17"/>
  <c r="F877" i="17" l="1"/>
  <c r="G877" i="17"/>
  <c r="H877" i="17"/>
  <c r="I877" i="17"/>
  <c r="M813" i="17" l="1"/>
  <c r="M814" i="17"/>
  <c r="M815" i="17"/>
  <c r="M816" i="17"/>
  <c r="M817" i="17"/>
  <c r="M818" i="17"/>
  <c r="M819" i="17"/>
  <c r="M820" i="17"/>
  <c r="M821" i="17"/>
  <c r="M822" i="17"/>
  <c r="M826" i="17"/>
  <c r="M827" i="17"/>
  <c r="M828" i="17"/>
  <c r="M829" i="17"/>
  <c r="M830" i="17"/>
  <c r="M831" i="17"/>
  <c r="M832" i="17"/>
  <c r="M833" i="17"/>
  <c r="M835" i="17"/>
  <c r="M836" i="17"/>
  <c r="M837" i="17"/>
  <c r="M838" i="17"/>
  <c r="M840" i="17"/>
  <c r="M841" i="17"/>
  <c r="M842" i="17"/>
  <c r="M843" i="17"/>
  <c r="M844" i="17"/>
  <c r="M845" i="17"/>
  <c r="M846" i="17"/>
  <c r="M848" i="17"/>
  <c r="M849" i="17"/>
  <c r="M850" i="17"/>
  <c r="M851" i="17"/>
  <c r="M852" i="17"/>
  <c r="M853" i="17"/>
  <c r="M854" i="17"/>
  <c r="M855" i="17"/>
  <c r="M856" i="17"/>
  <c r="M857" i="17"/>
  <c r="M858" i="17"/>
  <c r="M859" i="17"/>
  <c r="M860" i="17"/>
  <c r="M861" i="17"/>
  <c r="M862" i="17"/>
  <c r="M863" i="17"/>
  <c r="M864" i="17"/>
  <c r="M865" i="17"/>
  <c r="M866" i="17"/>
  <c r="M867" i="17"/>
  <c r="M868" i="17"/>
  <c r="M870" i="17"/>
  <c r="M871" i="17"/>
  <c r="M873" i="17"/>
  <c r="F809" i="17"/>
  <c r="F810" i="17"/>
  <c r="F811" i="17"/>
  <c r="F812" i="17"/>
  <c r="F813" i="17"/>
  <c r="F814" i="17"/>
  <c r="F815" i="17"/>
  <c r="F816" i="17"/>
  <c r="F817" i="17"/>
  <c r="F818" i="17"/>
  <c r="F819" i="17"/>
  <c r="F820" i="17"/>
  <c r="F821" i="17"/>
  <c r="F822" i="17"/>
  <c r="F823" i="17"/>
  <c r="F824" i="17"/>
  <c r="F825" i="17"/>
  <c r="F826" i="17"/>
  <c r="F827" i="17"/>
  <c r="F828" i="17"/>
  <c r="F829" i="17"/>
  <c r="F830" i="17"/>
  <c r="F831" i="17"/>
  <c r="F832" i="17"/>
  <c r="F833" i="17"/>
  <c r="F834" i="17"/>
  <c r="F835" i="17"/>
  <c r="F836" i="17"/>
  <c r="F837" i="17"/>
  <c r="F838" i="17"/>
  <c r="F839" i="17"/>
  <c r="F840" i="17"/>
  <c r="F841" i="17"/>
  <c r="F842" i="17"/>
  <c r="F843" i="17"/>
  <c r="F844" i="17"/>
  <c r="F845" i="17"/>
  <c r="F846" i="17"/>
  <c r="F847" i="17"/>
  <c r="F848" i="17"/>
  <c r="F849" i="17"/>
  <c r="F850" i="17"/>
  <c r="F851" i="17"/>
  <c r="F852" i="17"/>
  <c r="F853" i="17"/>
  <c r="F854" i="17"/>
  <c r="F855" i="17"/>
  <c r="F856" i="17"/>
  <c r="F857" i="17"/>
  <c r="F858" i="17"/>
  <c r="F859" i="17"/>
  <c r="F860" i="17"/>
  <c r="F861" i="17"/>
  <c r="F862" i="17"/>
  <c r="F863" i="17"/>
  <c r="F864" i="17"/>
  <c r="F865" i="17"/>
  <c r="F866" i="17"/>
  <c r="F867" i="17"/>
  <c r="F868" i="17"/>
  <c r="F869" i="17"/>
  <c r="F870" i="17"/>
  <c r="F871" i="17"/>
  <c r="F872" i="17"/>
  <c r="F873" i="17"/>
  <c r="G809" i="17"/>
  <c r="G810" i="17"/>
  <c r="G811" i="17"/>
  <c r="G812" i="17"/>
  <c r="G813" i="17"/>
  <c r="G814" i="17"/>
  <c r="G815" i="17"/>
  <c r="G816" i="17"/>
  <c r="G817" i="17"/>
  <c r="G818" i="17"/>
  <c r="G819" i="17"/>
  <c r="G820" i="17"/>
  <c r="G821" i="17"/>
  <c r="G822" i="17"/>
  <c r="G823" i="17"/>
  <c r="G824" i="17"/>
  <c r="G825" i="17"/>
  <c r="G826" i="17"/>
  <c r="G827" i="17"/>
  <c r="G828" i="17"/>
  <c r="G829" i="17"/>
  <c r="G830" i="17"/>
  <c r="G831" i="17"/>
  <c r="G832" i="17"/>
  <c r="G833" i="17"/>
  <c r="G834" i="17"/>
  <c r="G835" i="17"/>
  <c r="G836" i="17"/>
  <c r="G837" i="17"/>
  <c r="G838" i="17"/>
  <c r="G839" i="17"/>
  <c r="G840" i="17"/>
  <c r="G841" i="17"/>
  <c r="G842" i="17"/>
  <c r="G843" i="17"/>
  <c r="G844" i="17"/>
  <c r="G845" i="17"/>
  <c r="G846" i="17"/>
  <c r="G847" i="17"/>
  <c r="G848" i="17"/>
  <c r="G849" i="17"/>
  <c r="G850" i="17"/>
  <c r="G851" i="17"/>
  <c r="G852" i="17"/>
  <c r="G853" i="17"/>
  <c r="G854" i="17"/>
  <c r="G855" i="17"/>
  <c r="G856" i="17"/>
  <c r="G857" i="17"/>
  <c r="G858" i="17"/>
  <c r="G859" i="17"/>
  <c r="G860" i="17"/>
  <c r="G861" i="17"/>
  <c r="G862" i="17"/>
  <c r="G863" i="17"/>
  <c r="G864" i="17"/>
  <c r="G865" i="17"/>
  <c r="G866" i="17"/>
  <c r="G867" i="17"/>
  <c r="G868" i="17"/>
  <c r="G869" i="17"/>
  <c r="G870" i="17"/>
  <c r="G871" i="17"/>
  <c r="G872" i="17"/>
  <c r="G873" i="17"/>
  <c r="H809" i="17"/>
  <c r="H810" i="17"/>
  <c r="H811" i="17"/>
  <c r="H812" i="17"/>
  <c r="H813" i="17"/>
  <c r="H814" i="17"/>
  <c r="H815" i="17"/>
  <c r="H816" i="17"/>
  <c r="H817" i="17"/>
  <c r="H818" i="17"/>
  <c r="H819" i="17"/>
  <c r="H820" i="17"/>
  <c r="H821" i="17"/>
  <c r="H822" i="17"/>
  <c r="H823" i="17"/>
  <c r="H824" i="17"/>
  <c r="H825" i="17"/>
  <c r="H826" i="17"/>
  <c r="H827" i="17"/>
  <c r="H828" i="17"/>
  <c r="H829" i="17"/>
  <c r="H830" i="17"/>
  <c r="H831" i="17"/>
  <c r="H832" i="17"/>
  <c r="H833" i="17"/>
  <c r="H834" i="17"/>
  <c r="H835" i="17"/>
  <c r="H836" i="17"/>
  <c r="H837" i="17"/>
  <c r="H838" i="17"/>
  <c r="H839" i="17"/>
  <c r="H840" i="17"/>
  <c r="H841" i="17"/>
  <c r="H842" i="17"/>
  <c r="H843" i="17"/>
  <c r="H844" i="17"/>
  <c r="H845" i="17"/>
  <c r="H846" i="17"/>
  <c r="H847" i="17"/>
  <c r="H848" i="17"/>
  <c r="H849" i="17"/>
  <c r="H850" i="17"/>
  <c r="H851" i="17"/>
  <c r="H852" i="17"/>
  <c r="H853" i="17"/>
  <c r="H854" i="17"/>
  <c r="H855" i="17"/>
  <c r="H856" i="17"/>
  <c r="H857" i="17"/>
  <c r="H858" i="17"/>
  <c r="H859" i="17"/>
  <c r="H860" i="17"/>
  <c r="H861" i="17"/>
  <c r="H862" i="17"/>
  <c r="H863" i="17"/>
  <c r="H864" i="17"/>
  <c r="H865" i="17"/>
  <c r="H866" i="17"/>
  <c r="H867" i="17"/>
  <c r="H868" i="17"/>
  <c r="H869" i="17"/>
  <c r="H870" i="17"/>
  <c r="H871" i="17"/>
  <c r="H872" i="17"/>
  <c r="H873" i="17"/>
  <c r="I809" i="17"/>
  <c r="I810" i="17"/>
  <c r="I811" i="17"/>
  <c r="I812" i="17"/>
  <c r="I813" i="17"/>
  <c r="I814" i="17"/>
  <c r="I815" i="17"/>
  <c r="I816" i="17"/>
  <c r="I817" i="17"/>
  <c r="I818" i="17"/>
  <c r="I819" i="17"/>
  <c r="I820" i="17"/>
  <c r="I821" i="17"/>
  <c r="I822" i="17"/>
  <c r="I823" i="17"/>
  <c r="I824" i="17"/>
  <c r="I825" i="17"/>
  <c r="I826" i="17"/>
  <c r="I827" i="17"/>
  <c r="I828" i="17"/>
  <c r="I829" i="17"/>
  <c r="I830" i="17"/>
  <c r="I831" i="17"/>
  <c r="I832" i="17"/>
  <c r="I833" i="17"/>
  <c r="I834" i="17"/>
  <c r="I835" i="17"/>
  <c r="I836" i="17"/>
  <c r="I837" i="17"/>
  <c r="I838" i="17"/>
  <c r="I839" i="17"/>
  <c r="I840" i="17"/>
  <c r="I841" i="17"/>
  <c r="I842" i="17"/>
  <c r="I843" i="17"/>
  <c r="I844" i="17"/>
  <c r="I845" i="17"/>
  <c r="I846" i="17"/>
  <c r="I847" i="17"/>
  <c r="I848" i="17"/>
  <c r="I849" i="17"/>
  <c r="I850" i="17"/>
  <c r="I851" i="17"/>
  <c r="I852" i="17"/>
  <c r="I853" i="17"/>
  <c r="I854" i="17"/>
  <c r="I855" i="17"/>
  <c r="I856" i="17"/>
  <c r="I857" i="17"/>
  <c r="I858" i="17"/>
  <c r="I859" i="17"/>
  <c r="I860" i="17"/>
  <c r="I861" i="17"/>
  <c r="I862" i="17"/>
  <c r="I863" i="17"/>
  <c r="I864" i="17"/>
  <c r="I865" i="17"/>
  <c r="I866" i="17"/>
  <c r="I867" i="17"/>
  <c r="I868" i="17"/>
  <c r="I869" i="17"/>
  <c r="I870" i="17"/>
  <c r="I871" i="17"/>
  <c r="I872" i="17"/>
  <c r="I873" i="17"/>
  <c r="J809" i="17"/>
  <c r="J810" i="17"/>
  <c r="J811" i="17"/>
  <c r="J812" i="17"/>
  <c r="J813" i="17"/>
  <c r="J814" i="17"/>
  <c r="J815" i="17"/>
  <c r="J816" i="17"/>
  <c r="J817" i="17"/>
  <c r="J818" i="17"/>
  <c r="J819" i="17"/>
  <c r="J820" i="17"/>
  <c r="J821" i="17"/>
  <c r="J822" i="17"/>
  <c r="J823" i="17"/>
  <c r="J824" i="17"/>
  <c r="J825" i="17"/>
  <c r="J826" i="17"/>
  <c r="J827" i="17"/>
  <c r="J828" i="17"/>
  <c r="J829" i="17"/>
  <c r="J830" i="17"/>
  <c r="J831" i="17"/>
  <c r="J832" i="17"/>
  <c r="J833" i="17"/>
  <c r="J834" i="17"/>
  <c r="J835" i="17"/>
  <c r="J836" i="17"/>
  <c r="J837" i="17"/>
  <c r="J838" i="17"/>
  <c r="J839" i="17"/>
  <c r="J840" i="17"/>
  <c r="J841" i="17"/>
  <c r="J842" i="17"/>
  <c r="J843" i="17"/>
  <c r="J844" i="17"/>
  <c r="J845" i="17"/>
  <c r="J846" i="17"/>
  <c r="J847" i="17"/>
  <c r="J848" i="17"/>
  <c r="J849" i="17"/>
  <c r="J850" i="17"/>
  <c r="J851" i="17"/>
  <c r="J852" i="17"/>
  <c r="J853" i="17"/>
  <c r="J854" i="17"/>
  <c r="J855" i="17"/>
  <c r="J856" i="17"/>
  <c r="J857" i="17"/>
  <c r="J858" i="17"/>
  <c r="J859" i="17"/>
  <c r="J860" i="17"/>
  <c r="J861" i="17"/>
  <c r="J862" i="17"/>
  <c r="J863" i="17"/>
  <c r="J864" i="17"/>
  <c r="J865" i="17"/>
  <c r="J866" i="17"/>
  <c r="J867" i="17"/>
  <c r="J868" i="17"/>
  <c r="J869" i="17"/>
  <c r="J870" i="17"/>
  <c r="J871" i="17"/>
  <c r="J872" i="17"/>
  <c r="J873" i="17"/>
  <c r="M764" i="17" l="1"/>
  <c r="M743" i="17"/>
  <c r="M744" i="17"/>
  <c r="M745" i="17"/>
  <c r="M746" i="17"/>
  <c r="M747" i="17"/>
  <c r="M748" i="17"/>
  <c r="M753" i="17"/>
  <c r="M754" i="17"/>
  <c r="M757" i="17"/>
  <c r="M758" i="17"/>
  <c r="M761" i="17"/>
  <c r="M762" i="17"/>
  <c r="M765" i="17"/>
  <c r="M766" i="17"/>
  <c r="M767" i="17"/>
  <c r="M768" i="17"/>
  <c r="M769" i="17"/>
  <c r="M770" i="17"/>
  <c r="M771" i="17"/>
  <c r="M772" i="17"/>
  <c r="M773" i="17"/>
  <c r="M776" i="17"/>
  <c r="M779" i="17"/>
  <c r="M780" i="17"/>
  <c r="M782" i="17"/>
  <c r="M786" i="17"/>
  <c r="M787" i="17"/>
  <c r="M788" i="17"/>
  <c r="M789" i="17"/>
  <c r="M790" i="17"/>
  <c r="M791" i="17"/>
  <c r="M794" i="17"/>
  <c r="M795" i="17"/>
  <c r="M796" i="17"/>
  <c r="M797" i="17"/>
  <c r="M798" i="17"/>
  <c r="M799" i="17"/>
  <c r="M800" i="17"/>
  <c r="M802" i="17"/>
  <c r="M803" i="17"/>
  <c r="M804" i="17"/>
  <c r="M805" i="17"/>
  <c r="M806" i="17"/>
  <c r="M807" i="17"/>
  <c r="M808" i="17"/>
  <c r="F795" i="17"/>
  <c r="F800" i="17"/>
  <c r="F801" i="17"/>
  <c r="F802" i="17"/>
  <c r="F803" i="17"/>
  <c r="F804" i="17"/>
  <c r="F805" i="17"/>
  <c r="F806" i="17"/>
  <c r="F807" i="17"/>
  <c r="F808" i="17"/>
  <c r="G800" i="17"/>
  <c r="G801" i="17"/>
  <c r="G802" i="17"/>
  <c r="G803" i="17"/>
  <c r="G804" i="17"/>
  <c r="G805" i="17"/>
  <c r="G806" i="17"/>
  <c r="G807" i="17"/>
  <c r="G808" i="17"/>
  <c r="H800" i="17"/>
  <c r="H801" i="17"/>
  <c r="H802" i="17"/>
  <c r="H803" i="17"/>
  <c r="H804" i="17"/>
  <c r="H805" i="17"/>
  <c r="H806" i="17"/>
  <c r="H807" i="17"/>
  <c r="H808" i="17"/>
  <c r="I800" i="17"/>
  <c r="I801" i="17"/>
  <c r="I802" i="17"/>
  <c r="I803" i="17"/>
  <c r="I804" i="17"/>
  <c r="I805" i="17"/>
  <c r="I806" i="17"/>
  <c r="I807" i="17"/>
  <c r="I808" i="17"/>
  <c r="J800" i="17"/>
  <c r="J801" i="17"/>
  <c r="J802" i="17"/>
  <c r="J803" i="17"/>
  <c r="J804" i="17"/>
  <c r="J805" i="17"/>
  <c r="J806" i="17"/>
  <c r="J807" i="17"/>
  <c r="J808" i="17"/>
  <c r="F792" i="17"/>
  <c r="F793" i="17"/>
  <c r="F794" i="17"/>
  <c r="F796" i="17"/>
  <c r="F797" i="17"/>
  <c r="F798" i="17"/>
  <c r="F799" i="17"/>
  <c r="G792" i="17"/>
  <c r="G793" i="17"/>
  <c r="G794" i="17"/>
  <c r="G795" i="17"/>
  <c r="G796" i="17"/>
  <c r="G797" i="17"/>
  <c r="G798" i="17"/>
  <c r="G799" i="17"/>
  <c r="H792" i="17"/>
  <c r="H793" i="17"/>
  <c r="H794" i="17"/>
  <c r="H795" i="17"/>
  <c r="H796" i="17"/>
  <c r="H797" i="17"/>
  <c r="H798" i="17"/>
  <c r="H799" i="17"/>
  <c r="I792" i="17"/>
  <c r="I793" i="17"/>
  <c r="I794" i="17"/>
  <c r="I795" i="17"/>
  <c r="I796" i="17"/>
  <c r="I797" i="17"/>
  <c r="I798" i="17"/>
  <c r="I799" i="17"/>
  <c r="J792" i="17"/>
  <c r="J793" i="17"/>
  <c r="J794" i="17"/>
  <c r="J795" i="17"/>
  <c r="J796" i="17"/>
  <c r="J797" i="17"/>
  <c r="J798" i="17"/>
  <c r="J799" i="17"/>
  <c r="F760" i="17"/>
  <c r="F761" i="17"/>
  <c r="F762" i="17"/>
  <c r="F763" i="17"/>
  <c r="F764" i="17"/>
  <c r="F765" i="17"/>
  <c r="F766" i="17"/>
  <c r="F767" i="17"/>
  <c r="F768" i="17"/>
  <c r="F769" i="17"/>
  <c r="F770" i="17"/>
  <c r="F771" i="17"/>
  <c r="F772" i="17"/>
  <c r="F773" i="17"/>
  <c r="F774" i="17"/>
  <c r="F775" i="17"/>
  <c r="F776" i="17"/>
  <c r="F777" i="17"/>
  <c r="F778" i="17"/>
  <c r="F779" i="17"/>
  <c r="F780" i="17"/>
  <c r="F781" i="17"/>
  <c r="F782" i="17"/>
  <c r="F783" i="17"/>
  <c r="F784" i="17"/>
  <c r="F785" i="17"/>
  <c r="F786" i="17"/>
  <c r="F787" i="17"/>
  <c r="F788" i="17"/>
  <c r="F789" i="17"/>
  <c r="F790" i="17"/>
  <c r="F791" i="17"/>
  <c r="G760" i="17"/>
  <c r="G761" i="17"/>
  <c r="G762" i="17"/>
  <c r="G763" i="17"/>
  <c r="G764" i="17"/>
  <c r="G765" i="17"/>
  <c r="G766" i="17"/>
  <c r="G767" i="17"/>
  <c r="G768" i="17"/>
  <c r="G769" i="17"/>
  <c r="G770" i="17"/>
  <c r="G771" i="17"/>
  <c r="G772" i="17"/>
  <c r="G773" i="17"/>
  <c r="G774" i="17"/>
  <c r="G775" i="17"/>
  <c r="G776" i="17"/>
  <c r="G777" i="17"/>
  <c r="G778" i="17"/>
  <c r="G779" i="17"/>
  <c r="G780" i="17"/>
  <c r="G781" i="17"/>
  <c r="G782" i="17"/>
  <c r="G783" i="17"/>
  <c r="G784" i="17"/>
  <c r="G785" i="17"/>
  <c r="G786" i="17"/>
  <c r="G787" i="17"/>
  <c r="G788" i="17"/>
  <c r="G789" i="17"/>
  <c r="G790" i="17"/>
  <c r="G791" i="17"/>
  <c r="H760" i="17"/>
  <c r="H761" i="17"/>
  <c r="H762" i="17"/>
  <c r="H763" i="17"/>
  <c r="H764" i="17"/>
  <c r="H765" i="17"/>
  <c r="H766" i="17"/>
  <c r="H767" i="17"/>
  <c r="H768" i="17"/>
  <c r="H769" i="17"/>
  <c r="H770" i="17"/>
  <c r="H771" i="17"/>
  <c r="H772" i="17"/>
  <c r="H773" i="17"/>
  <c r="H774" i="17"/>
  <c r="H775" i="17"/>
  <c r="H776" i="17"/>
  <c r="H777" i="17"/>
  <c r="H778" i="17"/>
  <c r="H779" i="17"/>
  <c r="H780" i="17"/>
  <c r="H781" i="17"/>
  <c r="H782" i="17"/>
  <c r="H783" i="17"/>
  <c r="H784" i="17"/>
  <c r="H785" i="17"/>
  <c r="H786" i="17"/>
  <c r="H787" i="17"/>
  <c r="H788" i="17"/>
  <c r="H789" i="17"/>
  <c r="H790" i="17"/>
  <c r="H791" i="17"/>
  <c r="I760" i="17"/>
  <c r="I761" i="17"/>
  <c r="I762" i="17"/>
  <c r="I763" i="17"/>
  <c r="I764" i="17"/>
  <c r="I765" i="17"/>
  <c r="I766" i="17"/>
  <c r="I767" i="17"/>
  <c r="I768" i="17"/>
  <c r="I769" i="17"/>
  <c r="I770" i="17"/>
  <c r="I771" i="17"/>
  <c r="I772" i="17"/>
  <c r="I773" i="17"/>
  <c r="I774" i="17"/>
  <c r="I775" i="17"/>
  <c r="I776" i="17"/>
  <c r="I777" i="17"/>
  <c r="I778" i="17"/>
  <c r="I779" i="17"/>
  <c r="I780" i="17"/>
  <c r="I781" i="17"/>
  <c r="I782" i="17"/>
  <c r="I783" i="17"/>
  <c r="I784" i="17"/>
  <c r="I785" i="17"/>
  <c r="I786" i="17"/>
  <c r="I787" i="17"/>
  <c r="I788" i="17"/>
  <c r="I789" i="17"/>
  <c r="I790" i="17"/>
  <c r="I791" i="17"/>
  <c r="J760" i="17"/>
  <c r="J761" i="17"/>
  <c r="J762" i="17"/>
  <c r="J763" i="17"/>
  <c r="J764" i="17"/>
  <c r="J765" i="17"/>
  <c r="J766" i="17"/>
  <c r="J767" i="17"/>
  <c r="J768" i="17"/>
  <c r="J769" i="17"/>
  <c r="J770" i="17"/>
  <c r="J771" i="17"/>
  <c r="J772" i="17"/>
  <c r="J773" i="17"/>
  <c r="J774" i="17"/>
  <c r="J775" i="17"/>
  <c r="J776" i="17"/>
  <c r="J777" i="17"/>
  <c r="J778" i="17"/>
  <c r="J779" i="17"/>
  <c r="J780" i="17"/>
  <c r="J781" i="17"/>
  <c r="J782" i="17"/>
  <c r="J783" i="17"/>
  <c r="J784" i="17"/>
  <c r="J785" i="17"/>
  <c r="J786" i="17"/>
  <c r="J787" i="17"/>
  <c r="J788" i="17"/>
  <c r="J789" i="17"/>
  <c r="J790" i="17"/>
  <c r="J791" i="17"/>
  <c r="F732" i="17"/>
  <c r="F733" i="17"/>
  <c r="F734" i="17"/>
  <c r="F735" i="17"/>
  <c r="F736" i="17"/>
  <c r="F737" i="17"/>
  <c r="F738" i="17"/>
  <c r="F739" i="17"/>
  <c r="F740" i="17"/>
  <c r="F741" i="17"/>
  <c r="F742" i="17"/>
  <c r="F743" i="17"/>
  <c r="F744" i="17"/>
  <c r="F745" i="17"/>
  <c r="F746" i="17"/>
  <c r="F747" i="17"/>
  <c r="F748" i="17"/>
  <c r="F749" i="17"/>
  <c r="F750" i="17"/>
  <c r="F751" i="17"/>
  <c r="F752" i="17"/>
  <c r="F753" i="17"/>
  <c r="F754" i="17"/>
  <c r="F755" i="17"/>
  <c r="F756" i="17"/>
  <c r="F757" i="17"/>
  <c r="F758" i="17"/>
  <c r="F759" i="17"/>
  <c r="G732" i="17"/>
  <c r="G733" i="17"/>
  <c r="G734" i="17"/>
  <c r="G735" i="17"/>
  <c r="G736" i="17"/>
  <c r="G737" i="17"/>
  <c r="G738" i="17"/>
  <c r="G739" i="17"/>
  <c r="G740" i="17"/>
  <c r="G741" i="17"/>
  <c r="G742" i="17"/>
  <c r="G743" i="17"/>
  <c r="G744" i="17"/>
  <c r="G745" i="17"/>
  <c r="G746" i="17"/>
  <c r="G747" i="17"/>
  <c r="G748" i="17"/>
  <c r="G749" i="17"/>
  <c r="G750" i="17"/>
  <c r="G751" i="17"/>
  <c r="G752" i="17"/>
  <c r="G753" i="17"/>
  <c r="G754" i="17"/>
  <c r="G755" i="17"/>
  <c r="G756" i="17"/>
  <c r="G757" i="17"/>
  <c r="G758" i="17"/>
  <c r="G759" i="17"/>
  <c r="H732" i="17"/>
  <c r="H733" i="17"/>
  <c r="H734" i="17"/>
  <c r="H735" i="17"/>
  <c r="H736" i="17"/>
  <c r="H737" i="17"/>
  <c r="H738" i="17"/>
  <c r="H739" i="17"/>
  <c r="H740" i="17"/>
  <c r="H741" i="17"/>
  <c r="H742" i="17"/>
  <c r="H743" i="17"/>
  <c r="H744" i="17"/>
  <c r="H745" i="17"/>
  <c r="H746" i="17"/>
  <c r="H747" i="17"/>
  <c r="H748" i="17"/>
  <c r="H749" i="17"/>
  <c r="H750" i="17"/>
  <c r="H751" i="17"/>
  <c r="H752" i="17"/>
  <c r="H753" i="17"/>
  <c r="H754" i="17"/>
  <c r="H755" i="17"/>
  <c r="H756" i="17"/>
  <c r="H757" i="17"/>
  <c r="H758" i="17"/>
  <c r="H759" i="17"/>
  <c r="I732" i="17"/>
  <c r="I733" i="17"/>
  <c r="I734" i="17"/>
  <c r="I735" i="17"/>
  <c r="I736" i="17"/>
  <c r="I737" i="17"/>
  <c r="I738" i="17"/>
  <c r="I739" i="17"/>
  <c r="I740" i="17"/>
  <c r="I741" i="17"/>
  <c r="I742" i="17"/>
  <c r="I743" i="17"/>
  <c r="I744" i="17"/>
  <c r="I745" i="17"/>
  <c r="I746" i="17"/>
  <c r="I747" i="17"/>
  <c r="I748" i="17"/>
  <c r="I749" i="17"/>
  <c r="I750" i="17"/>
  <c r="I751" i="17"/>
  <c r="I752" i="17"/>
  <c r="I753" i="17"/>
  <c r="I754" i="17"/>
  <c r="I755" i="17"/>
  <c r="I756" i="17"/>
  <c r="I757" i="17"/>
  <c r="I758" i="17"/>
  <c r="I759" i="17"/>
  <c r="J732" i="17"/>
  <c r="J733" i="17"/>
  <c r="J734" i="17"/>
  <c r="J735" i="17"/>
  <c r="J736" i="17"/>
  <c r="J737" i="17"/>
  <c r="J738" i="17"/>
  <c r="J739" i="17"/>
  <c r="J740" i="17"/>
  <c r="J741" i="17"/>
  <c r="J742" i="17"/>
  <c r="J743" i="17"/>
  <c r="J744" i="17"/>
  <c r="J745" i="17"/>
  <c r="J746" i="17"/>
  <c r="J747" i="17"/>
  <c r="J748" i="17"/>
  <c r="J749" i="17"/>
  <c r="J750" i="17"/>
  <c r="J751" i="17"/>
  <c r="J752" i="17"/>
  <c r="J753" i="17"/>
  <c r="J754" i="17"/>
  <c r="J755" i="17"/>
  <c r="J756" i="17"/>
  <c r="J757" i="17"/>
  <c r="J758" i="17"/>
  <c r="J759" i="17"/>
  <c r="F731" i="17"/>
  <c r="G731" i="17"/>
  <c r="H731" i="17"/>
  <c r="I731" i="17"/>
  <c r="J731" i="17"/>
  <c r="F730" i="17" l="1"/>
  <c r="G730" i="17"/>
  <c r="H730" i="17"/>
  <c r="I730" i="17"/>
  <c r="J730" i="17"/>
  <c r="M681" i="17"/>
  <c r="M682" i="17"/>
  <c r="M683" i="17"/>
  <c r="M684" i="17"/>
  <c r="M685" i="17"/>
  <c r="M686" i="17"/>
  <c r="M687" i="17"/>
  <c r="M688" i="17"/>
  <c r="M689" i="17"/>
  <c r="M690" i="17"/>
  <c r="M692" i="17"/>
  <c r="M693" i="17"/>
  <c r="M694" i="17"/>
  <c r="M695" i="17"/>
  <c r="M697" i="17"/>
  <c r="M698" i="17"/>
  <c r="M699" i="17"/>
  <c r="M700" i="17"/>
  <c r="M701" i="17"/>
  <c r="M702" i="17"/>
  <c r="M703" i="17"/>
  <c r="M704" i="17"/>
  <c r="M705" i="17"/>
  <c r="M706" i="17"/>
  <c r="M707" i="17"/>
  <c r="M708" i="17"/>
  <c r="M709" i="17"/>
  <c r="M710" i="17"/>
  <c r="M712" i="17"/>
  <c r="M713" i="17"/>
  <c r="M714" i="17"/>
  <c r="M715" i="17"/>
  <c r="M716" i="17"/>
  <c r="M717" i="17"/>
  <c r="M718" i="17"/>
  <c r="M719" i="17"/>
  <c r="M720" i="17"/>
  <c r="M721" i="17"/>
  <c r="M722" i="17"/>
  <c r="M723" i="17"/>
  <c r="M724" i="17"/>
  <c r="M725" i="17"/>
  <c r="M726" i="17"/>
  <c r="M727" i="17"/>
  <c r="M728" i="17"/>
  <c r="M729" i="17"/>
  <c r="M680" i="17"/>
  <c r="F729" i="17"/>
  <c r="G729" i="17"/>
  <c r="H729" i="17"/>
  <c r="I729" i="17"/>
  <c r="J729" i="17"/>
  <c r="F722" i="17"/>
  <c r="F723" i="17"/>
  <c r="F724" i="17"/>
  <c r="F725" i="17"/>
  <c r="F726" i="17"/>
  <c r="F727" i="17"/>
  <c r="F728" i="17"/>
  <c r="G722" i="17"/>
  <c r="G723" i="17"/>
  <c r="G724" i="17"/>
  <c r="G725" i="17"/>
  <c r="G726" i="17"/>
  <c r="G727" i="17"/>
  <c r="G728" i="17"/>
  <c r="H722" i="17"/>
  <c r="H723" i="17"/>
  <c r="H724" i="17"/>
  <c r="H725" i="17"/>
  <c r="H726" i="17"/>
  <c r="H727" i="17"/>
  <c r="H728" i="17"/>
  <c r="I722" i="17"/>
  <c r="I723" i="17"/>
  <c r="I724" i="17"/>
  <c r="I725" i="17"/>
  <c r="I726" i="17"/>
  <c r="I727" i="17"/>
  <c r="I728" i="17"/>
  <c r="J722" i="17"/>
  <c r="J723" i="17"/>
  <c r="J724" i="17"/>
  <c r="J725" i="17"/>
  <c r="J726" i="17"/>
  <c r="J727" i="17"/>
  <c r="J728" i="17"/>
  <c r="F680" i="17"/>
  <c r="F681" i="17"/>
  <c r="F682" i="17"/>
  <c r="F683" i="17"/>
  <c r="F684" i="17"/>
  <c r="F685" i="17"/>
  <c r="F686" i="17"/>
  <c r="F687" i="17"/>
  <c r="F688" i="17"/>
  <c r="F689" i="17"/>
  <c r="F690" i="17"/>
  <c r="F691" i="17"/>
  <c r="F692" i="17"/>
  <c r="F693" i="17"/>
  <c r="F694" i="17"/>
  <c r="F695" i="17"/>
  <c r="F696" i="17"/>
  <c r="F697" i="17"/>
  <c r="F698" i="17"/>
  <c r="F699" i="17"/>
  <c r="F700" i="17"/>
  <c r="F701" i="17"/>
  <c r="F702" i="17"/>
  <c r="F703" i="17"/>
  <c r="F704" i="17"/>
  <c r="F705" i="17"/>
  <c r="F706" i="17"/>
  <c r="F707" i="17"/>
  <c r="F708" i="17"/>
  <c r="F709" i="17"/>
  <c r="F710" i="17"/>
  <c r="F711" i="17"/>
  <c r="F712" i="17"/>
  <c r="F713" i="17"/>
  <c r="F714" i="17"/>
  <c r="F715" i="17"/>
  <c r="F716" i="17"/>
  <c r="F717" i="17"/>
  <c r="F718" i="17"/>
  <c r="F719" i="17"/>
  <c r="F720" i="17"/>
  <c r="F721" i="17"/>
  <c r="G680" i="17"/>
  <c r="G681" i="17"/>
  <c r="G682" i="17"/>
  <c r="G683" i="17"/>
  <c r="G684" i="17"/>
  <c r="G685" i="17"/>
  <c r="G686" i="17"/>
  <c r="G687" i="17"/>
  <c r="G688" i="17"/>
  <c r="G689" i="17"/>
  <c r="G690" i="17"/>
  <c r="G691" i="17"/>
  <c r="G692" i="17"/>
  <c r="G693" i="17"/>
  <c r="G694" i="17"/>
  <c r="G695" i="17"/>
  <c r="G696" i="17"/>
  <c r="G697" i="17"/>
  <c r="G698" i="17"/>
  <c r="G699" i="17"/>
  <c r="G700" i="17"/>
  <c r="G701" i="17"/>
  <c r="G702" i="17"/>
  <c r="G703" i="17"/>
  <c r="G704" i="17"/>
  <c r="G705" i="17"/>
  <c r="G706" i="17"/>
  <c r="G707" i="17"/>
  <c r="G708" i="17"/>
  <c r="G709" i="17"/>
  <c r="G710" i="17"/>
  <c r="G711" i="17"/>
  <c r="G712" i="17"/>
  <c r="G713" i="17"/>
  <c r="G714" i="17"/>
  <c r="G715" i="17"/>
  <c r="G716" i="17"/>
  <c r="G717" i="17"/>
  <c r="G718" i="17"/>
  <c r="G719" i="17"/>
  <c r="G720" i="17"/>
  <c r="G721" i="17"/>
  <c r="H680" i="17"/>
  <c r="H681" i="17"/>
  <c r="H682" i="17"/>
  <c r="H683" i="17"/>
  <c r="H684" i="17"/>
  <c r="H685" i="17"/>
  <c r="H686" i="17"/>
  <c r="H687" i="17"/>
  <c r="H688" i="17"/>
  <c r="H689" i="17"/>
  <c r="H690" i="17"/>
  <c r="H691" i="17"/>
  <c r="H692" i="17"/>
  <c r="H693" i="17"/>
  <c r="H694" i="17"/>
  <c r="H695" i="17"/>
  <c r="H696" i="17"/>
  <c r="H697" i="17"/>
  <c r="H698" i="17"/>
  <c r="H699" i="17"/>
  <c r="H700" i="17"/>
  <c r="H701" i="17"/>
  <c r="H702" i="17"/>
  <c r="H703" i="17"/>
  <c r="H704" i="17"/>
  <c r="H705" i="17"/>
  <c r="H706" i="17"/>
  <c r="H707" i="17"/>
  <c r="H708" i="17"/>
  <c r="H709" i="17"/>
  <c r="H710" i="17"/>
  <c r="H711" i="17"/>
  <c r="H712" i="17"/>
  <c r="H713" i="17"/>
  <c r="H714" i="17"/>
  <c r="H715" i="17"/>
  <c r="H716" i="17"/>
  <c r="H717" i="17"/>
  <c r="H718" i="17"/>
  <c r="H719" i="17"/>
  <c r="H720" i="17"/>
  <c r="H721" i="17"/>
  <c r="I680" i="17"/>
  <c r="I681" i="17"/>
  <c r="I682" i="17"/>
  <c r="I683" i="17"/>
  <c r="I684" i="17"/>
  <c r="I685" i="17"/>
  <c r="I686" i="17"/>
  <c r="I687" i="17"/>
  <c r="I688" i="17"/>
  <c r="I689" i="17"/>
  <c r="I690" i="17"/>
  <c r="I691" i="17"/>
  <c r="I692" i="17"/>
  <c r="I693" i="17"/>
  <c r="I694" i="17"/>
  <c r="I695" i="17"/>
  <c r="I696" i="17"/>
  <c r="I697" i="17"/>
  <c r="I698" i="17"/>
  <c r="I699" i="17"/>
  <c r="I700" i="17"/>
  <c r="I701" i="17"/>
  <c r="I702" i="17"/>
  <c r="I703" i="17"/>
  <c r="I704" i="17"/>
  <c r="I705" i="17"/>
  <c r="I706" i="17"/>
  <c r="I707" i="17"/>
  <c r="I708" i="17"/>
  <c r="I709" i="17"/>
  <c r="I710" i="17"/>
  <c r="I711" i="17"/>
  <c r="I712" i="17"/>
  <c r="I713" i="17"/>
  <c r="I714" i="17"/>
  <c r="I715" i="17"/>
  <c r="I716" i="17"/>
  <c r="I717" i="17"/>
  <c r="I718" i="17"/>
  <c r="I719" i="17"/>
  <c r="I720" i="17"/>
  <c r="I721" i="17"/>
  <c r="J680" i="17"/>
  <c r="J681" i="17"/>
  <c r="J682" i="17"/>
  <c r="J683" i="17"/>
  <c r="J684" i="17"/>
  <c r="J685" i="17"/>
  <c r="J686" i="17"/>
  <c r="J687" i="17"/>
  <c r="J688" i="17"/>
  <c r="J689" i="17"/>
  <c r="J690" i="17"/>
  <c r="J691" i="17"/>
  <c r="J692" i="17"/>
  <c r="J693" i="17"/>
  <c r="J694" i="17"/>
  <c r="J695" i="17"/>
  <c r="J696" i="17"/>
  <c r="J697" i="17"/>
  <c r="J698" i="17"/>
  <c r="J699" i="17"/>
  <c r="J700" i="17"/>
  <c r="J701" i="17"/>
  <c r="J702" i="17"/>
  <c r="J703" i="17"/>
  <c r="J704" i="17"/>
  <c r="J705" i="17"/>
  <c r="J706" i="17"/>
  <c r="J707" i="17"/>
  <c r="J708" i="17"/>
  <c r="J709" i="17"/>
  <c r="J710" i="17"/>
  <c r="J711" i="17"/>
  <c r="J712" i="17"/>
  <c r="J713" i="17"/>
  <c r="J714" i="17"/>
  <c r="J715" i="17"/>
  <c r="J716" i="17"/>
  <c r="J717" i="17"/>
  <c r="J718" i="17"/>
  <c r="J719" i="17"/>
  <c r="J720" i="17"/>
  <c r="J721" i="17"/>
  <c r="I642" i="27" l="1"/>
  <c r="I643" i="27"/>
  <c r="I644" i="27"/>
  <c r="I645" i="27"/>
  <c r="I646" i="27"/>
  <c r="I647" i="27"/>
  <c r="I648" i="27"/>
  <c r="I649" i="27"/>
  <c r="I650" i="27"/>
  <c r="I651" i="27"/>
  <c r="I652" i="27"/>
  <c r="I653" i="27"/>
  <c r="I654" i="27"/>
  <c r="I655" i="27"/>
  <c r="I656" i="27"/>
  <c r="I610" i="27" l="1"/>
  <c r="I611" i="27"/>
  <c r="I612" i="27"/>
  <c r="I613" i="27"/>
  <c r="I614" i="27"/>
  <c r="I615" i="27"/>
  <c r="I616" i="27"/>
  <c r="I617" i="27"/>
  <c r="I618" i="27"/>
  <c r="I619" i="27"/>
  <c r="I620" i="27"/>
  <c r="I621" i="27"/>
  <c r="I622" i="27"/>
  <c r="I623" i="27"/>
  <c r="I624" i="27"/>
  <c r="I625" i="27"/>
  <c r="I626" i="27"/>
  <c r="I627" i="27"/>
  <c r="I628" i="27"/>
  <c r="I629" i="27"/>
  <c r="I630" i="27"/>
  <c r="I631" i="27"/>
  <c r="I632" i="27"/>
  <c r="I633" i="27"/>
  <c r="I634" i="27"/>
  <c r="I635" i="27"/>
  <c r="I636" i="27"/>
  <c r="I637" i="27"/>
  <c r="I638" i="27"/>
  <c r="I639" i="27"/>
  <c r="I640" i="27"/>
  <c r="I641" i="27"/>
  <c r="M642" i="17"/>
  <c r="M643" i="17"/>
  <c r="M644" i="17"/>
  <c r="M645" i="17"/>
  <c r="M646" i="17"/>
  <c r="M647" i="17"/>
  <c r="M648" i="17"/>
  <c r="M649" i="17"/>
  <c r="M650" i="17"/>
  <c r="M651" i="17"/>
  <c r="M652" i="17"/>
  <c r="M653" i="17"/>
  <c r="M654" i="17"/>
  <c r="M655" i="17"/>
  <c r="M656" i="17"/>
  <c r="M657" i="17"/>
  <c r="M658" i="17"/>
  <c r="M659" i="17"/>
  <c r="M660" i="17"/>
  <c r="M661" i="17"/>
  <c r="M662" i="17"/>
  <c r="M663" i="17"/>
  <c r="M664" i="17"/>
  <c r="M665" i="17"/>
  <c r="M666" i="17"/>
  <c r="M667" i="17"/>
  <c r="M668" i="17"/>
  <c r="M669" i="17"/>
  <c r="M670" i="17"/>
  <c r="M671" i="17"/>
  <c r="M672" i="17"/>
  <c r="M673" i="17"/>
  <c r="M674" i="17"/>
  <c r="M675" i="17"/>
  <c r="M676" i="17"/>
  <c r="M677" i="17"/>
  <c r="M678" i="17"/>
  <c r="M679" i="17"/>
  <c r="J642" i="17"/>
  <c r="J643" i="17"/>
  <c r="J644" i="17"/>
  <c r="J645" i="17"/>
  <c r="J646" i="17"/>
  <c r="J647" i="17"/>
  <c r="J648" i="17"/>
  <c r="J649" i="17"/>
  <c r="J650" i="17"/>
  <c r="J651" i="17"/>
  <c r="J652" i="17"/>
  <c r="J653" i="17"/>
  <c r="J654" i="17"/>
  <c r="J655" i="17"/>
  <c r="J656" i="17"/>
  <c r="J657" i="17"/>
  <c r="J658" i="17"/>
  <c r="J659" i="17"/>
  <c r="J660" i="17"/>
  <c r="J661" i="17"/>
  <c r="J662" i="17"/>
  <c r="J663" i="17"/>
  <c r="J664" i="17"/>
  <c r="J665" i="17"/>
  <c r="J666" i="17"/>
  <c r="J667" i="17"/>
  <c r="J668" i="17"/>
  <c r="J669" i="17"/>
  <c r="J670" i="17"/>
  <c r="J671" i="17"/>
  <c r="J672" i="17"/>
  <c r="J673" i="17"/>
  <c r="J674" i="17"/>
  <c r="J675" i="17"/>
  <c r="J676" i="17"/>
  <c r="J677" i="17"/>
  <c r="J678" i="17"/>
  <c r="J679" i="17"/>
  <c r="F644" i="17"/>
  <c r="F645" i="17"/>
  <c r="F646" i="17"/>
  <c r="F647" i="17"/>
  <c r="F648" i="17"/>
  <c r="F649" i="17"/>
  <c r="F650" i="17"/>
  <c r="F651" i="17"/>
  <c r="F652" i="17"/>
  <c r="F653" i="17"/>
  <c r="F654" i="17"/>
  <c r="F655" i="17"/>
  <c r="F656" i="17"/>
  <c r="F657" i="17"/>
  <c r="F658" i="17"/>
  <c r="F659" i="17"/>
  <c r="F660" i="17"/>
  <c r="F661" i="17"/>
  <c r="F662" i="17"/>
  <c r="F663" i="17"/>
  <c r="F664" i="17"/>
  <c r="F665" i="17"/>
  <c r="F666" i="17"/>
  <c r="F667" i="17"/>
  <c r="F668" i="17"/>
  <c r="F669" i="17"/>
  <c r="F670" i="17"/>
  <c r="F671" i="17"/>
  <c r="F672" i="17"/>
  <c r="F673" i="17"/>
  <c r="F674" i="17"/>
  <c r="F675" i="17"/>
  <c r="F676" i="17"/>
  <c r="F677" i="17"/>
  <c r="F678" i="17"/>
  <c r="F679" i="17"/>
  <c r="G644" i="17"/>
  <c r="G645" i="17"/>
  <c r="G646" i="17"/>
  <c r="G647" i="17"/>
  <c r="G648" i="17"/>
  <c r="G649" i="17"/>
  <c r="G650" i="17"/>
  <c r="G651" i="17"/>
  <c r="G652" i="17"/>
  <c r="G653" i="17"/>
  <c r="G654" i="17"/>
  <c r="G655" i="17"/>
  <c r="G656" i="17"/>
  <c r="G657" i="17"/>
  <c r="G658" i="17"/>
  <c r="G659" i="17"/>
  <c r="G660" i="17"/>
  <c r="G661" i="17"/>
  <c r="G662" i="17"/>
  <c r="G663" i="17"/>
  <c r="G664" i="17"/>
  <c r="G665" i="17"/>
  <c r="G666" i="17"/>
  <c r="G667" i="17"/>
  <c r="G668" i="17"/>
  <c r="G669" i="17"/>
  <c r="G670" i="17"/>
  <c r="G671" i="17"/>
  <c r="G672" i="17"/>
  <c r="G673" i="17"/>
  <c r="G674" i="17"/>
  <c r="G675" i="17"/>
  <c r="G676" i="17"/>
  <c r="G677" i="17"/>
  <c r="G678" i="17"/>
  <c r="G679" i="17"/>
  <c r="H644" i="17"/>
  <c r="H645" i="17"/>
  <c r="H646" i="17"/>
  <c r="H647" i="17"/>
  <c r="H648" i="17"/>
  <c r="H649" i="17"/>
  <c r="H650" i="17"/>
  <c r="H651" i="17"/>
  <c r="H652" i="17"/>
  <c r="H653" i="17"/>
  <c r="H654" i="17"/>
  <c r="H655" i="17"/>
  <c r="H656" i="17"/>
  <c r="H657" i="17"/>
  <c r="H658" i="17"/>
  <c r="H659" i="17"/>
  <c r="H660" i="17"/>
  <c r="H661" i="17"/>
  <c r="H662" i="17"/>
  <c r="H663" i="17"/>
  <c r="H664" i="17"/>
  <c r="H665" i="17"/>
  <c r="H666" i="17"/>
  <c r="H667" i="17"/>
  <c r="H668" i="17"/>
  <c r="H669" i="17"/>
  <c r="H670" i="17"/>
  <c r="H671" i="17"/>
  <c r="H672" i="17"/>
  <c r="H673" i="17"/>
  <c r="H674" i="17"/>
  <c r="H675" i="17"/>
  <c r="H676" i="17"/>
  <c r="H677" i="17"/>
  <c r="H678" i="17"/>
  <c r="H679" i="17"/>
  <c r="I644" i="17"/>
  <c r="I645" i="17"/>
  <c r="I646" i="17"/>
  <c r="I647" i="17"/>
  <c r="I648" i="17"/>
  <c r="I649" i="17"/>
  <c r="I650" i="17"/>
  <c r="I651" i="17"/>
  <c r="I652" i="17"/>
  <c r="I653" i="17"/>
  <c r="I654" i="17"/>
  <c r="I655" i="17"/>
  <c r="I656" i="17"/>
  <c r="I657" i="17"/>
  <c r="I658" i="17"/>
  <c r="I659" i="17"/>
  <c r="I660" i="17"/>
  <c r="I661" i="17"/>
  <c r="I662" i="17"/>
  <c r="I663" i="17"/>
  <c r="I664" i="17"/>
  <c r="I665" i="17"/>
  <c r="I666" i="17"/>
  <c r="I667" i="17"/>
  <c r="I668" i="17"/>
  <c r="I669" i="17"/>
  <c r="I670" i="17"/>
  <c r="I671" i="17"/>
  <c r="I672" i="17"/>
  <c r="I673" i="17"/>
  <c r="I674" i="17"/>
  <c r="I675" i="17"/>
  <c r="I676" i="17"/>
  <c r="I677" i="17"/>
  <c r="I678" i="17"/>
  <c r="I679" i="17"/>
  <c r="F643" i="17" l="1"/>
  <c r="G643" i="17"/>
  <c r="H643" i="17"/>
  <c r="I643" i="17"/>
  <c r="F642" i="17"/>
  <c r="G642" i="17"/>
  <c r="H642" i="17"/>
  <c r="I642" i="17"/>
  <c r="G8" i="27" l="1"/>
  <c r="I605" i="27" l="1"/>
  <c r="I606" i="27"/>
  <c r="I607" i="27"/>
  <c r="I608" i="27"/>
  <c r="I609" i="27"/>
  <c r="I602" i="27"/>
  <c r="I603" i="27"/>
  <c r="I604" i="27"/>
  <c r="I596" i="27"/>
  <c r="I597" i="27"/>
  <c r="I598" i="27"/>
  <c r="I599" i="27"/>
  <c r="I600" i="27"/>
  <c r="I601" i="27"/>
  <c r="I592" i="27"/>
  <c r="I593" i="27"/>
  <c r="I594" i="27"/>
  <c r="I595" i="27"/>
  <c r="I591" i="27"/>
  <c r="I589" i="27"/>
  <c r="I590" i="27"/>
  <c r="I586" i="27"/>
  <c r="I587" i="27"/>
  <c r="I588" i="27"/>
  <c r="I577" i="27"/>
  <c r="I578" i="27"/>
  <c r="I579" i="27"/>
  <c r="I580" i="27"/>
  <c r="I581" i="27"/>
  <c r="I582" i="27"/>
  <c r="I583" i="27"/>
  <c r="I584" i="27"/>
  <c r="I585" i="27"/>
  <c r="I567" i="27"/>
  <c r="I568" i="27"/>
  <c r="I569" i="27"/>
  <c r="I570" i="27"/>
  <c r="I571" i="27"/>
  <c r="I572" i="27"/>
  <c r="I573" i="27"/>
  <c r="I574" i="27"/>
  <c r="I575" i="27"/>
  <c r="I576" i="27"/>
  <c r="I566" i="27"/>
  <c r="I561" i="27"/>
  <c r="I562" i="27"/>
  <c r="I563" i="27"/>
  <c r="I564" i="27"/>
  <c r="I565" i="27"/>
  <c r="I548" i="27"/>
  <c r="I549" i="27"/>
  <c r="I550" i="27"/>
  <c r="I551" i="27"/>
  <c r="I552" i="27"/>
  <c r="I553" i="27"/>
  <c r="I554" i="27"/>
  <c r="I555" i="27"/>
  <c r="I556" i="27"/>
  <c r="I557" i="27"/>
  <c r="I558" i="27"/>
  <c r="I559" i="27"/>
  <c r="I560" i="27"/>
  <c r="I497" i="27" l="1"/>
  <c r="I498" i="27"/>
  <c r="I499" i="27"/>
  <c r="I500" i="27"/>
  <c r="I501" i="27"/>
  <c r="I502" i="27"/>
  <c r="I503" i="27"/>
  <c r="I504" i="27"/>
  <c r="I505" i="27"/>
  <c r="I506" i="27"/>
  <c r="I507" i="27"/>
  <c r="I508" i="27"/>
  <c r="I509" i="27"/>
  <c r="I510" i="27"/>
  <c r="I511" i="27"/>
  <c r="I512" i="27"/>
  <c r="I513" i="27"/>
  <c r="I514" i="27"/>
  <c r="I515" i="27"/>
  <c r="I516" i="27"/>
  <c r="I517" i="27"/>
  <c r="I518" i="27"/>
  <c r="I519" i="27"/>
  <c r="I520" i="27"/>
  <c r="I521" i="27"/>
  <c r="I522" i="27"/>
  <c r="I523" i="27"/>
  <c r="I524" i="27"/>
  <c r="I525" i="27"/>
  <c r="I526" i="27"/>
  <c r="I527" i="27"/>
  <c r="I528" i="27"/>
  <c r="I529" i="27"/>
  <c r="I530" i="27"/>
  <c r="I531" i="27"/>
  <c r="I532" i="27"/>
  <c r="I533" i="27"/>
  <c r="I534" i="27"/>
  <c r="I535" i="27"/>
  <c r="I536" i="27"/>
  <c r="I537" i="27"/>
  <c r="I538" i="27"/>
  <c r="I539" i="27"/>
  <c r="I540" i="27"/>
  <c r="I541" i="27"/>
  <c r="I542" i="27"/>
  <c r="I543" i="27"/>
  <c r="I544" i="27"/>
  <c r="I545" i="27"/>
  <c r="I546" i="27"/>
  <c r="I547" i="27"/>
  <c r="M507" i="17"/>
  <c r="M508" i="17"/>
  <c r="M509" i="17"/>
  <c r="M510" i="17"/>
  <c r="M511" i="17"/>
  <c r="M512" i="17"/>
  <c r="M513" i="17"/>
  <c r="M514" i="17"/>
  <c r="M515" i="17"/>
  <c r="M516" i="17"/>
  <c r="M517" i="17"/>
  <c r="M518" i="17"/>
  <c r="M519" i="17"/>
  <c r="M520" i="17"/>
  <c r="M521" i="17"/>
  <c r="M522" i="17"/>
  <c r="M523" i="17"/>
  <c r="M524" i="17"/>
  <c r="M525" i="17"/>
  <c r="M526" i="17"/>
  <c r="M527" i="17"/>
  <c r="M528" i="17"/>
  <c r="M529" i="17"/>
  <c r="M530" i="17"/>
  <c r="M531" i="17"/>
  <c r="M532" i="17"/>
  <c r="M533" i="17"/>
  <c r="M534" i="17"/>
  <c r="M535" i="17"/>
  <c r="M536" i="17"/>
  <c r="M537" i="17"/>
  <c r="M538" i="17"/>
  <c r="M539" i="17"/>
  <c r="M540" i="17"/>
  <c r="M541" i="17"/>
  <c r="M542" i="17"/>
  <c r="M543" i="17"/>
  <c r="M544" i="17"/>
  <c r="M545" i="17"/>
  <c r="M546" i="17"/>
  <c r="M547" i="17"/>
  <c r="M548" i="17"/>
  <c r="M549" i="17"/>
  <c r="M550" i="17"/>
  <c r="M551" i="17"/>
  <c r="M552" i="17"/>
  <c r="M553" i="17"/>
  <c r="M554" i="17"/>
  <c r="M555" i="17"/>
  <c r="M556" i="17"/>
  <c r="M557" i="17"/>
  <c r="M558" i="17"/>
  <c r="M559" i="17"/>
  <c r="M560" i="17"/>
  <c r="M561" i="17"/>
  <c r="M562" i="17"/>
  <c r="M563" i="17"/>
  <c r="M564" i="17"/>
  <c r="M565" i="17"/>
  <c r="M566" i="17"/>
  <c r="M567" i="17"/>
  <c r="M568" i="17"/>
  <c r="M569" i="17"/>
  <c r="M570" i="17"/>
  <c r="M571" i="17"/>
  <c r="M572" i="17"/>
  <c r="M573" i="17"/>
  <c r="M574" i="17"/>
  <c r="M575" i="17"/>
  <c r="M576" i="17"/>
  <c r="M577" i="17"/>
  <c r="M578" i="17"/>
  <c r="M579" i="17"/>
  <c r="M580" i="17"/>
  <c r="M581" i="17"/>
  <c r="M582" i="17"/>
  <c r="M583" i="17"/>
  <c r="M584" i="17"/>
  <c r="M585" i="17"/>
  <c r="M586" i="17"/>
  <c r="M587" i="17"/>
  <c r="M588" i="17"/>
  <c r="M589" i="17"/>
  <c r="M590" i="17"/>
  <c r="M591" i="17"/>
  <c r="M592" i="17"/>
  <c r="M593" i="17"/>
  <c r="M594" i="17"/>
  <c r="M595" i="17"/>
  <c r="M596" i="17"/>
  <c r="M597" i="17"/>
  <c r="M598" i="17"/>
  <c r="M599" i="17"/>
  <c r="M600" i="17"/>
  <c r="M601" i="17"/>
  <c r="M602" i="17"/>
  <c r="M603" i="17"/>
  <c r="M604" i="17"/>
  <c r="M605" i="17"/>
  <c r="M606" i="17"/>
  <c r="M607" i="17"/>
  <c r="M608" i="17"/>
  <c r="M609" i="17"/>
  <c r="M610" i="17"/>
  <c r="M611" i="17"/>
  <c r="M612" i="17"/>
  <c r="M613" i="17"/>
  <c r="M614" i="17"/>
  <c r="M615" i="17"/>
  <c r="M616" i="17"/>
  <c r="M617" i="17"/>
  <c r="M618" i="17"/>
  <c r="M619" i="17"/>
  <c r="M620" i="17"/>
  <c r="M621" i="17"/>
  <c r="M622" i="17"/>
  <c r="M623" i="17"/>
  <c r="M624" i="17"/>
  <c r="M625" i="17"/>
  <c r="M626" i="17"/>
  <c r="M627" i="17"/>
  <c r="M628" i="17"/>
  <c r="M629" i="17"/>
  <c r="M630" i="17"/>
  <c r="M631" i="17"/>
  <c r="M632" i="17"/>
  <c r="M633" i="17"/>
  <c r="M634" i="17"/>
  <c r="M635" i="17"/>
  <c r="M636" i="17"/>
  <c r="M637" i="17"/>
  <c r="M638" i="17"/>
  <c r="M639" i="17"/>
  <c r="M640" i="17"/>
  <c r="M641" i="17"/>
  <c r="F507" i="17"/>
  <c r="F508" i="17"/>
  <c r="F509" i="17"/>
  <c r="F510" i="17"/>
  <c r="F511" i="17"/>
  <c r="F512" i="17"/>
  <c r="F513" i="17"/>
  <c r="F514" i="17"/>
  <c r="F515" i="17"/>
  <c r="F516" i="17"/>
  <c r="F517" i="17"/>
  <c r="F518" i="17"/>
  <c r="F519" i="17"/>
  <c r="F520" i="17"/>
  <c r="F521" i="17"/>
  <c r="F522" i="17"/>
  <c r="F523" i="17"/>
  <c r="F524" i="17"/>
  <c r="F525" i="17"/>
  <c r="F526" i="17"/>
  <c r="F527" i="17"/>
  <c r="F528" i="17"/>
  <c r="F529" i="17"/>
  <c r="F530" i="17"/>
  <c r="F531" i="17"/>
  <c r="F532" i="17"/>
  <c r="F533" i="17"/>
  <c r="F534" i="17"/>
  <c r="F535" i="17"/>
  <c r="F536" i="17"/>
  <c r="F537" i="17"/>
  <c r="F538" i="17"/>
  <c r="F539" i="17"/>
  <c r="F540" i="17"/>
  <c r="F541" i="17"/>
  <c r="F542" i="17"/>
  <c r="F543" i="17"/>
  <c r="F544" i="17"/>
  <c r="F545" i="17"/>
  <c r="F546" i="17"/>
  <c r="F547" i="17"/>
  <c r="F548" i="17"/>
  <c r="F549" i="17"/>
  <c r="F550" i="17"/>
  <c r="F551" i="17"/>
  <c r="F552" i="17"/>
  <c r="F553" i="17"/>
  <c r="F554" i="17"/>
  <c r="F555" i="17"/>
  <c r="F556" i="17"/>
  <c r="F557" i="17"/>
  <c r="F558" i="17"/>
  <c r="F559" i="17"/>
  <c r="F560" i="17"/>
  <c r="F561" i="17"/>
  <c r="F562" i="17"/>
  <c r="F563" i="17"/>
  <c r="F564" i="17"/>
  <c r="F565" i="17"/>
  <c r="F566" i="17"/>
  <c r="F567" i="17"/>
  <c r="F568" i="17"/>
  <c r="F569" i="17"/>
  <c r="F570" i="17"/>
  <c r="F571" i="17"/>
  <c r="F572" i="17"/>
  <c r="F573" i="17"/>
  <c r="F574" i="17"/>
  <c r="F575" i="17"/>
  <c r="F576" i="17"/>
  <c r="F577" i="17"/>
  <c r="F578" i="17"/>
  <c r="F579" i="17"/>
  <c r="F580" i="17"/>
  <c r="F581" i="17"/>
  <c r="F582" i="17"/>
  <c r="F583" i="17"/>
  <c r="F584" i="17"/>
  <c r="F585" i="17"/>
  <c r="F586" i="17"/>
  <c r="F587" i="17"/>
  <c r="F588" i="17"/>
  <c r="F589" i="17"/>
  <c r="F590" i="17"/>
  <c r="F591" i="17"/>
  <c r="F592" i="17"/>
  <c r="F593" i="17"/>
  <c r="F594" i="17"/>
  <c r="F595" i="17"/>
  <c r="F596" i="17"/>
  <c r="F597" i="17"/>
  <c r="F598" i="17"/>
  <c r="F599" i="17"/>
  <c r="F600" i="17"/>
  <c r="F601" i="17"/>
  <c r="F602" i="17"/>
  <c r="F603" i="17"/>
  <c r="F604" i="17"/>
  <c r="F605" i="17"/>
  <c r="F606" i="17"/>
  <c r="F607" i="17"/>
  <c r="F608" i="17"/>
  <c r="F609" i="17"/>
  <c r="F610" i="17"/>
  <c r="F611" i="17"/>
  <c r="F612" i="17"/>
  <c r="F613" i="17"/>
  <c r="F614" i="17"/>
  <c r="F615" i="17"/>
  <c r="F616" i="17"/>
  <c r="F617" i="17"/>
  <c r="F618" i="17"/>
  <c r="F619" i="17"/>
  <c r="F620" i="17"/>
  <c r="F621" i="17"/>
  <c r="F622" i="17"/>
  <c r="F623" i="17"/>
  <c r="F624" i="17"/>
  <c r="F625" i="17"/>
  <c r="F626" i="17"/>
  <c r="F627" i="17"/>
  <c r="F628" i="17"/>
  <c r="F629" i="17"/>
  <c r="F630" i="17"/>
  <c r="F631" i="17"/>
  <c r="F632" i="17"/>
  <c r="F633" i="17"/>
  <c r="F634" i="17"/>
  <c r="F635" i="17"/>
  <c r="F636" i="17"/>
  <c r="F637" i="17"/>
  <c r="F638" i="17"/>
  <c r="F639" i="17"/>
  <c r="F640" i="17"/>
  <c r="F641" i="17"/>
  <c r="G507" i="17"/>
  <c r="G508" i="17"/>
  <c r="G509" i="17"/>
  <c r="G510" i="17"/>
  <c r="G511" i="17"/>
  <c r="G512" i="17"/>
  <c r="G513" i="17"/>
  <c r="G514" i="17"/>
  <c r="G515" i="17"/>
  <c r="G516" i="17"/>
  <c r="G517" i="17"/>
  <c r="G518" i="17"/>
  <c r="G519" i="17"/>
  <c r="G520" i="17"/>
  <c r="G521" i="17"/>
  <c r="G522" i="17"/>
  <c r="G523" i="17"/>
  <c r="G524" i="17"/>
  <c r="G525" i="17"/>
  <c r="G526" i="17"/>
  <c r="G527" i="17"/>
  <c r="G528" i="17"/>
  <c r="G529" i="17"/>
  <c r="G530" i="17"/>
  <c r="G531" i="17"/>
  <c r="G532" i="17"/>
  <c r="G533" i="17"/>
  <c r="G534" i="17"/>
  <c r="G535" i="17"/>
  <c r="G536" i="17"/>
  <c r="G537" i="17"/>
  <c r="G538" i="17"/>
  <c r="G539" i="17"/>
  <c r="G540" i="17"/>
  <c r="G541" i="17"/>
  <c r="G542" i="17"/>
  <c r="G543" i="17"/>
  <c r="G544" i="17"/>
  <c r="G545" i="17"/>
  <c r="G546" i="17"/>
  <c r="G547" i="17"/>
  <c r="G548" i="17"/>
  <c r="G549" i="17"/>
  <c r="G550" i="17"/>
  <c r="G551" i="17"/>
  <c r="G552" i="17"/>
  <c r="G553" i="17"/>
  <c r="G554" i="17"/>
  <c r="G555" i="17"/>
  <c r="G556" i="17"/>
  <c r="G557" i="17"/>
  <c r="G558" i="17"/>
  <c r="G559" i="17"/>
  <c r="G560" i="17"/>
  <c r="G561" i="17"/>
  <c r="G562" i="17"/>
  <c r="G563" i="17"/>
  <c r="G564" i="17"/>
  <c r="G565" i="17"/>
  <c r="G566" i="17"/>
  <c r="G567" i="17"/>
  <c r="G568" i="17"/>
  <c r="G569" i="17"/>
  <c r="G570" i="17"/>
  <c r="G571" i="17"/>
  <c r="G572" i="17"/>
  <c r="G573" i="17"/>
  <c r="G574" i="17"/>
  <c r="G575" i="17"/>
  <c r="G576" i="17"/>
  <c r="G577" i="17"/>
  <c r="G578" i="17"/>
  <c r="G579" i="17"/>
  <c r="G580" i="17"/>
  <c r="G581" i="17"/>
  <c r="G582" i="17"/>
  <c r="G583" i="17"/>
  <c r="G584" i="17"/>
  <c r="G585" i="17"/>
  <c r="G586" i="17"/>
  <c r="G587" i="17"/>
  <c r="G588" i="17"/>
  <c r="G589" i="17"/>
  <c r="G590" i="17"/>
  <c r="G591" i="17"/>
  <c r="G592" i="17"/>
  <c r="G593" i="17"/>
  <c r="G594" i="17"/>
  <c r="G595" i="17"/>
  <c r="G596" i="17"/>
  <c r="G597" i="17"/>
  <c r="G598" i="17"/>
  <c r="G599" i="17"/>
  <c r="G600" i="17"/>
  <c r="G601" i="17"/>
  <c r="G602" i="17"/>
  <c r="G603" i="17"/>
  <c r="G604" i="17"/>
  <c r="G605" i="17"/>
  <c r="G606" i="17"/>
  <c r="G607" i="17"/>
  <c r="G608" i="17"/>
  <c r="G609" i="17"/>
  <c r="G610" i="17"/>
  <c r="G611" i="17"/>
  <c r="G612" i="17"/>
  <c r="G613" i="17"/>
  <c r="G614" i="17"/>
  <c r="G615" i="17"/>
  <c r="G616" i="17"/>
  <c r="G617" i="17"/>
  <c r="G618" i="17"/>
  <c r="G619" i="17"/>
  <c r="G620" i="17"/>
  <c r="G621" i="17"/>
  <c r="G622" i="17"/>
  <c r="G623" i="17"/>
  <c r="G624" i="17"/>
  <c r="G625" i="17"/>
  <c r="G626" i="17"/>
  <c r="G627" i="17"/>
  <c r="G628" i="17"/>
  <c r="G629" i="17"/>
  <c r="G630" i="17"/>
  <c r="G631" i="17"/>
  <c r="G632" i="17"/>
  <c r="G633" i="17"/>
  <c r="G634" i="17"/>
  <c r="G635" i="17"/>
  <c r="G636" i="17"/>
  <c r="G637" i="17"/>
  <c r="G638" i="17"/>
  <c r="G639" i="17"/>
  <c r="G640" i="17"/>
  <c r="G641" i="17"/>
  <c r="H507" i="17"/>
  <c r="H508" i="17"/>
  <c r="H509" i="17"/>
  <c r="H510" i="17"/>
  <c r="H511" i="17"/>
  <c r="H512" i="17"/>
  <c r="H513" i="17"/>
  <c r="H514" i="17"/>
  <c r="H515" i="17"/>
  <c r="H516" i="17"/>
  <c r="H517" i="17"/>
  <c r="H518" i="17"/>
  <c r="H519" i="17"/>
  <c r="H520" i="17"/>
  <c r="H521" i="17"/>
  <c r="H522" i="17"/>
  <c r="H523" i="17"/>
  <c r="H524" i="17"/>
  <c r="H525" i="17"/>
  <c r="H526" i="17"/>
  <c r="H527" i="17"/>
  <c r="H528" i="17"/>
  <c r="H529" i="17"/>
  <c r="H530" i="17"/>
  <c r="H531" i="17"/>
  <c r="H532" i="17"/>
  <c r="H533" i="17"/>
  <c r="H534" i="17"/>
  <c r="H535" i="17"/>
  <c r="H536" i="17"/>
  <c r="H537" i="17"/>
  <c r="H538" i="17"/>
  <c r="H539" i="17"/>
  <c r="H540" i="17"/>
  <c r="H541" i="17"/>
  <c r="H542" i="17"/>
  <c r="H543" i="17"/>
  <c r="H544" i="17"/>
  <c r="H545" i="17"/>
  <c r="H546" i="17"/>
  <c r="H547" i="17"/>
  <c r="H548" i="17"/>
  <c r="H549" i="17"/>
  <c r="H550" i="17"/>
  <c r="H551" i="17"/>
  <c r="H552" i="17"/>
  <c r="H553" i="17"/>
  <c r="H554" i="17"/>
  <c r="H555" i="17"/>
  <c r="H556" i="17"/>
  <c r="H557" i="17"/>
  <c r="H558" i="17"/>
  <c r="H559" i="17"/>
  <c r="H560" i="17"/>
  <c r="H561" i="17"/>
  <c r="H562" i="17"/>
  <c r="H563" i="17"/>
  <c r="H564" i="17"/>
  <c r="H565" i="17"/>
  <c r="H566" i="17"/>
  <c r="H567" i="17"/>
  <c r="H568" i="17"/>
  <c r="H569" i="17"/>
  <c r="H570" i="17"/>
  <c r="H571" i="17"/>
  <c r="H572" i="17"/>
  <c r="H573" i="17"/>
  <c r="H574" i="17"/>
  <c r="H575" i="17"/>
  <c r="H576" i="17"/>
  <c r="H577" i="17"/>
  <c r="H578" i="17"/>
  <c r="H579" i="17"/>
  <c r="H580" i="17"/>
  <c r="H581" i="17"/>
  <c r="H582" i="17"/>
  <c r="H583" i="17"/>
  <c r="H584" i="17"/>
  <c r="H585" i="17"/>
  <c r="H586" i="17"/>
  <c r="H587" i="17"/>
  <c r="H588" i="17"/>
  <c r="H589" i="17"/>
  <c r="H590" i="17"/>
  <c r="H591" i="17"/>
  <c r="H592" i="17"/>
  <c r="H593" i="17"/>
  <c r="H594" i="17"/>
  <c r="H595" i="17"/>
  <c r="H596" i="17"/>
  <c r="H597" i="17"/>
  <c r="H598" i="17"/>
  <c r="H599" i="17"/>
  <c r="H600" i="17"/>
  <c r="H601" i="17"/>
  <c r="H602" i="17"/>
  <c r="H603" i="17"/>
  <c r="H604" i="17"/>
  <c r="H605" i="17"/>
  <c r="H606" i="17"/>
  <c r="H607" i="17"/>
  <c r="H608" i="17"/>
  <c r="H609" i="17"/>
  <c r="H610" i="17"/>
  <c r="H611" i="17"/>
  <c r="H612" i="17"/>
  <c r="H613" i="17"/>
  <c r="H614" i="17"/>
  <c r="H615" i="17"/>
  <c r="H616" i="17"/>
  <c r="H617" i="17"/>
  <c r="H618" i="17"/>
  <c r="H619" i="17"/>
  <c r="H620" i="17"/>
  <c r="H621" i="17"/>
  <c r="H622" i="17"/>
  <c r="H623" i="17"/>
  <c r="H624" i="17"/>
  <c r="H625" i="17"/>
  <c r="H626" i="17"/>
  <c r="H627" i="17"/>
  <c r="H628" i="17"/>
  <c r="H629" i="17"/>
  <c r="H630" i="17"/>
  <c r="H631" i="17"/>
  <c r="H632" i="17"/>
  <c r="H633" i="17"/>
  <c r="H634" i="17"/>
  <c r="H635" i="17"/>
  <c r="H636" i="17"/>
  <c r="H637" i="17"/>
  <c r="H638" i="17"/>
  <c r="H639" i="17"/>
  <c r="H640" i="17"/>
  <c r="H641" i="17"/>
  <c r="I507" i="17"/>
  <c r="I508" i="17"/>
  <c r="I509" i="17"/>
  <c r="I510" i="17"/>
  <c r="I511" i="17"/>
  <c r="I512" i="17"/>
  <c r="I513" i="17"/>
  <c r="I514" i="17"/>
  <c r="I515" i="17"/>
  <c r="I516" i="17"/>
  <c r="I517" i="17"/>
  <c r="I518" i="17"/>
  <c r="I519" i="17"/>
  <c r="I520" i="17"/>
  <c r="I521" i="17"/>
  <c r="I522" i="17"/>
  <c r="I523" i="17"/>
  <c r="I524" i="17"/>
  <c r="I525" i="17"/>
  <c r="I526" i="17"/>
  <c r="I527" i="17"/>
  <c r="I528" i="17"/>
  <c r="I529" i="17"/>
  <c r="I530" i="17"/>
  <c r="I531" i="17"/>
  <c r="I532" i="17"/>
  <c r="I533" i="17"/>
  <c r="I534" i="17"/>
  <c r="I535" i="17"/>
  <c r="I536" i="17"/>
  <c r="I537" i="17"/>
  <c r="I538" i="17"/>
  <c r="I539" i="17"/>
  <c r="I540" i="17"/>
  <c r="I541" i="17"/>
  <c r="I542" i="17"/>
  <c r="I543" i="17"/>
  <c r="I544" i="17"/>
  <c r="I545" i="17"/>
  <c r="I546" i="17"/>
  <c r="I547" i="17"/>
  <c r="I548" i="17"/>
  <c r="I549" i="17"/>
  <c r="I550" i="17"/>
  <c r="I551" i="17"/>
  <c r="I552" i="17"/>
  <c r="I553" i="17"/>
  <c r="I554" i="17"/>
  <c r="I555" i="17"/>
  <c r="I556" i="17"/>
  <c r="I557" i="17"/>
  <c r="I558" i="17"/>
  <c r="I559" i="17"/>
  <c r="I560" i="17"/>
  <c r="I561" i="17"/>
  <c r="I562" i="17"/>
  <c r="I563" i="17"/>
  <c r="I564" i="17"/>
  <c r="I565" i="17"/>
  <c r="I566" i="17"/>
  <c r="I567" i="17"/>
  <c r="I568" i="17"/>
  <c r="I569" i="17"/>
  <c r="I570" i="17"/>
  <c r="I571" i="17"/>
  <c r="I572" i="17"/>
  <c r="I573" i="17"/>
  <c r="I574" i="17"/>
  <c r="I575" i="17"/>
  <c r="I576" i="17"/>
  <c r="I577" i="17"/>
  <c r="I578" i="17"/>
  <c r="I579" i="17"/>
  <c r="I580" i="17"/>
  <c r="I581" i="17"/>
  <c r="I582" i="17"/>
  <c r="I583" i="17"/>
  <c r="I584" i="17"/>
  <c r="I585" i="17"/>
  <c r="I586" i="17"/>
  <c r="I587" i="17"/>
  <c r="I588" i="17"/>
  <c r="I589" i="17"/>
  <c r="I590" i="17"/>
  <c r="I591" i="17"/>
  <c r="I592" i="17"/>
  <c r="I593" i="17"/>
  <c r="I594" i="17"/>
  <c r="I595" i="17"/>
  <c r="I596" i="17"/>
  <c r="I597" i="17"/>
  <c r="I598" i="17"/>
  <c r="I599" i="17"/>
  <c r="I600" i="17"/>
  <c r="I601" i="17"/>
  <c r="I602" i="17"/>
  <c r="I603" i="17"/>
  <c r="I604" i="17"/>
  <c r="I605" i="17"/>
  <c r="I606" i="17"/>
  <c r="I607" i="17"/>
  <c r="I608" i="17"/>
  <c r="I609" i="17"/>
  <c r="I610" i="17"/>
  <c r="I611" i="17"/>
  <c r="I612" i="17"/>
  <c r="I613" i="17"/>
  <c r="I614" i="17"/>
  <c r="I615" i="17"/>
  <c r="I616" i="17"/>
  <c r="I617" i="17"/>
  <c r="I618" i="17"/>
  <c r="I619" i="17"/>
  <c r="I620" i="17"/>
  <c r="I621" i="17"/>
  <c r="I622" i="17"/>
  <c r="I623" i="17"/>
  <c r="I624" i="17"/>
  <c r="I625" i="17"/>
  <c r="I626" i="17"/>
  <c r="I627" i="17"/>
  <c r="I628" i="17"/>
  <c r="I629" i="17"/>
  <c r="I630" i="17"/>
  <c r="I631" i="17"/>
  <c r="I632" i="17"/>
  <c r="I633" i="17"/>
  <c r="I634" i="17"/>
  <c r="I635" i="17"/>
  <c r="I636" i="17"/>
  <c r="I637" i="17"/>
  <c r="I638" i="17"/>
  <c r="I639" i="17"/>
  <c r="I640" i="17"/>
  <c r="I641" i="17"/>
  <c r="J507" i="17"/>
  <c r="J508" i="17"/>
  <c r="J509" i="17"/>
  <c r="J510" i="17"/>
  <c r="J511" i="17"/>
  <c r="J512" i="17"/>
  <c r="J513" i="17"/>
  <c r="J514" i="17"/>
  <c r="J515" i="17"/>
  <c r="J516" i="17"/>
  <c r="J517" i="17"/>
  <c r="J518" i="17"/>
  <c r="J519" i="17"/>
  <c r="J520" i="17"/>
  <c r="J521" i="17"/>
  <c r="J522" i="17"/>
  <c r="J523" i="17"/>
  <c r="J524" i="17"/>
  <c r="J525" i="17"/>
  <c r="J526" i="17"/>
  <c r="J527" i="17"/>
  <c r="J528" i="17"/>
  <c r="J529" i="17"/>
  <c r="J530" i="17"/>
  <c r="J531" i="17"/>
  <c r="J532" i="17"/>
  <c r="J533" i="17"/>
  <c r="J534" i="17"/>
  <c r="J535" i="17"/>
  <c r="J536" i="17"/>
  <c r="J537" i="17"/>
  <c r="J538" i="17"/>
  <c r="J539" i="17"/>
  <c r="J540" i="17"/>
  <c r="J541" i="17"/>
  <c r="J542" i="17"/>
  <c r="J543" i="17"/>
  <c r="J544" i="17"/>
  <c r="J545" i="17"/>
  <c r="J546" i="17"/>
  <c r="J547" i="17"/>
  <c r="J548" i="17"/>
  <c r="J549" i="17"/>
  <c r="J550" i="17"/>
  <c r="J551" i="17"/>
  <c r="J552" i="17"/>
  <c r="J553" i="17"/>
  <c r="J554" i="17"/>
  <c r="J555" i="17"/>
  <c r="J556" i="17"/>
  <c r="J557" i="17"/>
  <c r="J558" i="17"/>
  <c r="J559" i="17"/>
  <c r="J560" i="17"/>
  <c r="J561" i="17"/>
  <c r="J562" i="17"/>
  <c r="J563" i="17"/>
  <c r="J564" i="17"/>
  <c r="J565" i="17"/>
  <c r="J566" i="17"/>
  <c r="J567" i="17"/>
  <c r="J568" i="17"/>
  <c r="J569" i="17"/>
  <c r="J570" i="17"/>
  <c r="J571" i="17"/>
  <c r="J572" i="17"/>
  <c r="J573" i="17"/>
  <c r="J574" i="17"/>
  <c r="J575" i="17"/>
  <c r="J576" i="17"/>
  <c r="J577" i="17"/>
  <c r="J578" i="17"/>
  <c r="J579" i="17"/>
  <c r="J580" i="17"/>
  <c r="J581" i="17"/>
  <c r="J582" i="17"/>
  <c r="J583" i="17"/>
  <c r="J584" i="17"/>
  <c r="J585" i="17"/>
  <c r="J586" i="17"/>
  <c r="J587" i="17"/>
  <c r="J588" i="17"/>
  <c r="J589" i="17"/>
  <c r="J590" i="17"/>
  <c r="J591" i="17"/>
  <c r="J592" i="17"/>
  <c r="J593" i="17"/>
  <c r="J594" i="17"/>
  <c r="J595" i="17"/>
  <c r="J596" i="17"/>
  <c r="J597" i="17"/>
  <c r="J598" i="17"/>
  <c r="J599" i="17"/>
  <c r="J600" i="17"/>
  <c r="J601" i="17"/>
  <c r="J602" i="17"/>
  <c r="J603" i="17"/>
  <c r="J604" i="17"/>
  <c r="J605" i="17"/>
  <c r="J606" i="17"/>
  <c r="J607" i="17"/>
  <c r="J608" i="17"/>
  <c r="J609" i="17"/>
  <c r="J610" i="17"/>
  <c r="J611" i="17"/>
  <c r="J612" i="17"/>
  <c r="J613" i="17"/>
  <c r="J614" i="17"/>
  <c r="J615" i="17"/>
  <c r="J616" i="17"/>
  <c r="J617" i="17"/>
  <c r="J618" i="17"/>
  <c r="J619" i="17"/>
  <c r="J620" i="17"/>
  <c r="J621" i="17"/>
  <c r="J622" i="17"/>
  <c r="J623" i="17"/>
  <c r="J624" i="17"/>
  <c r="J625" i="17"/>
  <c r="J626" i="17"/>
  <c r="J627" i="17"/>
  <c r="J628" i="17"/>
  <c r="J629" i="17"/>
  <c r="J630" i="17"/>
  <c r="J631" i="17"/>
  <c r="J632" i="17"/>
  <c r="J633" i="17"/>
  <c r="J634" i="17"/>
  <c r="J635" i="17"/>
  <c r="J636" i="17"/>
  <c r="J637" i="17"/>
  <c r="J638" i="17"/>
  <c r="J639" i="17"/>
  <c r="J640" i="17"/>
  <c r="J641" i="17"/>
  <c r="I453" i="27" l="1"/>
  <c r="I454" i="27"/>
  <c r="I455" i="27"/>
  <c r="I456" i="27"/>
  <c r="I457" i="27"/>
  <c r="I458" i="27"/>
  <c r="I459" i="27"/>
  <c r="I460" i="27"/>
  <c r="I461" i="27"/>
  <c r="I462" i="27"/>
  <c r="I463" i="27"/>
  <c r="I464" i="27"/>
  <c r="I465" i="27"/>
  <c r="I466" i="27"/>
  <c r="I467" i="27"/>
  <c r="I468" i="27"/>
  <c r="I469" i="27"/>
  <c r="I470" i="27"/>
  <c r="I471" i="27"/>
  <c r="I472" i="27"/>
  <c r="I473" i="27"/>
  <c r="I474" i="27"/>
  <c r="I475" i="27"/>
  <c r="I476" i="27"/>
  <c r="I477" i="27"/>
  <c r="I478" i="27"/>
  <c r="I479" i="27"/>
  <c r="I480" i="27"/>
  <c r="I481" i="27"/>
  <c r="I482" i="27"/>
  <c r="I483" i="27"/>
  <c r="I484" i="27"/>
  <c r="I485" i="27"/>
  <c r="I486" i="27"/>
  <c r="I487" i="27"/>
  <c r="I488" i="27"/>
  <c r="I489" i="27"/>
  <c r="I490" i="27"/>
  <c r="I491" i="27"/>
  <c r="I492" i="27"/>
  <c r="I493" i="27"/>
  <c r="I494" i="27"/>
  <c r="I495" i="27"/>
  <c r="I496" i="27"/>
  <c r="I10" i="27" l="1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54" i="27"/>
  <c r="I55" i="27"/>
  <c r="I56" i="27"/>
  <c r="I57" i="27"/>
  <c r="I58" i="27"/>
  <c r="I59" i="27"/>
  <c r="I60" i="27"/>
  <c r="I61" i="27"/>
  <c r="I62" i="27"/>
  <c r="I63" i="27"/>
  <c r="I64" i="27"/>
  <c r="I65" i="27"/>
  <c r="I66" i="27"/>
  <c r="I67" i="27"/>
  <c r="I68" i="27"/>
  <c r="I69" i="27"/>
  <c r="I70" i="27"/>
  <c r="I71" i="27"/>
  <c r="I72" i="27"/>
  <c r="I73" i="27"/>
  <c r="I74" i="27"/>
  <c r="I75" i="27"/>
  <c r="I76" i="27"/>
  <c r="I77" i="27"/>
  <c r="I78" i="27"/>
  <c r="I79" i="27"/>
  <c r="I80" i="27"/>
  <c r="I81" i="27"/>
  <c r="I82" i="27"/>
  <c r="I83" i="27"/>
  <c r="I84" i="27"/>
  <c r="I85" i="27"/>
  <c r="I86" i="27"/>
  <c r="I87" i="27"/>
  <c r="I88" i="27"/>
  <c r="I89" i="27"/>
  <c r="I90" i="27"/>
  <c r="I91" i="27"/>
  <c r="I92" i="27"/>
  <c r="I93" i="27"/>
  <c r="I94" i="27"/>
  <c r="I95" i="27"/>
  <c r="I96" i="27"/>
  <c r="I97" i="27"/>
  <c r="I98" i="27"/>
  <c r="I99" i="27"/>
  <c r="I100" i="27"/>
  <c r="I101" i="27"/>
  <c r="I102" i="27"/>
  <c r="I103" i="27"/>
  <c r="I104" i="27"/>
  <c r="I105" i="27"/>
  <c r="I106" i="27"/>
  <c r="I107" i="27"/>
  <c r="I108" i="27"/>
  <c r="I109" i="27"/>
  <c r="I110" i="27"/>
  <c r="I111" i="27"/>
  <c r="I112" i="27"/>
  <c r="I113" i="27"/>
  <c r="I114" i="27"/>
  <c r="I115" i="27"/>
  <c r="I116" i="27"/>
  <c r="I117" i="27"/>
  <c r="I118" i="27"/>
  <c r="I119" i="27"/>
  <c r="I120" i="27"/>
  <c r="I121" i="27"/>
  <c r="I122" i="27"/>
  <c r="I123" i="27"/>
  <c r="I124" i="27"/>
  <c r="I125" i="27"/>
  <c r="I126" i="27"/>
  <c r="I127" i="27"/>
  <c r="I128" i="27"/>
  <c r="I129" i="27"/>
  <c r="I130" i="27"/>
  <c r="I131" i="27"/>
  <c r="I132" i="27"/>
  <c r="I133" i="27"/>
  <c r="I134" i="27"/>
  <c r="I135" i="27"/>
  <c r="I136" i="27"/>
  <c r="I137" i="27"/>
  <c r="I138" i="27"/>
  <c r="I139" i="27"/>
  <c r="I140" i="27"/>
  <c r="I141" i="27"/>
  <c r="I142" i="27"/>
  <c r="I143" i="27"/>
  <c r="I144" i="27"/>
  <c r="I145" i="27"/>
  <c r="I146" i="27"/>
  <c r="I147" i="27"/>
  <c r="I148" i="27"/>
  <c r="I149" i="27"/>
  <c r="I150" i="27"/>
  <c r="I151" i="27"/>
  <c r="I152" i="27"/>
  <c r="I153" i="27"/>
  <c r="I154" i="27"/>
  <c r="I155" i="27"/>
  <c r="I156" i="27"/>
  <c r="I157" i="27"/>
  <c r="I158" i="27"/>
  <c r="I159" i="27"/>
  <c r="I160" i="27"/>
  <c r="I161" i="27"/>
  <c r="I162" i="27"/>
  <c r="I163" i="27"/>
  <c r="I164" i="27"/>
  <c r="I165" i="27"/>
  <c r="I166" i="27"/>
  <c r="I167" i="27"/>
  <c r="I168" i="27"/>
  <c r="I169" i="27"/>
  <c r="I170" i="27"/>
  <c r="I171" i="27"/>
  <c r="I172" i="27"/>
  <c r="I173" i="27"/>
  <c r="I174" i="27"/>
  <c r="I175" i="27"/>
  <c r="I176" i="27"/>
  <c r="I177" i="27"/>
  <c r="I178" i="27"/>
  <c r="I179" i="27"/>
  <c r="I180" i="27"/>
  <c r="I181" i="27"/>
  <c r="I182" i="27"/>
  <c r="I183" i="27"/>
  <c r="I184" i="27"/>
  <c r="I185" i="27"/>
  <c r="I186" i="27"/>
  <c r="I187" i="27"/>
  <c r="I188" i="27"/>
  <c r="I189" i="27"/>
  <c r="I190" i="27"/>
  <c r="I191" i="27"/>
  <c r="I192" i="27"/>
  <c r="I193" i="27"/>
  <c r="I194" i="27"/>
  <c r="I195" i="27"/>
  <c r="I196" i="27"/>
  <c r="I197" i="27"/>
  <c r="I198" i="27"/>
  <c r="I199" i="27"/>
  <c r="I200" i="27"/>
  <c r="I201" i="27"/>
  <c r="I202" i="27"/>
  <c r="I203" i="27"/>
  <c r="I204" i="27"/>
  <c r="I205" i="27"/>
  <c r="I206" i="27"/>
  <c r="I207" i="27"/>
  <c r="I208" i="27"/>
  <c r="I209" i="27"/>
  <c r="I210" i="27"/>
  <c r="I211" i="27"/>
  <c r="I212" i="27"/>
  <c r="I213" i="27"/>
  <c r="I214" i="27"/>
  <c r="I215" i="27"/>
  <c r="I216" i="27"/>
  <c r="I217" i="27"/>
  <c r="I218" i="27"/>
  <c r="I219" i="27"/>
  <c r="I220" i="27"/>
  <c r="I221" i="27"/>
  <c r="I222" i="27"/>
  <c r="I223" i="27"/>
  <c r="I224" i="27"/>
  <c r="I225" i="27"/>
  <c r="I226" i="27"/>
  <c r="I227" i="27"/>
  <c r="I228" i="27"/>
  <c r="I229" i="27"/>
  <c r="I230" i="27"/>
  <c r="I231" i="27"/>
  <c r="I232" i="27"/>
  <c r="I233" i="27"/>
  <c r="I234" i="27"/>
  <c r="I235" i="27"/>
  <c r="I236" i="27"/>
  <c r="I237" i="27"/>
  <c r="I238" i="27"/>
  <c r="I239" i="27"/>
  <c r="I240" i="27"/>
  <c r="I241" i="27"/>
  <c r="I242" i="27"/>
  <c r="I243" i="27"/>
  <c r="I244" i="27"/>
  <c r="I245" i="27"/>
  <c r="I246" i="27"/>
  <c r="I247" i="27"/>
  <c r="I248" i="27"/>
  <c r="I249" i="27"/>
  <c r="I250" i="27"/>
  <c r="I251" i="27"/>
  <c r="I252" i="27"/>
  <c r="I253" i="27"/>
  <c r="I254" i="27"/>
  <c r="I255" i="27"/>
  <c r="I256" i="27"/>
  <c r="I257" i="27"/>
  <c r="I258" i="27"/>
  <c r="I259" i="27"/>
  <c r="I260" i="27"/>
  <c r="I261" i="27"/>
  <c r="I262" i="27"/>
  <c r="I263" i="27"/>
  <c r="I264" i="27"/>
  <c r="I265" i="27"/>
  <c r="I266" i="27"/>
  <c r="I267" i="27"/>
  <c r="I268" i="27"/>
  <c r="I269" i="27"/>
  <c r="I270" i="27"/>
  <c r="I271" i="27"/>
  <c r="I272" i="27"/>
  <c r="I273" i="27"/>
  <c r="I274" i="27"/>
  <c r="I275" i="27"/>
  <c r="I276" i="27"/>
  <c r="I277" i="27"/>
  <c r="I278" i="27"/>
  <c r="I279" i="27"/>
  <c r="I280" i="27"/>
  <c r="I281" i="27"/>
  <c r="I282" i="27"/>
  <c r="I283" i="27"/>
  <c r="I284" i="27"/>
  <c r="I285" i="27"/>
  <c r="I286" i="27"/>
  <c r="I287" i="27"/>
  <c r="I288" i="27"/>
  <c r="I289" i="27"/>
  <c r="I290" i="27"/>
  <c r="I291" i="27"/>
  <c r="I292" i="27"/>
  <c r="I293" i="27"/>
  <c r="I294" i="27"/>
  <c r="I295" i="27"/>
  <c r="I296" i="27"/>
  <c r="I297" i="27"/>
  <c r="I298" i="27"/>
  <c r="I299" i="27"/>
  <c r="I300" i="27"/>
  <c r="I301" i="27"/>
  <c r="I302" i="27"/>
  <c r="I303" i="27"/>
  <c r="I304" i="27"/>
  <c r="I305" i="27"/>
  <c r="I306" i="27"/>
  <c r="I307" i="27"/>
  <c r="I308" i="27"/>
  <c r="I309" i="27"/>
  <c r="I310" i="27"/>
  <c r="I311" i="27"/>
  <c r="I312" i="27"/>
  <c r="I313" i="27"/>
  <c r="I314" i="27"/>
  <c r="I315" i="27"/>
  <c r="I316" i="27"/>
  <c r="I317" i="27"/>
  <c r="I318" i="27"/>
  <c r="I319" i="27"/>
  <c r="I320" i="27"/>
  <c r="I321" i="27"/>
  <c r="I322" i="27"/>
  <c r="I323" i="27"/>
  <c r="I324" i="27"/>
  <c r="I325" i="27"/>
  <c r="I326" i="27"/>
  <c r="I327" i="27"/>
  <c r="I328" i="27"/>
  <c r="I329" i="27"/>
  <c r="I330" i="27"/>
  <c r="I331" i="27"/>
  <c r="I332" i="27"/>
  <c r="I333" i="27"/>
  <c r="I334" i="27"/>
  <c r="I335" i="27"/>
  <c r="I336" i="27"/>
  <c r="I337" i="27"/>
  <c r="I338" i="27"/>
  <c r="I339" i="27"/>
  <c r="I340" i="27"/>
  <c r="I341" i="27"/>
  <c r="I342" i="27"/>
  <c r="I343" i="27"/>
  <c r="I344" i="27"/>
  <c r="I345" i="27"/>
  <c r="I346" i="27"/>
  <c r="I347" i="27"/>
  <c r="I348" i="27"/>
  <c r="I349" i="27"/>
  <c r="I350" i="27"/>
  <c r="I351" i="27"/>
  <c r="I352" i="27"/>
  <c r="I353" i="27"/>
  <c r="I354" i="27"/>
  <c r="I355" i="27"/>
  <c r="I356" i="27"/>
  <c r="I357" i="27"/>
  <c r="I358" i="27"/>
  <c r="I359" i="27"/>
  <c r="I360" i="27"/>
  <c r="I361" i="27"/>
  <c r="I362" i="27"/>
  <c r="I363" i="27"/>
  <c r="I364" i="27"/>
  <c r="I365" i="27"/>
  <c r="I366" i="27"/>
  <c r="I367" i="27"/>
  <c r="I368" i="27"/>
  <c r="I369" i="27"/>
  <c r="I370" i="27"/>
  <c r="I371" i="27"/>
  <c r="I372" i="27"/>
  <c r="I373" i="27"/>
  <c r="I374" i="27"/>
  <c r="I375" i="27"/>
  <c r="I376" i="27"/>
  <c r="I377" i="27"/>
  <c r="I378" i="27"/>
  <c r="I379" i="27"/>
  <c r="I380" i="27"/>
  <c r="I381" i="27"/>
  <c r="I382" i="27"/>
  <c r="I383" i="27"/>
  <c r="I384" i="27"/>
  <c r="I385" i="27"/>
  <c r="I386" i="27"/>
  <c r="I387" i="27"/>
  <c r="I388" i="27"/>
  <c r="I389" i="27"/>
  <c r="I390" i="27"/>
  <c r="I391" i="27"/>
  <c r="I392" i="27"/>
  <c r="I393" i="27"/>
  <c r="I394" i="27"/>
  <c r="I395" i="27"/>
  <c r="I396" i="27"/>
  <c r="I397" i="27"/>
  <c r="I398" i="27"/>
  <c r="I399" i="27"/>
  <c r="I400" i="27"/>
  <c r="I401" i="27"/>
  <c r="I402" i="27"/>
  <c r="I403" i="27"/>
  <c r="I404" i="27"/>
  <c r="I405" i="27"/>
  <c r="I406" i="27"/>
  <c r="I407" i="27"/>
  <c r="I408" i="27"/>
  <c r="I409" i="27"/>
  <c r="I410" i="27"/>
  <c r="I411" i="27"/>
  <c r="I412" i="27"/>
  <c r="I413" i="27"/>
  <c r="I414" i="27"/>
  <c r="I415" i="27"/>
  <c r="I416" i="27"/>
  <c r="I417" i="27"/>
  <c r="I418" i="27"/>
  <c r="I419" i="27"/>
  <c r="I420" i="27"/>
  <c r="I421" i="27"/>
  <c r="I422" i="27"/>
  <c r="I423" i="27"/>
  <c r="I424" i="27"/>
  <c r="I425" i="27"/>
  <c r="I426" i="27"/>
  <c r="I427" i="27"/>
  <c r="I428" i="27"/>
  <c r="I429" i="27"/>
  <c r="I430" i="27"/>
  <c r="I431" i="27"/>
  <c r="I432" i="27"/>
  <c r="I433" i="27"/>
  <c r="I434" i="27"/>
  <c r="I435" i="27"/>
  <c r="I436" i="27"/>
  <c r="I437" i="27"/>
  <c r="I438" i="27"/>
  <c r="I439" i="27"/>
  <c r="I440" i="27"/>
  <c r="I441" i="27"/>
  <c r="I442" i="27"/>
  <c r="I443" i="27"/>
  <c r="I444" i="27"/>
  <c r="I445" i="27"/>
  <c r="I446" i="27"/>
  <c r="I447" i="27"/>
  <c r="I448" i="27"/>
  <c r="I449" i="27"/>
  <c r="I450" i="27"/>
  <c r="I451" i="27"/>
  <c r="I452" i="27"/>
  <c r="F2" i="17"/>
  <c r="G2" i="17"/>
  <c r="H2" i="17"/>
  <c r="I2" i="17"/>
  <c r="J2" i="17"/>
  <c r="F3" i="17"/>
  <c r="G3" i="17"/>
  <c r="H3" i="17"/>
  <c r="I3" i="17"/>
  <c r="J3" i="17"/>
  <c r="F4" i="17"/>
  <c r="G4" i="17"/>
  <c r="H4" i="17"/>
  <c r="I4" i="17"/>
  <c r="J4" i="17"/>
  <c r="F5" i="17"/>
  <c r="G5" i="17"/>
  <c r="H5" i="17"/>
  <c r="I5" i="17"/>
  <c r="J5" i="17"/>
  <c r="F6" i="17"/>
  <c r="G6" i="17"/>
  <c r="H6" i="17"/>
  <c r="I6" i="17"/>
  <c r="J6" i="17"/>
  <c r="F7" i="17"/>
  <c r="G7" i="17"/>
  <c r="H7" i="17"/>
  <c r="I7" i="17"/>
  <c r="J7" i="17"/>
  <c r="F8" i="17"/>
  <c r="G8" i="17"/>
  <c r="H8" i="17"/>
  <c r="I8" i="17"/>
  <c r="J8" i="17"/>
  <c r="F9" i="17"/>
  <c r="G9" i="17"/>
  <c r="H9" i="17"/>
  <c r="I9" i="17"/>
  <c r="J9" i="17"/>
  <c r="F10" i="17"/>
  <c r="G10" i="17"/>
  <c r="H10" i="17"/>
  <c r="I10" i="17"/>
  <c r="J10" i="17"/>
  <c r="F11" i="17"/>
  <c r="G11" i="17"/>
  <c r="H11" i="17"/>
  <c r="I11" i="17"/>
  <c r="J11" i="17"/>
  <c r="F12" i="17"/>
  <c r="G12" i="17"/>
  <c r="H12" i="17"/>
  <c r="I12" i="17"/>
  <c r="J12" i="17"/>
  <c r="F13" i="17"/>
  <c r="G13" i="17"/>
  <c r="H13" i="17"/>
  <c r="I13" i="17"/>
  <c r="J13" i="17"/>
  <c r="F14" i="17"/>
  <c r="G14" i="17"/>
  <c r="H14" i="17"/>
  <c r="I14" i="17"/>
  <c r="J14" i="17"/>
  <c r="F15" i="17"/>
  <c r="G15" i="17"/>
  <c r="H15" i="17"/>
  <c r="I15" i="17"/>
  <c r="J15" i="17"/>
  <c r="F16" i="17"/>
  <c r="G16" i="17"/>
  <c r="H16" i="17"/>
  <c r="I16" i="17"/>
  <c r="J16" i="17"/>
  <c r="F17" i="17"/>
  <c r="G17" i="17"/>
  <c r="H17" i="17"/>
  <c r="I17" i="17"/>
  <c r="J17" i="17"/>
  <c r="F18" i="17"/>
  <c r="G18" i="17"/>
  <c r="H18" i="17"/>
  <c r="I18" i="17"/>
  <c r="J18" i="17"/>
  <c r="F19" i="17"/>
  <c r="G19" i="17"/>
  <c r="H19" i="17"/>
  <c r="I19" i="17"/>
  <c r="J19" i="17"/>
  <c r="F20" i="17"/>
  <c r="G20" i="17"/>
  <c r="H20" i="17"/>
  <c r="I20" i="17"/>
  <c r="J20" i="17"/>
  <c r="F21" i="17"/>
  <c r="G21" i="17"/>
  <c r="H21" i="17"/>
  <c r="I21" i="17"/>
  <c r="J21" i="17"/>
  <c r="F22" i="17"/>
  <c r="G22" i="17"/>
  <c r="H22" i="17"/>
  <c r="I22" i="17"/>
  <c r="J22" i="17"/>
  <c r="F23" i="17"/>
  <c r="G23" i="17"/>
  <c r="H23" i="17"/>
  <c r="I23" i="17"/>
  <c r="J23" i="17"/>
  <c r="F24" i="17"/>
  <c r="G24" i="17"/>
  <c r="H24" i="17"/>
  <c r="I24" i="17"/>
  <c r="J24" i="17"/>
  <c r="F25" i="17"/>
  <c r="G25" i="17"/>
  <c r="H25" i="17"/>
  <c r="I25" i="17"/>
  <c r="J25" i="17"/>
  <c r="F26" i="17"/>
  <c r="G26" i="17"/>
  <c r="H26" i="17"/>
  <c r="I26" i="17"/>
  <c r="J26" i="17"/>
  <c r="F27" i="17"/>
  <c r="G27" i="17"/>
  <c r="H27" i="17"/>
  <c r="I27" i="17"/>
  <c r="J27" i="17"/>
  <c r="F28" i="17"/>
  <c r="G28" i="17"/>
  <c r="H28" i="17"/>
  <c r="I28" i="17"/>
  <c r="J28" i="17"/>
  <c r="F29" i="17"/>
  <c r="G29" i="17"/>
  <c r="H29" i="17"/>
  <c r="I29" i="17"/>
  <c r="J29" i="17"/>
  <c r="F30" i="17"/>
  <c r="G30" i="17"/>
  <c r="H30" i="17"/>
  <c r="I30" i="17"/>
  <c r="J30" i="17"/>
  <c r="F31" i="17"/>
  <c r="G31" i="17"/>
  <c r="H31" i="17"/>
  <c r="I31" i="17"/>
  <c r="J31" i="17"/>
  <c r="M31" i="17"/>
  <c r="F32" i="17"/>
  <c r="G32" i="17"/>
  <c r="H32" i="17"/>
  <c r="I32" i="17"/>
  <c r="J32" i="17"/>
  <c r="M32" i="17"/>
  <c r="F33" i="17"/>
  <c r="G33" i="17"/>
  <c r="H33" i="17"/>
  <c r="I33" i="17"/>
  <c r="J33" i="17"/>
  <c r="M33" i="17"/>
  <c r="F34" i="17"/>
  <c r="G34" i="17"/>
  <c r="H34" i="17"/>
  <c r="I34" i="17"/>
  <c r="J34" i="17"/>
  <c r="M34" i="17"/>
  <c r="F35" i="17"/>
  <c r="G35" i="17"/>
  <c r="H35" i="17"/>
  <c r="I35" i="17"/>
  <c r="J35" i="17"/>
  <c r="F36" i="17"/>
  <c r="G36" i="17"/>
  <c r="H36" i="17"/>
  <c r="I36" i="17"/>
  <c r="J36" i="17"/>
  <c r="F37" i="17"/>
  <c r="G37" i="17"/>
  <c r="H37" i="17"/>
  <c r="I37" i="17"/>
  <c r="J37" i="17"/>
  <c r="F38" i="17"/>
  <c r="G38" i="17"/>
  <c r="H38" i="17"/>
  <c r="I38" i="17"/>
  <c r="J38" i="17"/>
  <c r="F39" i="17"/>
  <c r="G39" i="17"/>
  <c r="H39" i="17"/>
  <c r="I39" i="17"/>
  <c r="J39" i="17"/>
  <c r="F40" i="17"/>
  <c r="G40" i="17"/>
  <c r="H40" i="17"/>
  <c r="I40" i="17"/>
  <c r="J40" i="17"/>
  <c r="F41" i="17"/>
  <c r="G41" i="17"/>
  <c r="H41" i="17"/>
  <c r="I41" i="17"/>
  <c r="J41" i="17"/>
  <c r="F42" i="17"/>
  <c r="G42" i="17"/>
  <c r="H42" i="17"/>
  <c r="I42" i="17"/>
  <c r="J42" i="17"/>
  <c r="F43" i="17"/>
  <c r="G43" i="17"/>
  <c r="H43" i="17"/>
  <c r="I43" i="17"/>
  <c r="J43" i="17"/>
  <c r="F44" i="17"/>
  <c r="G44" i="17"/>
  <c r="H44" i="17"/>
  <c r="I44" i="17"/>
  <c r="J44" i="17"/>
  <c r="F45" i="17"/>
  <c r="G45" i="17"/>
  <c r="H45" i="17"/>
  <c r="I45" i="17"/>
  <c r="J45" i="17"/>
  <c r="F46" i="17"/>
  <c r="G46" i="17"/>
  <c r="H46" i="17"/>
  <c r="I46" i="17"/>
  <c r="J46" i="17"/>
  <c r="F47" i="17"/>
  <c r="G47" i="17"/>
  <c r="H47" i="17"/>
  <c r="I47" i="17"/>
  <c r="J47" i="17"/>
  <c r="F48" i="17"/>
  <c r="G48" i="17"/>
  <c r="H48" i="17"/>
  <c r="I48" i="17"/>
  <c r="J48" i="17"/>
  <c r="F49" i="17"/>
  <c r="G49" i="17"/>
  <c r="H49" i="17"/>
  <c r="I49" i="17"/>
  <c r="J49" i="17"/>
  <c r="F50" i="17"/>
  <c r="G50" i="17"/>
  <c r="H50" i="17"/>
  <c r="I50" i="17"/>
  <c r="J50" i="17"/>
  <c r="F51" i="17"/>
  <c r="G51" i="17"/>
  <c r="H51" i="17"/>
  <c r="I51" i="17"/>
  <c r="J51" i="17"/>
  <c r="F52" i="17"/>
  <c r="G52" i="17"/>
  <c r="H52" i="17"/>
  <c r="I52" i="17"/>
  <c r="J52" i="17"/>
  <c r="F53" i="17"/>
  <c r="G53" i="17"/>
  <c r="H53" i="17"/>
  <c r="I53" i="17"/>
  <c r="J53" i="17"/>
  <c r="F54" i="17"/>
  <c r="G54" i="17"/>
  <c r="H54" i="17"/>
  <c r="I54" i="17"/>
  <c r="J54" i="17"/>
  <c r="F55" i="17"/>
  <c r="G55" i="17"/>
  <c r="H55" i="17"/>
  <c r="I55" i="17"/>
  <c r="J55" i="17"/>
  <c r="F56" i="17"/>
  <c r="G56" i="17"/>
  <c r="H56" i="17"/>
  <c r="I56" i="17"/>
  <c r="J56" i="17"/>
  <c r="F57" i="17"/>
  <c r="G57" i="17"/>
  <c r="H57" i="17"/>
  <c r="I57" i="17"/>
  <c r="J57" i="17"/>
  <c r="F58" i="17"/>
  <c r="G58" i="17"/>
  <c r="H58" i="17"/>
  <c r="I58" i="17"/>
  <c r="J58" i="17"/>
  <c r="F59" i="17"/>
  <c r="G59" i="17"/>
  <c r="H59" i="17"/>
  <c r="I59" i="17"/>
  <c r="J59" i="17"/>
  <c r="F60" i="17"/>
  <c r="G60" i="17"/>
  <c r="H60" i="17"/>
  <c r="I60" i="17"/>
  <c r="J60" i="17"/>
  <c r="F61" i="17"/>
  <c r="G61" i="17"/>
  <c r="H61" i="17"/>
  <c r="I61" i="17"/>
  <c r="J61" i="17"/>
  <c r="F62" i="17"/>
  <c r="G62" i="17"/>
  <c r="H62" i="17"/>
  <c r="I62" i="17"/>
  <c r="J62" i="17"/>
  <c r="F63" i="17"/>
  <c r="G63" i="17"/>
  <c r="H63" i="17"/>
  <c r="I63" i="17"/>
  <c r="J63" i="17"/>
  <c r="F64" i="17"/>
  <c r="G64" i="17"/>
  <c r="H64" i="17"/>
  <c r="I64" i="17"/>
  <c r="J64" i="17"/>
  <c r="F65" i="17"/>
  <c r="G65" i="17"/>
  <c r="H65" i="17"/>
  <c r="I65" i="17"/>
  <c r="J65" i="17"/>
  <c r="F66" i="17"/>
  <c r="G66" i="17"/>
  <c r="H66" i="17"/>
  <c r="I66" i="17"/>
  <c r="J66" i="17"/>
  <c r="F67" i="17"/>
  <c r="G67" i="17"/>
  <c r="H67" i="17"/>
  <c r="I67" i="17"/>
  <c r="J67" i="17"/>
  <c r="F68" i="17"/>
  <c r="G68" i="17"/>
  <c r="H68" i="17"/>
  <c r="I68" i="17"/>
  <c r="J68" i="17"/>
  <c r="F69" i="17"/>
  <c r="G69" i="17"/>
  <c r="H69" i="17"/>
  <c r="I69" i="17"/>
  <c r="J69" i="17"/>
  <c r="F70" i="17"/>
  <c r="G70" i="17"/>
  <c r="H70" i="17"/>
  <c r="I70" i="17"/>
  <c r="J70" i="17"/>
  <c r="F71" i="17"/>
  <c r="G71" i="17"/>
  <c r="H71" i="17"/>
  <c r="I71" i="17"/>
  <c r="J71" i="17"/>
  <c r="F72" i="17"/>
  <c r="G72" i="17"/>
  <c r="H72" i="17"/>
  <c r="I72" i="17"/>
  <c r="J72" i="17"/>
  <c r="F73" i="17"/>
  <c r="G73" i="17"/>
  <c r="H73" i="17"/>
  <c r="I73" i="17"/>
  <c r="J73" i="17"/>
  <c r="F74" i="17"/>
  <c r="G74" i="17"/>
  <c r="H74" i="17"/>
  <c r="I74" i="17"/>
  <c r="J74" i="17"/>
  <c r="F75" i="17"/>
  <c r="G75" i="17"/>
  <c r="H75" i="17"/>
  <c r="I75" i="17"/>
  <c r="J75" i="17"/>
  <c r="F76" i="17"/>
  <c r="G76" i="17"/>
  <c r="H76" i="17"/>
  <c r="I76" i="17"/>
  <c r="J76" i="17"/>
  <c r="M76" i="17"/>
  <c r="F77" i="17"/>
  <c r="G77" i="17"/>
  <c r="H77" i="17"/>
  <c r="I77" i="17"/>
  <c r="J77" i="17"/>
  <c r="M77" i="17"/>
  <c r="F78" i="17"/>
  <c r="G78" i="17"/>
  <c r="H78" i="17"/>
  <c r="I78" i="17"/>
  <c r="J78" i="17"/>
  <c r="M78" i="17"/>
  <c r="F79" i="17"/>
  <c r="G79" i="17"/>
  <c r="H79" i="17"/>
  <c r="I79" i="17"/>
  <c r="J79" i="17"/>
  <c r="M79" i="17"/>
  <c r="F80" i="17"/>
  <c r="G80" i="17"/>
  <c r="H80" i="17"/>
  <c r="I80" i="17"/>
  <c r="J80" i="17"/>
  <c r="M80" i="17"/>
  <c r="F81" i="17"/>
  <c r="G81" i="17"/>
  <c r="H81" i="17"/>
  <c r="I81" i="17"/>
  <c r="J81" i="17"/>
  <c r="M81" i="17"/>
  <c r="F82" i="17"/>
  <c r="G82" i="17"/>
  <c r="H82" i="17"/>
  <c r="I82" i="17"/>
  <c r="J82" i="17"/>
  <c r="M82" i="17"/>
  <c r="F83" i="17"/>
  <c r="G83" i="17"/>
  <c r="H83" i="17"/>
  <c r="I83" i="17"/>
  <c r="J83" i="17"/>
  <c r="M83" i="17"/>
  <c r="F84" i="17"/>
  <c r="G84" i="17"/>
  <c r="H84" i="17"/>
  <c r="I84" i="17"/>
  <c r="J84" i="17"/>
  <c r="M84" i="17"/>
  <c r="F85" i="17"/>
  <c r="G85" i="17"/>
  <c r="H85" i="17"/>
  <c r="I85" i="17"/>
  <c r="J85" i="17"/>
  <c r="M85" i="17"/>
  <c r="F86" i="17"/>
  <c r="G86" i="17"/>
  <c r="H86" i="17"/>
  <c r="I86" i="17"/>
  <c r="J86" i="17"/>
  <c r="M86" i="17"/>
  <c r="F87" i="17"/>
  <c r="G87" i="17"/>
  <c r="H87" i="17"/>
  <c r="I87" i="17"/>
  <c r="J87" i="17"/>
  <c r="F88" i="17"/>
  <c r="G88" i="17"/>
  <c r="H88" i="17"/>
  <c r="I88" i="17"/>
  <c r="J88" i="17"/>
  <c r="F89" i="17"/>
  <c r="G89" i="17"/>
  <c r="H89" i="17"/>
  <c r="I89" i="17"/>
  <c r="J89" i="17"/>
  <c r="F90" i="17"/>
  <c r="G90" i="17"/>
  <c r="H90" i="17"/>
  <c r="I90" i="17"/>
  <c r="J90" i="17"/>
  <c r="F91" i="17"/>
  <c r="G91" i="17"/>
  <c r="H91" i="17"/>
  <c r="I91" i="17"/>
  <c r="J91" i="17"/>
  <c r="F92" i="17"/>
  <c r="G92" i="17"/>
  <c r="H92" i="17"/>
  <c r="I92" i="17"/>
  <c r="J92" i="17"/>
  <c r="F93" i="17"/>
  <c r="G93" i="17"/>
  <c r="H93" i="17"/>
  <c r="I93" i="17"/>
  <c r="J93" i="17"/>
  <c r="F94" i="17"/>
  <c r="G94" i="17"/>
  <c r="H94" i="17"/>
  <c r="I94" i="17"/>
  <c r="J94" i="17"/>
  <c r="F95" i="17"/>
  <c r="G95" i="17"/>
  <c r="H95" i="17"/>
  <c r="I95" i="17"/>
  <c r="J95" i="17"/>
  <c r="F96" i="17"/>
  <c r="G96" i="17"/>
  <c r="H96" i="17"/>
  <c r="I96" i="17"/>
  <c r="J96" i="17"/>
  <c r="F97" i="17"/>
  <c r="G97" i="17"/>
  <c r="H97" i="17"/>
  <c r="I97" i="17"/>
  <c r="J97" i="17"/>
  <c r="F98" i="17"/>
  <c r="G98" i="17"/>
  <c r="H98" i="17"/>
  <c r="I98" i="17"/>
  <c r="J98" i="17"/>
  <c r="F99" i="17"/>
  <c r="G99" i="17"/>
  <c r="H99" i="17"/>
  <c r="I99" i="17"/>
  <c r="J99" i="17"/>
  <c r="F100" i="17"/>
  <c r="G100" i="17"/>
  <c r="H100" i="17"/>
  <c r="I100" i="17"/>
  <c r="J100" i="17"/>
  <c r="F101" i="17"/>
  <c r="G101" i="17"/>
  <c r="H101" i="17"/>
  <c r="I101" i="17"/>
  <c r="J101" i="17"/>
  <c r="F102" i="17"/>
  <c r="G102" i="17"/>
  <c r="H102" i="17"/>
  <c r="I102" i="17"/>
  <c r="J102" i="17"/>
  <c r="F103" i="17"/>
  <c r="G103" i="17"/>
  <c r="H103" i="17"/>
  <c r="I103" i="17"/>
  <c r="J103" i="17"/>
  <c r="F104" i="17"/>
  <c r="G104" i="17"/>
  <c r="H104" i="17"/>
  <c r="I104" i="17"/>
  <c r="J104" i="17"/>
  <c r="F105" i="17"/>
  <c r="G105" i="17"/>
  <c r="H105" i="17"/>
  <c r="I105" i="17"/>
  <c r="J105" i="17"/>
  <c r="F106" i="17"/>
  <c r="G106" i="17"/>
  <c r="H106" i="17"/>
  <c r="I106" i="17"/>
  <c r="J106" i="17"/>
  <c r="F107" i="17"/>
  <c r="G107" i="17"/>
  <c r="H107" i="17"/>
  <c r="I107" i="17"/>
  <c r="J107" i="17"/>
  <c r="F108" i="17"/>
  <c r="G108" i="17"/>
  <c r="H108" i="17"/>
  <c r="I108" i="17"/>
  <c r="J108" i="17"/>
  <c r="F109" i="17"/>
  <c r="G109" i="17"/>
  <c r="H109" i="17"/>
  <c r="I109" i="17"/>
  <c r="J109" i="17"/>
  <c r="F110" i="17"/>
  <c r="G110" i="17"/>
  <c r="H110" i="17"/>
  <c r="I110" i="17"/>
  <c r="J110" i="17"/>
  <c r="F111" i="17"/>
  <c r="G111" i="17"/>
  <c r="H111" i="17"/>
  <c r="I111" i="17"/>
  <c r="J111" i="17"/>
  <c r="F112" i="17"/>
  <c r="G112" i="17"/>
  <c r="H112" i="17"/>
  <c r="I112" i="17"/>
  <c r="J112" i="17"/>
  <c r="F113" i="17"/>
  <c r="G113" i="17"/>
  <c r="H113" i="17"/>
  <c r="I113" i="17"/>
  <c r="J113" i="17"/>
  <c r="F114" i="17"/>
  <c r="G114" i="17"/>
  <c r="H114" i="17"/>
  <c r="I114" i="17"/>
  <c r="J114" i="17"/>
  <c r="F115" i="17"/>
  <c r="G115" i="17"/>
  <c r="H115" i="17"/>
  <c r="I115" i="17"/>
  <c r="J115" i="17"/>
  <c r="M115" i="17"/>
  <c r="F116" i="17"/>
  <c r="G116" i="17"/>
  <c r="H116" i="17"/>
  <c r="I116" i="17"/>
  <c r="J116" i="17"/>
  <c r="M116" i="17"/>
  <c r="F117" i="17"/>
  <c r="G117" i="17"/>
  <c r="H117" i="17"/>
  <c r="I117" i="17"/>
  <c r="J117" i="17"/>
  <c r="M117" i="17"/>
  <c r="F118" i="17"/>
  <c r="G118" i="17"/>
  <c r="H118" i="17"/>
  <c r="I118" i="17"/>
  <c r="J118" i="17"/>
  <c r="M118" i="17"/>
  <c r="F119" i="17"/>
  <c r="G119" i="17"/>
  <c r="H119" i="17"/>
  <c r="I119" i="17"/>
  <c r="J119" i="17"/>
  <c r="M119" i="17"/>
  <c r="F120" i="17"/>
  <c r="G120" i="17"/>
  <c r="H120" i="17"/>
  <c r="I120" i="17"/>
  <c r="J120" i="17"/>
  <c r="F121" i="17"/>
  <c r="G121" i="17"/>
  <c r="H121" i="17"/>
  <c r="I121" i="17"/>
  <c r="J121" i="17"/>
  <c r="F122" i="17"/>
  <c r="G122" i="17"/>
  <c r="H122" i="17"/>
  <c r="I122" i="17"/>
  <c r="J122" i="17"/>
  <c r="F123" i="17"/>
  <c r="G123" i="17"/>
  <c r="H123" i="17"/>
  <c r="I123" i="17"/>
  <c r="J123" i="17"/>
  <c r="M123" i="17"/>
  <c r="F124" i="17"/>
  <c r="G124" i="17"/>
  <c r="H124" i="17"/>
  <c r="I124" i="17"/>
  <c r="J124" i="17"/>
  <c r="M124" i="17"/>
  <c r="F125" i="17"/>
  <c r="G125" i="17"/>
  <c r="H125" i="17"/>
  <c r="I125" i="17"/>
  <c r="J125" i="17"/>
  <c r="M125" i="17"/>
  <c r="F126" i="17"/>
  <c r="G126" i="17"/>
  <c r="H126" i="17"/>
  <c r="I126" i="17"/>
  <c r="J126" i="17"/>
  <c r="M126" i="17"/>
  <c r="F127" i="17"/>
  <c r="G127" i="17"/>
  <c r="H127" i="17"/>
  <c r="I127" i="17"/>
  <c r="J127" i="17"/>
  <c r="M127" i="17"/>
  <c r="F128" i="17"/>
  <c r="G128" i="17"/>
  <c r="H128" i="17"/>
  <c r="I128" i="17"/>
  <c r="J128" i="17"/>
  <c r="M128" i="17"/>
  <c r="F129" i="17"/>
  <c r="G129" i="17"/>
  <c r="H129" i="17"/>
  <c r="I129" i="17"/>
  <c r="J129" i="17"/>
  <c r="M129" i="17"/>
  <c r="F130" i="17"/>
  <c r="G130" i="17"/>
  <c r="H130" i="17"/>
  <c r="I130" i="17"/>
  <c r="J130" i="17"/>
  <c r="M130" i="17"/>
  <c r="F131" i="17"/>
  <c r="G131" i="17"/>
  <c r="H131" i="17"/>
  <c r="I131" i="17"/>
  <c r="J131" i="17"/>
  <c r="M131" i="17"/>
  <c r="F132" i="17"/>
  <c r="G132" i="17"/>
  <c r="H132" i="17"/>
  <c r="I132" i="17"/>
  <c r="J132" i="17"/>
  <c r="M132" i="17"/>
  <c r="F133" i="17"/>
  <c r="G133" i="17"/>
  <c r="H133" i="17"/>
  <c r="I133" i="17"/>
  <c r="J133" i="17"/>
  <c r="M133" i="17"/>
  <c r="F134" i="17"/>
  <c r="G134" i="17"/>
  <c r="H134" i="17"/>
  <c r="I134" i="17"/>
  <c r="J134" i="17"/>
  <c r="M134" i="17"/>
  <c r="F135" i="17"/>
  <c r="G135" i="17"/>
  <c r="H135" i="17"/>
  <c r="I135" i="17"/>
  <c r="J135" i="17"/>
  <c r="F136" i="17"/>
  <c r="G136" i="17"/>
  <c r="H136" i="17"/>
  <c r="I136" i="17"/>
  <c r="J136" i="17"/>
  <c r="F137" i="17"/>
  <c r="G137" i="17"/>
  <c r="H137" i="17"/>
  <c r="I137" i="17"/>
  <c r="J137" i="17"/>
  <c r="F138" i="17"/>
  <c r="G138" i="17"/>
  <c r="H138" i="17"/>
  <c r="I138" i="17"/>
  <c r="J138" i="17"/>
  <c r="F139" i="17"/>
  <c r="G139" i="17"/>
  <c r="H139" i="17"/>
  <c r="I139" i="17"/>
  <c r="J139" i="17"/>
  <c r="M139" i="17"/>
  <c r="F140" i="17"/>
  <c r="G140" i="17"/>
  <c r="H140" i="17"/>
  <c r="I140" i="17"/>
  <c r="J140" i="17"/>
  <c r="M140" i="17"/>
  <c r="F141" i="17"/>
  <c r="G141" i="17"/>
  <c r="H141" i="17"/>
  <c r="I141" i="17"/>
  <c r="J141" i="17"/>
  <c r="F142" i="17"/>
  <c r="G142" i="17"/>
  <c r="H142" i="17"/>
  <c r="I142" i="17"/>
  <c r="J142" i="17"/>
  <c r="F143" i="17"/>
  <c r="G143" i="17"/>
  <c r="H143" i="17"/>
  <c r="I143" i="17"/>
  <c r="J143" i="17"/>
  <c r="M143" i="17"/>
  <c r="F144" i="17"/>
  <c r="G144" i="17"/>
  <c r="H144" i="17"/>
  <c r="I144" i="17"/>
  <c r="J144" i="17"/>
  <c r="M144" i="17"/>
  <c r="F145" i="17"/>
  <c r="G145" i="17"/>
  <c r="H145" i="17"/>
  <c r="I145" i="17"/>
  <c r="J145" i="17"/>
  <c r="M145" i="17"/>
  <c r="F146" i="17"/>
  <c r="G146" i="17"/>
  <c r="H146" i="17"/>
  <c r="I146" i="17"/>
  <c r="J146" i="17"/>
  <c r="M146" i="17"/>
  <c r="F147" i="17"/>
  <c r="G147" i="17"/>
  <c r="H147" i="17"/>
  <c r="I147" i="17"/>
  <c r="J147" i="17"/>
  <c r="M147" i="17"/>
  <c r="F148" i="17"/>
  <c r="G148" i="17"/>
  <c r="H148" i="17"/>
  <c r="I148" i="17"/>
  <c r="J148" i="17"/>
  <c r="M148" i="17"/>
  <c r="F149" i="17"/>
  <c r="G149" i="17"/>
  <c r="H149" i="17"/>
  <c r="I149" i="17"/>
  <c r="J149" i="17"/>
  <c r="M149" i="17"/>
  <c r="F150" i="17"/>
  <c r="G150" i="17"/>
  <c r="H150" i="17"/>
  <c r="I150" i="17"/>
  <c r="J150" i="17"/>
  <c r="M150" i="17"/>
  <c r="F151" i="17"/>
  <c r="G151" i="17"/>
  <c r="H151" i="17"/>
  <c r="I151" i="17"/>
  <c r="J151" i="17"/>
  <c r="F152" i="17"/>
  <c r="G152" i="17"/>
  <c r="H152" i="17"/>
  <c r="I152" i="17"/>
  <c r="J152" i="17"/>
  <c r="F153" i="17"/>
  <c r="G153" i="17"/>
  <c r="H153" i="17"/>
  <c r="I153" i="17"/>
  <c r="J153" i="17"/>
  <c r="F154" i="17"/>
  <c r="G154" i="17"/>
  <c r="H154" i="17"/>
  <c r="I154" i="17"/>
  <c r="J154" i="17"/>
  <c r="F155" i="17"/>
  <c r="G155" i="17"/>
  <c r="H155" i="17"/>
  <c r="I155" i="17"/>
  <c r="J155" i="17"/>
  <c r="F156" i="17"/>
  <c r="G156" i="17"/>
  <c r="H156" i="17"/>
  <c r="I156" i="17"/>
  <c r="J156" i="17"/>
  <c r="F157" i="17"/>
  <c r="G157" i="17"/>
  <c r="H157" i="17"/>
  <c r="I157" i="17"/>
  <c r="J157" i="17"/>
  <c r="F158" i="17"/>
  <c r="G158" i="17"/>
  <c r="H158" i="17"/>
  <c r="I158" i="17"/>
  <c r="J158" i="17"/>
  <c r="F159" i="17"/>
  <c r="G159" i="17"/>
  <c r="H159" i="17"/>
  <c r="I159" i="17"/>
  <c r="J159" i="17"/>
  <c r="M159" i="17"/>
  <c r="F160" i="17"/>
  <c r="G160" i="17"/>
  <c r="H160" i="17"/>
  <c r="I160" i="17"/>
  <c r="J160" i="17"/>
  <c r="M160" i="17"/>
  <c r="F161" i="17"/>
  <c r="G161" i="17"/>
  <c r="H161" i="17"/>
  <c r="I161" i="17"/>
  <c r="J161" i="17"/>
  <c r="F162" i="17"/>
  <c r="G162" i="17"/>
  <c r="H162" i="17"/>
  <c r="I162" i="17"/>
  <c r="J162" i="17"/>
  <c r="F163" i="17"/>
  <c r="G163" i="17"/>
  <c r="H163" i="17"/>
  <c r="I163" i="17"/>
  <c r="J163" i="17"/>
  <c r="F164" i="17"/>
  <c r="G164" i="17"/>
  <c r="H164" i="17"/>
  <c r="I164" i="17"/>
  <c r="J164" i="17"/>
  <c r="F165" i="17"/>
  <c r="G165" i="17"/>
  <c r="H165" i="17"/>
  <c r="I165" i="17"/>
  <c r="J165" i="17"/>
  <c r="F166" i="17"/>
  <c r="G166" i="17"/>
  <c r="H166" i="17"/>
  <c r="I166" i="17"/>
  <c r="J166" i="17"/>
  <c r="F167" i="17"/>
  <c r="G167" i="17"/>
  <c r="H167" i="17"/>
  <c r="I167" i="17"/>
  <c r="J167" i="17"/>
  <c r="F168" i="17"/>
  <c r="G168" i="17"/>
  <c r="H168" i="17"/>
  <c r="I168" i="17"/>
  <c r="J168" i="17"/>
  <c r="F169" i="17"/>
  <c r="G169" i="17"/>
  <c r="H169" i="17"/>
  <c r="I169" i="17"/>
  <c r="J169" i="17"/>
  <c r="M169" i="17"/>
  <c r="F170" i="17"/>
  <c r="G170" i="17"/>
  <c r="H170" i="17"/>
  <c r="I170" i="17"/>
  <c r="J170" i="17"/>
  <c r="M170" i="17"/>
  <c r="F171" i="17"/>
  <c r="G171" i="17"/>
  <c r="H171" i="17"/>
  <c r="I171" i="17"/>
  <c r="J171" i="17"/>
  <c r="M171" i="17"/>
  <c r="F172" i="17"/>
  <c r="G172" i="17"/>
  <c r="H172" i="17"/>
  <c r="I172" i="17"/>
  <c r="J172" i="17"/>
  <c r="F173" i="17"/>
  <c r="G173" i="17"/>
  <c r="H173" i="17"/>
  <c r="I173" i="17"/>
  <c r="J173" i="17"/>
  <c r="F174" i="17"/>
  <c r="G174" i="17"/>
  <c r="H174" i="17"/>
  <c r="I174" i="17"/>
  <c r="J174" i="17"/>
  <c r="F175" i="17"/>
  <c r="G175" i="17"/>
  <c r="H175" i="17"/>
  <c r="I175" i="17"/>
  <c r="J175" i="17"/>
  <c r="F176" i="17"/>
  <c r="G176" i="17"/>
  <c r="H176" i="17"/>
  <c r="I176" i="17"/>
  <c r="J176" i="17"/>
  <c r="F177" i="17"/>
  <c r="G177" i="17"/>
  <c r="H177" i="17"/>
  <c r="I177" i="17"/>
  <c r="J177" i="17"/>
  <c r="F178" i="17"/>
  <c r="G178" i="17"/>
  <c r="H178" i="17"/>
  <c r="I178" i="17"/>
  <c r="J178" i="17"/>
  <c r="F179" i="17"/>
  <c r="G179" i="17"/>
  <c r="H179" i="17"/>
  <c r="I179" i="17"/>
  <c r="J179" i="17"/>
  <c r="F180" i="17"/>
  <c r="G180" i="17"/>
  <c r="H180" i="17"/>
  <c r="I180" i="17"/>
  <c r="J180" i="17"/>
  <c r="F181" i="17"/>
  <c r="G181" i="17"/>
  <c r="H181" i="17"/>
  <c r="I181" i="17"/>
  <c r="J181" i="17"/>
  <c r="F182" i="17"/>
  <c r="G182" i="17"/>
  <c r="H182" i="17"/>
  <c r="I182" i="17"/>
  <c r="J182" i="17"/>
  <c r="F183" i="17"/>
  <c r="G183" i="17"/>
  <c r="H183" i="17"/>
  <c r="I183" i="17"/>
  <c r="J183" i="17"/>
  <c r="M183" i="17"/>
  <c r="F184" i="17"/>
  <c r="G184" i="17"/>
  <c r="H184" i="17"/>
  <c r="I184" i="17"/>
  <c r="J184" i="17"/>
  <c r="M184" i="17"/>
  <c r="F185" i="17"/>
  <c r="G185" i="17"/>
  <c r="H185" i="17"/>
  <c r="I185" i="17"/>
  <c r="J185" i="17"/>
  <c r="M185" i="17"/>
  <c r="F186" i="17"/>
  <c r="G186" i="17"/>
  <c r="H186" i="17"/>
  <c r="I186" i="17"/>
  <c r="J186" i="17"/>
  <c r="M186" i="17"/>
  <c r="F187" i="17"/>
  <c r="G187" i="17"/>
  <c r="H187" i="17"/>
  <c r="I187" i="17"/>
  <c r="J187" i="17"/>
  <c r="M187" i="17"/>
  <c r="F188" i="17"/>
  <c r="G188" i="17"/>
  <c r="H188" i="17"/>
  <c r="I188" i="17"/>
  <c r="J188" i="17"/>
  <c r="F189" i="17"/>
  <c r="G189" i="17"/>
  <c r="H189" i="17"/>
  <c r="I189" i="17"/>
  <c r="J189" i="17"/>
  <c r="F190" i="17"/>
  <c r="G190" i="17"/>
  <c r="H190" i="17"/>
  <c r="I190" i="17"/>
  <c r="J190" i="17"/>
  <c r="F191" i="17"/>
  <c r="G191" i="17"/>
  <c r="H191" i="17"/>
  <c r="I191" i="17"/>
  <c r="J191" i="17"/>
  <c r="F192" i="17"/>
  <c r="G192" i="17"/>
  <c r="H192" i="17"/>
  <c r="I192" i="17"/>
  <c r="J192" i="17"/>
  <c r="F193" i="17"/>
  <c r="G193" i="17"/>
  <c r="H193" i="17"/>
  <c r="I193" i="17"/>
  <c r="J193" i="17"/>
  <c r="M193" i="17"/>
  <c r="F194" i="17"/>
  <c r="G194" i="17"/>
  <c r="H194" i="17"/>
  <c r="I194" i="17"/>
  <c r="J194" i="17"/>
  <c r="F195" i="17"/>
  <c r="G195" i="17"/>
  <c r="H195" i="17"/>
  <c r="I195" i="17"/>
  <c r="J195" i="17"/>
  <c r="M195" i="17"/>
  <c r="F196" i="17"/>
  <c r="G196" i="17"/>
  <c r="H196" i="17"/>
  <c r="I196" i="17"/>
  <c r="J196" i="17"/>
  <c r="M196" i="17"/>
  <c r="F197" i="17"/>
  <c r="G197" i="17"/>
  <c r="H197" i="17"/>
  <c r="I197" i="17"/>
  <c r="J197" i="17"/>
  <c r="M197" i="17"/>
  <c r="F198" i="17"/>
  <c r="G198" i="17"/>
  <c r="H198" i="17"/>
  <c r="I198" i="17"/>
  <c r="J198" i="17"/>
  <c r="M198" i="17"/>
  <c r="F199" i="17"/>
  <c r="G199" i="17"/>
  <c r="H199" i="17"/>
  <c r="I199" i="17"/>
  <c r="J199" i="17"/>
  <c r="M199" i="17"/>
  <c r="F200" i="17"/>
  <c r="G200" i="17"/>
  <c r="H200" i="17"/>
  <c r="I200" i="17"/>
  <c r="J200" i="17"/>
  <c r="F201" i="17"/>
  <c r="G201" i="17"/>
  <c r="H201" i="17"/>
  <c r="I201" i="17"/>
  <c r="J201" i="17"/>
  <c r="F202" i="17"/>
  <c r="G202" i="17"/>
  <c r="H202" i="17"/>
  <c r="I202" i="17"/>
  <c r="J202" i="17"/>
  <c r="F203" i="17"/>
  <c r="G203" i="17"/>
  <c r="H203" i="17"/>
  <c r="I203" i="17"/>
  <c r="J203" i="17"/>
  <c r="F204" i="17"/>
  <c r="G204" i="17"/>
  <c r="H204" i="17"/>
  <c r="I204" i="17"/>
  <c r="J204" i="17"/>
  <c r="F205" i="17"/>
  <c r="G205" i="17"/>
  <c r="H205" i="17"/>
  <c r="I205" i="17"/>
  <c r="J205" i="17"/>
  <c r="F206" i="17"/>
  <c r="G206" i="17"/>
  <c r="H206" i="17"/>
  <c r="I206" i="17"/>
  <c r="J206" i="17"/>
  <c r="M206" i="17"/>
  <c r="F207" i="17"/>
  <c r="G207" i="17"/>
  <c r="H207" i="17"/>
  <c r="I207" i="17"/>
  <c r="J207" i="17"/>
  <c r="F208" i="17"/>
  <c r="G208" i="17"/>
  <c r="H208" i="17"/>
  <c r="I208" i="17"/>
  <c r="J208" i="17"/>
  <c r="F209" i="17"/>
  <c r="G209" i="17"/>
  <c r="H209" i="17"/>
  <c r="I209" i="17"/>
  <c r="J209" i="17"/>
  <c r="F210" i="17"/>
  <c r="G210" i="17"/>
  <c r="H210" i="17"/>
  <c r="I210" i="17"/>
  <c r="J210" i="17"/>
  <c r="F211" i="17"/>
  <c r="G211" i="17"/>
  <c r="H211" i="17"/>
  <c r="I211" i="17"/>
  <c r="J211" i="17"/>
  <c r="F212" i="17"/>
  <c r="G212" i="17"/>
  <c r="H212" i="17"/>
  <c r="I212" i="17"/>
  <c r="J212" i="17"/>
  <c r="F213" i="17"/>
  <c r="G213" i="17"/>
  <c r="H213" i="17"/>
  <c r="I213" i="17"/>
  <c r="J213" i="17"/>
  <c r="M213" i="17"/>
  <c r="F214" i="17"/>
  <c r="G214" i="17"/>
  <c r="H214" i="17"/>
  <c r="I214" i="17"/>
  <c r="J214" i="17"/>
  <c r="M214" i="17"/>
  <c r="F215" i="17"/>
  <c r="G215" i="17"/>
  <c r="H215" i="17"/>
  <c r="I215" i="17"/>
  <c r="J215" i="17"/>
  <c r="F216" i="17"/>
  <c r="G216" i="17"/>
  <c r="H216" i="17"/>
  <c r="I216" i="17"/>
  <c r="J216" i="17"/>
  <c r="M216" i="17"/>
  <c r="F217" i="17"/>
  <c r="G217" i="17"/>
  <c r="H217" i="17"/>
  <c r="I217" i="17"/>
  <c r="J217" i="17"/>
  <c r="F218" i="17"/>
  <c r="G218" i="17"/>
  <c r="H218" i="17"/>
  <c r="I218" i="17"/>
  <c r="J218" i="17"/>
  <c r="M218" i="17"/>
  <c r="F219" i="17"/>
  <c r="G219" i="17"/>
  <c r="H219" i="17"/>
  <c r="I219" i="17"/>
  <c r="J219" i="17"/>
  <c r="F220" i="17"/>
  <c r="G220" i="17"/>
  <c r="H220" i="17"/>
  <c r="I220" i="17"/>
  <c r="J220" i="17"/>
  <c r="F221" i="17"/>
  <c r="G221" i="17"/>
  <c r="H221" i="17"/>
  <c r="I221" i="17"/>
  <c r="J221" i="17"/>
  <c r="M221" i="17"/>
  <c r="F222" i="17"/>
  <c r="G222" i="17"/>
  <c r="H222" i="17"/>
  <c r="I222" i="17"/>
  <c r="J222" i="17"/>
  <c r="M222" i="17"/>
  <c r="F223" i="17"/>
  <c r="G223" i="17"/>
  <c r="H223" i="17"/>
  <c r="I223" i="17"/>
  <c r="J223" i="17"/>
  <c r="M223" i="17"/>
  <c r="F224" i="17"/>
  <c r="G224" i="17"/>
  <c r="H224" i="17"/>
  <c r="I224" i="17"/>
  <c r="J224" i="17"/>
  <c r="F225" i="17"/>
  <c r="G225" i="17"/>
  <c r="H225" i="17"/>
  <c r="I225" i="17"/>
  <c r="J225" i="17"/>
  <c r="F226" i="17"/>
  <c r="G226" i="17"/>
  <c r="H226" i="17"/>
  <c r="I226" i="17"/>
  <c r="J226" i="17"/>
  <c r="F227" i="17"/>
  <c r="G227" i="17"/>
  <c r="H227" i="17"/>
  <c r="I227" i="17"/>
  <c r="J227" i="17"/>
  <c r="F228" i="17"/>
  <c r="G228" i="17"/>
  <c r="H228" i="17"/>
  <c r="I228" i="17"/>
  <c r="J228" i="17"/>
  <c r="F229" i="17"/>
  <c r="G229" i="17"/>
  <c r="H229" i="17"/>
  <c r="I229" i="17"/>
  <c r="J229" i="17"/>
  <c r="M229" i="17"/>
  <c r="F230" i="17"/>
  <c r="G230" i="17"/>
  <c r="H230" i="17"/>
  <c r="I230" i="17"/>
  <c r="J230" i="17"/>
  <c r="M230" i="17"/>
  <c r="F231" i="17"/>
  <c r="G231" i="17"/>
  <c r="H231" i="17"/>
  <c r="I231" i="17"/>
  <c r="J231" i="17"/>
  <c r="M231" i="17"/>
  <c r="F232" i="17"/>
  <c r="G232" i="17"/>
  <c r="H232" i="17"/>
  <c r="I232" i="17"/>
  <c r="J232" i="17"/>
  <c r="M232" i="17"/>
  <c r="F233" i="17"/>
  <c r="G233" i="17"/>
  <c r="H233" i="17"/>
  <c r="I233" i="17"/>
  <c r="J233" i="17"/>
  <c r="F234" i="17"/>
  <c r="G234" i="17"/>
  <c r="H234" i="17"/>
  <c r="I234" i="17"/>
  <c r="J234" i="17"/>
  <c r="F235" i="17"/>
  <c r="G235" i="17"/>
  <c r="H235" i="17"/>
  <c r="I235" i="17"/>
  <c r="J235" i="17"/>
  <c r="F236" i="17"/>
  <c r="G236" i="17"/>
  <c r="H236" i="17"/>
  <c r="I236" i="17"/>
  <c r="J236" i="17"/>
  <c r="F237" i="17"/>
  <c r="G237" i="17"/>
  <c r="H237" i="17"/>
  <c r="I237" i="17"/>
  <c r="J237" i="17"/>
  <c r="F238" i="17"/>
  <c r="G238" i="17"/>
  <c r="H238" i="17"/>
  <c r="I238" i="17"/>
  <c r="J238" i="17"/>
  <c r="F239" i="17"/>
  <c r="G239" i="17"/>
  <c r="H239" i="17"/>
  <c r="I239" i="17"/>
  <c r="J239" i="17"/>
  <c r="M239" i="17"/>
  <c r="F240" i="17"/>
  <c r="G240" i="17"/>
  <c r="H240" i="17"/>
  <c r="I240" i="17"/>
  <c r="J240" i="17"/>
  <c r="F241" i="17"/>
  <c r="G241" i="17"/>
  <c r="H241" i="17"/>
  <c r="I241" i="17"/>
  <c r="J241" i="17"/>
  <c r="F242" i="17"/>
  <c r="G242" i="17"/>
  <c r="H242" i="17"/>
  <c r="I242" i="17"/>
  <c r="J242" i="17"/>
  <c r="F243" i="17"/>
  <c r="G243" i="17"/>
  <c r="H243" i="17"/>
  <c r="I243" i="17"/>
  <c r="J243" i="17"/>
  <c r="F244" i="17"/>
  <c r="G244" i="17"/>
  <c r="H244" i="17"/>
  <c r="I244" i="17"/>
  <c r="J244" i="17"/>
  <c r="F245" i="17"/>
  <c r="G245" i="17"/>
  <c r="H245" i="17"/>
  <c r="I245" i="17"/>
  <c r="J245" i="17"/>
  <c r="F246" i="17"/>
  <c r="G246" i="17"/>
  <c r="H246" i="17"/>
  <c r="I246" i="17"/>
  <c r="J246" i="17"/>
  <c r="M246" i="17"/>
  <c r="F247" i="17"/>
  <c r="G247" i="17"/>
  <c r="H247" i="17"/>
  <c r="I247" i="17"/>
  <c r="J247" i="17"/>
  <c r="M247" i="17"/>
  <c r="F248" i="17"/>
  <c r="G248" i="17"/>
  <c r="H248" i="17"/>
  <c r="I248" i="17"/>
  <c r="J248" i="17"/>
  <c r="M248" i="17"/>
  <c r="F249" i="17"/>
  <c r="G249" i="17"/>
  <c r="H249" i="17"/>
  <c r="I249" i="17"/>
  <c r="J249" i="17"/>
  <c r="F250" i="17"/>
  <c r="G250" i="17"/>
  <c r="H250" i="17"/>
  <c r="I250" i="17"/>
  <c r="J250" i="17"/>
  <c r="M250" i="17"/>
  <c r="F251" i="17"/>
  <c r="G251" i="17"/>
  <c r="H251" i="17"/>
  <c r="I251" i="17"/>
  <c r="J251" i="17"/>
  <c r="F252" i="17"/>
  <c r="G252" i="17"/>
  <c r="H252" i="17"/>
  <c r="I252" i="17"/>
  <c r="J252" i="17"/>
  <c r="M252" i="17"/>
  <c r="F253" i="17"/>
  <c r="G253" i="17"/>
  <c r="H253" i="17"/>
  <c r="I253" i="17"/>
  <c r="J253" i="17"/>
  <c r="F254" i="17"/>
  <c r="G254" i="17"/>
  <c r="H254" i="17"/>
  <c r="I254" i="17"/>
  <c r="J254" i="17"/>
  <c r="M254" i="17"/>
  <c r="F255" i="17"/>
  <c r="G255" i="17"/>
  <c r="H255" i="17"/>
  <c r="I255" i="17"/>
  <c r="J255" i="17"/>
  <c r="F256" i="17"/>
  <c r="G256" i="17"/>
  <c r="H256" i="17"/>
  <c r="I256" i="17"/>
  <c r="J256" i="17"/>
  <c r="M256" i="17"/>
  <c r="F257" i="17"/>
  <c r="G257" i="17"/>
  <c r="H257" i="17"/>
  <c r="I257" i="17"/>
  <c r="J257" i="17"/>
  <c r="F258" i="17"/>
  <c r="G258" i="17"/>
  <c r="H258" i="17"/>
  <c r="I258" i="17"/>
  <c r="J258" i="17"/>
  <c r="M258" i="17"/>
  <c r="F259" i="17"/>
  <c r="G259" i="17"/>
  <c r="H259" i="17"/>
  <c r="I259" i="17"/>
  <c r="J259" i="17"/>
  <c r="F260" i="17"/>
  <c r="G260" i="17"/>
  <c r="H260" i="17"/>
  <c r="I260" i="17"/>
  <c r="J260" i="17"/>
  <c r="M260" i="17"/>
  <c r="F261" i="17"/>
  <c r="G261" i="17"/>
  <c r="H261" i="17"/>
  <c r="I261" i="17"/>
  <c r="J261" i="17"/>
  <c r="M261" i="17"/>
  <c r="F262" i="17"/>
  <c r="G262" i="17"/>
  <c r="H262" i="17"/>
  <c r="I262" i="17"/>
  <c r="J262" i="17"/>
  <c r="M262" i="17"/>
  <c r="F263" i="17"/>
  <c r="G263" i="17"/>
  <c r="H263" i="17"/>
  <c r="I263" i="17"/>
  <c r="J263" i="17"/>
  <c r="M263" i="17"/>
  <c r="F264" i="17"/>
  <c r="G264" i="17"/>
  <c r="H264" i="17"/>
  <c r="I264" i="17"/>
  <c r="J264" i="17"/>
  <c r="M264" i="17"/>
  <c r="F265" i="17"/>
  <c r="G265" i="17"/>
  <c r="H265" i="17"/>
  <c r="I265" i="17"/>
  <c r="J265" i="17"/>
  <c r="M265" i="17"/>
  <c r="F266" i="17"/>
  <c r="G266" i="17"/>
  <c r="H266" i="17"/>
  <c r="I266" i="17"/>
  <c r="J266" i="17"/>
  <c r="M266" i="17"/>
  <c r="F267" i="17"/>
  <c r="G267" i="17"/>
  <c r="H267" i="17"/>
  <c r="I267" i="17"/>
  <c r="J267" i="17"/>
  <c r="M267" i="17"/>
  <c r="F268" i="17"/>
  <c r="G268" i="17"/>
  <c r="H268" i="17"/>
  <c r="I268" i="17"/>
  <c r="J268" i="17"/>
  <c r="M268" i="17"/>
  <c r="F269" i="17"/>
  <c r="G269" i="17"/>
  <c r="H269" i="17"/>
  <c r="I269" i="17"/>
  <c r="J269" i="17"/>
  <c r="M269" i="17"/>
  <c r="F270" i="17"/>
  <c r="G270" i="17"/>
  <c r="H270" i="17"/>
  <c r="I270" i="17"/>
  <c r="J270" i="17"/>
  <c r="M270" i="17"/>
  <c r="F271" i="17"/>
  <c r="G271" i="17"/>
  <c r="H271" i="17"/>
  <c r="I271" i="17"/>
  <c r="J271" i="17"/>
  <c r="M271" i="17"/>
  <c r="F272" i="17"/>
  <c r="G272" i="17"/>
  <c r="H272" i="17"/>
  <c r="I272" i="17"/>
  <c r="J272" i="17"/>
  <c r="M272" i="17"/>
  <c r="F273" i="17"/>
  <c r="G273" i="17"/>
  <c r="H273" i="17"/>
  <c r="I273" i="17"/>
  <c r="J273" i="17"/>
  <c r="M273" i="17"/>
  <c r="F274" i="17"/>
  <c r="G274" i="17"/>
  <c r="H274" i="17"/>
  <c r="I274" i="17"/>
  <c r="J274" i="17"/>
  <c r="M274" i="17"/>
  <c r="F275" i="17"/>
  <c r="G275" i="17"/>
  <c r="H275" i="17"/>
  <c r="I275" i="17"/>
  <c r="J275" i="17"/>
  <c r="M275" i="17"/>
  <c r="F276" i="17"/>
  <c r="G276" i="17"/>
  <c r="H276" i="17"/>
  <c r="I276" i="17"/>
  <c r="J276" i="17"/>
  <c r="M276" i="17"/>
  <c r="F277" i="17"/>
  <c r="G277" i="17"/>
  <c r="H277" i="17"/>
  <c r="I277" i="17"/>
  <c r="J277" i="17"/>
  <c r="M277" i="17"/>
  <c r="F278" i="17"/>
  <c r="G278" i="17"/>
  <c r="H278" i="17"/>
  <c r="I278" i="17"/>
  <c r="J278" i="17"/>
  <c r="M278" i="17"/>
  <c r="F279" i="17"/>
  <c r="G279" i="17"/>
  <c r="H279" i="17"/>
  <c r="I279" i="17"/>
  <c r="J279" i="17"/>
  <c r="M279" i="17"/>
  <c r="F280" i="17"/>
  <c r="G280" i="17"/>
  <c r="H280" i="17"/>
  <c r="I280" i="17"/>
  <c r="J280" i="17"/>
  <c r="M280" i="17"/>
  <c r="F281" i="17"/>
  <c r="G281" i="17"/>
  <c r="H281" i="17"/>
  <c r="I281" i="17"/>
  <c r="J281" i="17"/>
  <c r="M281" i="17"/>
  <c r="F282" i="17"/>
  <c r="G282" i="17"/>
  <c r="H282" i="17"/>
  <c r="I282" i="17"/>
  <c r="J282" i="17"/>
  <c r="M282" i="17"/>
  <c r="F283" i="17"/>
  <c r="G283" i="17"/>
  <c r="H283" i="17"/>
  <c r="I283" i="17"/>
  <c r="J283" i="17"/>
  <c r="M283" i="17"/>
  <c r="F284" i="17"/>
  <c r="G284" i="17"/>
  <c r="H284" i="17"/>
  <c r="I284" i="17"/>
  <c r="J284" i="17"/>
  <c r="M284" i="17"/>
  <c r="F285" i="17"/>
  <c r="G285" i="17"/>
  <c r="H285" i="17"/>
  <c r="I285" i="17"/>
  <c r="J285" i="17"/>
  <c r="M285" i="17"/>
  <c r="F286" i="17"/>
  <c r="G286" i="17"/>
  <c r="H286" i="17"/>
  <c r="I286" i="17"/>
  <c r="J286" i="17"/>
  <c r="M286" i="17"/>
  <c r="F287" i="17"/>
  <c r="G287" i="17"/>
  <c r="H287" i="17"/>
  <c r="I287" i="17"/>
  <c r="J287" i="17"/>
  <c r="M287" i="17"/>
  <c r="F288" i="17"/>
  <c r="G288" i="17"/>
  <c r="H288" i="17"/>
  <c r="I288" i="17"/>
  <c r="J288" i="17"/>
  <c r="M288" i="17"/>
  <c r="F289" i="17"/>
  <c r="G289" i="17"/>
  <c r="H289" i="17"/>
  <c r="I289" i="17"/>
  <c r="J289" i="17"/>
  <c r="M289" i="17"/>
  <c r="F290" i="17"/>
  <c r="G290" i="17"/>
  <c r="H290" i="17"/>
  <c r="I290" i="17"/>
  <c r="J290" i="17"/>
  <c r="M290" i="17"/>
  <c r="F291" i="17"/>
  <c r="G291" i="17"/>
  <c r="H291" i="17"/>
  <c r="I291" i="17"/>
  <c r="J291" i="17"/>
  <c r="M291" i="17"/>
  <c r="F292" i="17"/>
  <c r="G292" i="17"/>
  <c r="H292" i="17"/>
  <c r="I292" i="17"/>
  <c r="J292" i="17"/>
  <c r="M292" i="17"/>
  <c r="F293" i="17"/>
  <c r="G293" i="17"/>
  <c r="H293" i="17"/>
  <c r="I293" i="17"/>
  <c r="J293" i="17"/>
  <c r="M293" i="17"/>
  <c r="F294" i="17"/>
  <c r="G294" i="17"/>
  <c r="H294" i="17"/>
  <c r="I294" i="17"/>
  <c r="J294" i="17"/>
  <c r="M294" i="17"/>
  <c r="F295" i="17"/>
  <c r="G295" i="17"/>
  <c r="H295" i="17"/>
  <c r="I295" i="17"/>
  <c r="J295" i="17"/>
  <c r="M295" i="17"/>
  <c r="F296" i="17"/>
  <c r="G296" i="17"/>
  <c r="H296" i="17"/>
  <c r="I296" i="17"/>
  <c r="J296" i="17"/>
  <c r="M296" i="17"/>
  <c r="F297" i="17"/>
  <c r="G297" i="17"/>
  <c r="H297" i="17"/>
  <c r="I297" i="17"/>
  <c r="J297" i="17"/>
  <c r="M297" i="17"/>
  <c r="F298" i="17"/>
  <c r="G298" i="17"/>
  <c r="H298" i="17"/>
  <c r="I298" i="17"/>
  <c r="J298" i="17"/>
  <c r="M298" i="17"/>
  <c r="F299" i="17"/>
  <c r="G299" i="17"/>
  <c r="H299" i="17"/>
  <c r="I299" i="17"/>
  <c r="J299" i="17"/>
  <c r="M299" i="17"/>
  <c r="F300" i="17"/>
  <c r="G300" i="17"/>
  <c r="H300" i="17"/>
  <c r="I300" i="17"/>
  <c r="J300" i="17"/>
  <c r="M300" i="17"/>
  <c r="F301" i="17"/>
  <c r="G301" i="17"/>
  <c r="H301" i="17"/>
  <c r="I301" i="17"/>
  <c r="J301" i="17"/>
  <c r="M301" i="17"/>
  <c r="F302" i="17"/>
  <c r="G302" i="17"/>
  <c r="H302" i="17"/>
  <c r="I302" i="17"/>
  <c r="J302" i="17"/>
  <c r="M302" i="17"/>
  <c r="F303" i="17"/>
  <c r="G303" i="17"/>
  <c r="H303" i="17"/>
  <c r="I303" i="17"/>
  <c r="J303" i="17"/>
  <c r="M303" i="17"/>
  <c r="F304" i="17"/>
  <c r="G304" i="17"/>
  <c r="H304" i="17"/>
  <c r="I304" i="17"/>
  <c r="J304" i="17"/>
  <c r="M304" i="17"/>
  <c r="F305" i="17"/>
  <c r="G305" i="17"/>
  <c r="H305" i="17"/>
  <c r="I305" i="17"/>
  <c r="J305" i="17"/>
  <c r="M305" i="17"/>
  <c r="F306" i="17"/>
  <c r="G306" i="17"/>
  <c r="H306" i="17"/>
  <c r="I306" i="17"/>
  <c r="J306" i="17"/>
  <c r="M306" i="17"/>
  <c r="F307" i="17"/>
  <c r="G307" i="17"/>
  <c r="H307" i="17"/>
  <c r="I307" i="17"/>
  <c r="J307" i="17"/>
  <c r="M307" i="17"/>
  <c r="F308" i="17"/>
  <c r="G308" i="17"/>
  <c r="H308" i="17"/>
  <c r="I308" i="17"/>
  <c r="J308" i="17"/>
  <c r="M308" i="17"/>
  <c r="F309" i="17"/>
  <c r="G309" i="17"/>
  <c r="H309" i="17"/>
  <c r="I309" i="17"/>
  <c r="J309" i="17"/>
  <c r="M309" i="17"/>
  <c r="F310" i="17"/>
  <c r="G310" i="17"/>
  <c r="H310" i="17"/>
  <c r="I310" i="17"/>
  <c r="J310" i="17"/>
  <c r="M310" i="17"/>
  <c r="F311" i="17"/>
  <c r="G311" i="17"/>
  <c r="H311" i="17"/>
  <c r="I311" i="17"/>
  <c r="J311" i="17"/>
  <c r="M311" i="17"/>
  <c r="F312" i="17"/>
  <c r="G312" i="17"/>
  <c r="H312" i="17"/>
  <c r="I312" i="17"/>
  <c r="J312" i="17"/>
  <c r="M312" i="17"/>
  <c r="F313" i="17"/>
  <c r="G313" i="17"/>
  <c r="H313" i="17"/>
  <c r="I313" i="17"/>
  <c r="J313" i="17"/>
  <c r="M313" i="17"/>
  <c r="F314" i="17"/>
  <c r="G314" i="17"/>
  <c r="H314" i="17"/>
  <c r="I314" i="17"/>
  <c r="J314" i="17"/>
  <c r="M314" i="17"/>
  <c r="F315" i="17"/>
  <c r="G315" i="17"/>
  <c r="H315" i="17"/>
  <c r="I315" i="17"/>
  <c r="J315" i="17"/>
  <c r="M315" i="17"/>
  <c r="F316" i="17"/>
  <c r="G316" i="17"/>
  <c r="H316" i="17"/>
  <c r="I316" i="17"/>
  <c r="J316" i="17"/>
  <c r="M316" i="17"/>
  <c r="F317" i="17"/>
  <c r="G317" i="17"/>
  <c r="H317" i="17"/>
  <c r="I317" i="17"/>
  <c r="J317" i="17"/>
  <c r="M317" i="17"/>
  <c r="F318" i="17"/>
  <c r="G318" i="17"/>
  <c r="H318" i="17"/>
  <c r="I318" i="17"/>
  <c r="J318" i="17"/>
  <c r="M318" i="17"/>
  <c r="F319" i="17"/>
  <c r="G319" i="17"/>
  <c r="H319" i="17"/>
  <c r="I319" i="17"/>
  <c r="J319" i="17"/>
  <c r="M319" i="17"/>
  <c r="F320" i="17"/>
  <c r="G320" i="17"/>
  <c r="H320" i="17"/>
  <c r="I320" i="17"/>
  <c r="J320" i="17"/>
  <c r="M320" i="17"/>
  <c r="F321" i="17"/>
  <c r="G321" i="17"/>
  <c r="H321" i="17"/>
  <c r="I321" i="17"/>
  <c r="J321" i="17"/>
  <c r="M321" i="17"/>
  <c r="F322" i="17"/>
  <c r="G322" i="17"/>
  <c r="H322" i="17"/>
  <c r="I322" i="17"/>
  <c r="J322" i="17"/>
  <c r="M322" i="17"/>
  <c r="F323" i="17"/>
  <c r="G323" i="17"/>
  <c r="H323" i="17"/>
  <c r="I323" i="17"/>
  <c r="J323" i="17"/>
  <c r="M323" i="17"/>
  <c r="F324" i="17"/>
  <c r="G324" i="17"/>
  <c r="H324" i="17"/>
  <c r="I324" i="17"/>
  <c r="J324" i="17"/>
  <c r="M324" i="17"/>
  <c r="F325" i="17"/>
  <c r="G325" i="17"/>
  <c r="H325" i="17"/>
  <c r="I325" i="17"/>
  <c r="J325" i="17"/>
  <c r="M325" i="17"/>
  <c r="F326" i="17"/>
  <c r="G326" i="17"/>
  <c r="H326" i="17"/>
  <c r="I326" i="17"/>
  <c r="J326" i="17"/>
  <c r="M326" i="17"/>
  <c r="F327" i="17"/>
  <c r="G327" i="17"/>
  <c r="H327" i="17"/>
  <c r="I327" i="17"/>
  <c r="J327" i="17"/>
  <c r="M327" i="17"/>
  <c r="F328" i="17"/>
  <c r="G328" i="17"/>
  <c r="H328" i="17"/>
  <c r="I328" i="17"/>
  <c r="J328" i="17"/>
  <c r="M328" i="17"/>
  <c r="F329" i="17"/>
  <c r="G329" i="17"/>
  <c r="H329" i="17"/>
  <c r="I329" i="17"/>
  <c r="J329" i="17"/>
  <c r="M329" i="17"/>
  <c r="F330" i="17"/>
  <c r="G330" i="17"/>
  <c r="H330" i="17"/>
  <c r="I330" i="17"/>
  <c r="J330" i="17"/>
  <c r="M330" i="17"/>
  <c r="F331" i="17"/>
  <c r="G331" i="17"/>
  <c r="H331" i="17"/>
  <c r="I331" i="17"/>
  <c r="J331" i="17"/>
  <c r="M331" i="17"/>
  <c r="F332" i="17"/>
  <c r="G332" i="17"/>
  <c r="H332" i="17"/>
  <c r="I332" i="17"/>
  <c r="J332" i="17"/>
  <c r="M332" i="17"/>
  <c r="F333" i="17"/>
  <c r="G333" i="17"/>
  <c r="H333" i="17"/>
  <c r="I333" i="17"/>
  <c r="J333" i="17"/>
  <c r="M333" i="17"/>
  <c r="F334" i="17"/>
  <c r="G334" i="17"/>
  <c r="H334" i="17"/>
  <c r="I334" i="17"/>
  <c r="J334" i="17"/>
  <c r="M334" i="17"/>
  <c r="F335" i="17"/>
  <c r="G335" i="17"/>
  <c r="H335" i="17"/>
  <c r="I335" i="17"/>
  <c r="J335" i="17"/>
  <c r="M335" i="17"/>
  <c r="F336" i="17"/>
  <c r="G336" i="17"/>
  <c r="H336" i="17"/>
  <c r="I336" i="17"/>
  <c r="J336" i="17"/>
  <c r="M336" i="17"/>
  <c r="F337" i="17"/>
  <c r="G337" i="17"/>
  <c r="H337" i="17"/>
  <c r="I337" i="17"/>
  <c r="J337" i="17"/>
  <c r="M337" i="17"/>
  <c r="F338" i="17"/>
  <c r="G338" i="17"/>
  <c r="H338" i="17"/>
  <c r="I338" i="17"/>
  <c r="J338" i="17"/>
  <c r="M338" i="17"/>
  <c r="F339" i="17"/>
  <c r="G339" i="17"/>
  <c r="H339" i="17"/>
  <c r="I339" i="17"/>
  <c r="J339" i="17"/>
  <c r="M339" i="17"/>
  <c r="F340" i="17"/>
  <c r="G340" i="17"/>
  <c r="H340" i="17"/>
  <c r="I340" i="17"/>
  <c r="J340" i="17"/>
  <c r="M340" i="17"/>
  <c r="F341" i="17"/>
  <c r="G341" i="17"/>
  <c r="H341" i="17"/>
  <c r="I341" i="17"/>
  <c r="J341" i="17"/>
  <c r="M341" i="17"/>
  <c r="F342" i="17"/>
  <c r="G342" i="17"/>
  <c r="H342" i="17"/>
  <c r="I342" i="17"/>
  <c r="J342" i="17"/>
  <c r="M342" i="17"/>
  <c r="F343" i="17"/>
  <c r="G343" i="17"/>
  <c r="H343" i="17"/>
  <c r="I343" i="17"/>
  <c r="J343" i="17"/>
  <c r="M343" i="17"/>
  <c r="F344" i="17"/>
  <c r="G344" i="17"/>
  <c r="H344" i="17"/>
  <c r="I344" i="17"/>
  <c r="J344" i="17"/>
  <c r="M344" i="17"/>
  <c r="F345" i="17"/>
  <c r="G345" i="17"/>
  <c r="H345" i="17"/>
  <c r="I345" i="17"/>
  <c r="J345" i="17"/>
  <c r="M345" i="17"/>
  <c r="F346" i="17"/>
  <c r="G346" i="17"/>
  <c r="H346" i="17"/>
  <c r="I346" i="17"/>
  <c r="J346" i="17"/>
  <c r="M346" i="17"/>
  <c r="F347" i="17"/>
  <c r="G347" i="17"/>
  <c r="H347" i="17"/>
  <c r="I347" i="17"/>
  <c r="J347" i="17"/>
  <c r="M347" i="17"/>
  <c r="F348" i="17"/>
  <c r="G348" i="17"/>
  <c r="H348" i="17"/>
  <c r="I348" i="17"/>
  <c r="J348" i="17"/>
  <c r="M348" i="17"/>
  <c r="F349" i="17"/>
  <c r="G349" i="17"/>
  <c r="H349" i="17"/>
  <c r="I349" i="17"/>
  <c r="J349" i="17"/>
  <c r="M349" i="17"/>
  <c r="F350" i="17"/>
  <c r="G350" i="17"/>
  <c r="H350" i="17"/>
  <c r="I350" i="17"/>
  <c r="J350" i="17"/>
  <c r="M350" i="17"/>
  <c r="F351" i="17"/>
  <c r="G351" i="17"/>
  <c r="H351" i="17"/>
  <c r="I351" i="17"/>
  <c r="J351" i="17"/>
  <c r="M351" i="17"/>
  <c r="F352" i="17"/>
  <c r="G352" i="17"/>
  <c r="H352" i="17"/>
  <c r="I352" i="17"/>
  <c r="J352" i="17"/>
  <c r="M352" i="17"/>
  <c r="F353" i="17"/>
  <c r="G353" i="17"/>
  <c r="H353" i="17"/>
  <c r="I353" i="17"/>
  <c r="J353" i="17"/>
  <c r="M353" i="17"/>
  <c r="F354" i="17"/>
  <c r="G354" i="17"/>
  <c r="H354" i="17"/>
  <c r="I354" i="17"/>
  <c r="J354" i="17"/>
  <c r="M354" i="17"/>
  <c r="F355" i="17"/>
  <c r="G355" i="17"/>
  <c r="H355" i="17"/>
  <c r="I355" i="17"/>
  <c r="J355" i="17"/>
  <c r="M355" i="17"/>
  <c r="F356" i="17"/>
  <c r="G356" i="17"/>
  <c r="H356" i="17"/>
  <c r="I356" i="17"/>
  <c r="J356" i="17"/>
  <c r="M356" i="17"/>
  <c r="F357" i="17"/>
  <c r="G357" i="17"/>
  <c r="H357" i="17"/>
  <c r="I357" i="17"/>
  <c r="J357" i="17"/>
  <c r="M357" i="17"/>
  <c r="F358" i="17"/>
  <c r="G358" i="17"/>
  <c r="H358" i="17"/>
  <c r="I358" i="17"/>
  <c r="J358" i="17"/>
  <c r="M358" i="17"/>
  <c r="F359" i="17"/>
  <c r="G359" i="17"/>
  <c r="H359" i="17"/>
  <c r="I359" i="17"/>
  <c r="J359" i="17"/>
  <c r="M359" i="17"/>
  <c r="F360" i="17"/>
  <c r="G360" i="17"/>
  <c r="H360" i="17"/>
  <c r="I360" i="17"/>
  <c r="J360" i="17"/>
  <c r="M360" i="17"/>
  <c r="F361" i="17"/>
  <c r="G361" i="17"/>
  <c r="H361" i="17"/>
  <c r="I361" i="17"/>
  <c r="J361" i="17"/>
  <c r="M361" i="17"/>
  <c r="F362" i="17"/>
  <c r="G362" i="17"/>
  <c r="H362" i="17"/>
  <c r="I362" i="17"/>
  <c r="J362" i="17"/>
  <c r="M362" i="17"/>
  <c r="F363" i="17"/>
  <c r="G363" i="17"/>
  <c r="H363" i="17"/>
  <c r="I363" i="17"/>
  <c r="J363" i="17"/>
  <c r="M363" i="17"/>
  <c r="F364" i="17"/>
  <c r="G364" i="17"/>
  <c r="H364" i="17"/>
  <c r="I364" i="17"/>
  <c r="J364" i="17"/>
  <c r="M364" i="17"/>
  <c r="F365" i="17"/>
  <c r="G365" i="17"/>
  <c r="H365" i="17"/>
  <c r="I365" i="17"/>
  <c r="J365" i="17"/>
  <c r="M365" i="17"/>
  <c r="F366" i="17"/>
  <c r="G366" i="17"/>
  <c r="H366" i="17"/>
  <c r="I366" i="17"/>
  <c r="J366" i="17"/>
  <c r="M366" i="17"/>
  <c r="F367" i="17"/>
  <c r="G367" i="17"/>
  <c r="H367" i="17"/>
  <c r="I367" i="17"/>
  <c r="J367" i="17"/>
  <c r="M367" i="17"/>
  <c r="F368" i="17"/>
  <c r="G368" i="17"/>
  <c r="H368" i="17"/>
  <c r="I368" i="17"/>
  <c r="J368" i="17"/>
  <c r="M368" i="17"/>
  <c r="F369" i="17"/>
  <c r="G369" i="17"/>
  <c r="H369" i="17"/>
  <c r="I369" i="17"/>
  <c r="J369" i="17"/>
  <c r="M369" i="17"/>
  <c r="F370" i="17"/>
  <c r="G370" i="17"/>
  <c r="H370" i="17"/>
  <c r="I370" i="17"/>
  <c r="J370" i="17"/>
  <c r="M370" i="17"/>
  <c r="F371" i="17"/>
  <c r="G371" i="17"/>
  <c r="H371" i="17"/>
  <c r="I371" i="17"/>
  <c r="J371" i="17"/>
  <c r="M371" i="17"/>
  <c r="F372" i="17"/>
  <c r="G372" i="17"/>
  <c r="H372" i="17"/>
  <c r="I372" i="17"/>
  <c r="J372" i="17"/>
  <c r="M372" i="17"/>
  <c r="F373" i="17"/>
  <c r="G373" i="17"/>
  <c r="H373" i="17"/>
  <c r="I373" i="17"/>
  <c r="J373" i="17"/>
  <c r="M373" i="17"/>
  <c r="F374" i="17"/>
  <c r="G374" i="17"/>
  <c r="H374" i="17"/>
  <c r="I374" i="17"/>
  <c r="J374" i="17"/>
  <c r="M374" i="17"/>
  <c r="F375" i="17"/>
  <c r="G375" i="17"/>
  <c r="H375" i="17"/>
  <c r="I375" i="17"/>
  <c r="J375" i="17"/>
  <c r="M375" i="17"/>
  <c r="F376" i="17"/>
  <c r="G376" i="17"/>
  <c r="H376" i="17"/>
  <c r="I376" i="17"/>
  <c r="J376" i="17"/>
  <c r="M376" i="17"/>
  <c r="F377" i="17"/>
  <c r="G377" i="17"/>
  <c r="H377" i="17"/>
  <c r="I377" i="17"/>
  <c r="J377" i="17"/>
  <c r="M377" i="17"/>
  <c r="F378" i="17"/>
  <c r="G378" i="17"/>
  <c r="H378" i="17"/>
  <c r="I378" i="17"/>
  <c r="J378" i="17"/>
  <c r="M378" i="17"/>
  <c r="F379" i="17"/>
  <c r="G379" i="17"/>
  <c r="H379" i="17"/>
  <c r="I379" i="17"/>
  <c r="J379" i="17"/>
  <c r="M379" i="17"/>
  <c r="F380" i="17"/>
  <c r="G380" i="17"/>
  <c r="H380" i="17"/>
  <c r="I380" i="17"/>
  <c r="J380" i="17"/>
  <c r="M380" i="17"/>
  <c r="F381" i="17"/>
  <c r="G381" i="17"/>
  <c r="H381" i="17"/>
  <c r="I381" i="17"/>
  <c r="J381" i="17"/>
  <c r="M381" i="17"/>
  <c r="F382" i="17"/>
  <c r="G382" i="17"/>
  <c r="H382" i="17"/>
  <c r="I382" i="17"/>
  <c r="J382" i="17"/>
  <c r="M382" i="17"/>
  <c r="F383" i="17"/>
  <c r="G383" i="17"/>
  <c r="H383" i="17"/>
  <c r="I383" i="17"/>
  <c r="J383" i="17"/>
  <c r="M383" i="17"/>
  <c r="F384" i="17"/>
  <c r="G384" i="17"/>
  <c r="H384" i="17"/>
  <c r="I384" i="17"/>
  <c r="J384" i="17"/>
  <c r="M384" i="17"/>
  <c r="F385" i="17"/>
  <c r="G385" i="17"/>
  <c r="H385" i="17"/>
  <c r="I385" i="17"/>
  <c r="J385" i="17"/>
  <c r="M385" i="17"/>
  <c r="F386" i="17"/>
  <c r="G386" i="17"/>
  <c r="H386" i="17"/>
  <c r="I386" i="17"/>
  <c r="J386" i="17"/>
  <c r="M386" i="17"/>
  <c r="F387" i="17"/>
  <c r="G387" i="17"/>
  <c r="H387" i="17"/>
  <c r="I387" i="17"/>
  <c r="J387" i="17"/>
  <c r="M387" i="17"/>
  <c r="F388" i="17"/>
  <c r="G388" i="17"/>
  <c r="H388" i="17"/>
  <c r="I388" i="17"/>
  <c r="J388" i="17"/>
  <c r="M388" i="17"/>
  <c r="F389" i="17"/>
  <c r="G389" i="17"/>
  <c r="H389" i="17"/>
  <c r="I389" i="17"/>
  <c r="J389" i="17"/>
  <c r="M389" i="17"/>
  <c r="F390" i="17"/>
  <c r="G390" i="17"/>
  <c r="H390" i="17"/>
  <c r="I390" i="17"/>
  <c r="J390" i="17"/>
  <c r="M390" i="17"/>
  <c r="F391" i="17"/>
  <c r="G391" i="17"/>
  <c r="H391" i="17"/>
  <c r="I391" i="17"/>
  <c r="J391" i="17"/>
  <c r="M391" i="17"/>
  <c r="F392" i="17"/>
  <c r="G392" i="17"/>
  <c r="H392" i="17"/>
  <c r="I392" i="17"/>
  <c r="J392" i="17"/>
  <c r="M392" i="17"/>
  <c r="F393" i="17"/>
  <c r="G393" i="17"/>
  <c r="H393" i="17"/>
  <c r="I393" i="17"/>
  <c r="J393" i="17"/>
  <c r="M393" i="17"/>
  <c r="F394" i="17"/>
  <c r="G394" i="17"/>
  <c r="H394" i="17"/>
  <c r="I394" i="17"/>
  <c r="J394" i="17"/>
  <c r="M394" i="17"/>
  <c r="F395" i="17"/>
  <c r="G395" i="17"/>
  <c r="H395" i="17"/>
  <c r="I395" i="17"/>
  <c r="J395" i="17"/>
  <c r="M395" i="17"/>
  <c r="F396" i="17"/>
  <c r="G396" i="17"/>
  <c r="H396" i="17"/>
  <c r="I396" i="17"/>
  <c r="J396" i="17"/>
  <c r="M396" i="17"/>
  <c r="F397" i="17"/>
  <c r="G397" i="17"/>
  <c r="H397" i="17"/>
  <c r="I397" i="17"/>
  <c r="J397" i="17"/>
  <c r="M397" i="17"/>
  <c r="F398" i="17"/>
  <c r="G398" i="17"/>
  <c r="H398" i="17"/>
  <c r="I398" i="17"/>
  <c r="J398" i="17"/>
  <c r="M398" i="17"/>
  <c r="F399" i="17"/>
  <c r="G399" i="17"/>
  <c r="H399" i="17"/>
  <c r="I399" i="17"/>
  <c r="J399" i="17"/>
  <c r="M399" i="17"/>
  <c r="F400" i="17"/>
  <c r="G400" i="17"/>
  <c r="H400" i="17"/>
  <c r="I400" i="17"/>
  <c r="J400" i="17"/>
  <c r="M400" i="17"/>
  <c r="F401" i="17"/>
  <c r="G401" i="17"/>
  <c r="H401" i="17"/>
  <c r="I401" i="17"/>
  <c r="J401" i="17"/>
  <c r="M401" i="17"/>
  <c r="F402" i="17"/>
  <c r="G402" i="17"/>
  <c r="H402" i="17"/>
  <c r="I402" i="17"/>
  <c r="J402" i="17"/>
  <c r="M402" i="17"/>
  <c r="F403" i="17"/>
  <c r="G403" i="17"/>
  <c r="H403" i="17"/>
  <c r="I403" i="17"/>
  <c r="J403" i="17"/>
  <c r="M403" i="17"/>
  <c r="F404" i="17"/>
  <c r="G404" i="17"/>
  <c r="H404" i="17"/>
  <c r="I404" i="17"/>
  <c r="J404" i="17"/>
  <c r="M404" i="17"/>
  <c r="F405" i="17"/>
  <c r="G405" i="17"/>
  <c r="H405" i="17"/>
  <c r="I405" i="17"/>
  <c r="J405" i="17"/>
  <c r="M405" i="17"/>
  <c r="F406" i="17"/>
  <c r="G406" i="17"/>
  <c r="H406" i="17"/>
  <c r="I406" i="17"/>
  <c r="J406" i="17"/>
  <c r="M406" i="17"/>
  <c r="F407" i="17"/>
  <c r="G407" i="17"/>
  <c r="H407" i="17"/>
  <c r="I407" i="17"/>
  <c r="J407" i="17"/>
  <c r="M407" i="17"/>
  <c r="F408" i="17"/>
  <c r="G408" i="17"/>
  <c r="H408" i="17"/>
  <c r="I408" i="17"/>
  <c r="J408" i="17"/>
  <c r="M408" i="17"/>
  <c r="F409" i="17"/>
  <c r="G409" i="17"/>
  <c r="H409" i="17"/>
  <c r="I409" i="17"/>
  <c r="J409" i="17"/>
  <c r="M409" i="17"/>
  <c r="F410" i="17"/>
  <c r="G410" i="17"/>
  <c r="H410" i="17"/>
  <c r="I410" i="17"/>
  <c r="J410" i="17"/>
  <c r="M410" i="17"/>
  <c r="F411" i="17"/>
  <c r="G411" i="17"/>
  <c r="H411" i="17"/>
  <c r="I411" i="17"/>
  <c r="J411" i="17"/>
  <c r="M411" i="17"/>
  <c r="F412" i="17"/>
  <c r="G412" i="17"/>
  <c r="H412" i="17"/>
  <c r="I412" i="17"/>
  <c r="J412" i="17"/>
  <c r="M412" i="17"/>
  <c r="F413" i="17"/>
  <c r="G413" i="17"/>
  <c r="H413" i="17"/>
  <c r="I413" i="17"/>
  <c r="J413" i="17"/>
  <c r="M413" i="17"/>
  <c r="F414" i="17"/>
  <c r="G414" i="17"/>
  <c r="H414" i="17"/>
  <c r="I414" i="17"/>
  <c r="J414" i="17"/>
  <c r="M414" i="17"/>
  <c r="F415" i="17"/>
  <c r="G415" i="17"/>
  <c r="H415" i="17"/>
  <c r="I415" i="17"/>
  <c r="J415" i="17"/>
  <c r="M415" i="17"/>
  <c r="F416" i="17"/>
  <c r="G416" i="17"/>
  <c r="H416" i="17"/>
  <c r="I416" i="17"/>
  <c r="J416" i="17"/>
  <c r="M416" i="17"/>
  <c r="F417" i="17"/>
  <c r="G417" i="17"/>
  <c r="H417" i="17"/>
  <c r="I417" i="17"/>
  <c r="J417" i="17"/>
  <c r="M417" i="17"/>
  <c r="F418" i="17"/>
  <c r="G418" i="17"/>
  <c r="H418" i="17"/>
  <c r="I418" i="17"/>
  <c r="J418" i="17"/>
  <c r="M418" i="17"/>
  <c r="F419" i="17"/>
  <c r="G419" i="17"/>
  <c r="H419" i="17"/>
  <c r="I419" i="17"/>
  <c r="J419" i="17"/>
  <c r="M419" i="17"/>
  <c r="F420" i="17"/>
  <c r="G420" i="17"/>
  <c r="H420" i="17"/>
  <c r="I420" i="17"/>
  <c r="J420" i="17"/>
  <c r="M420" i="17"/>
  <c r="F421" i="17"/>
  <c r="G421" i="17"/>
  <c r="H421" i="17"/>
  <c r="I421" i="17"/>
  <c r="J421" i="17"/>
  <c r="M421" i="17"/>
  <c r="F422" i="17"/>
  <c r="G422" i="17"/>
  <c r="H422" i="17"/>
  <c r="I422" i="17"/>
  <c r="J422" i="17"/>
  <c r="M422" i="17"/>
  <c r="F423" i="17"/>
  <c r="G423" i="17"/>
  <c r="H423" i="17"/>
  <c r="I423" i="17"/>
  <c r="J423" i="17"/>
  <c r="M423" i="17"/>
  <c r="F424" i="17"/>
  <c r="G424" i="17"/>
  <c r="H424" i="17"/>
  <c r="I424" i="17"/>
  <c r="J424" i="17"/>
  <c r="M424" i="17"/>
  <c r="F425" i="17"/>
  <c r="G425" i="17"/>
  <c r="H425" i="17"/>
  <c r="I425" i="17"/>
  <c r="J425" i="17"/>
  <c r="M425" i="17"/>
  <c r="F426" i="17"/>
  <c r="G426" i="17"/>
  <c r="H426" i="17"/>
  <c r="I426" i="17"/>
  <c r="J426" i="17"/>
  <c r="M426" i="17"/>
  <c r="F427" i="17"/>
  <c r="G427" i="17"/>
  <c r="H427" i="17"/>
  <c r="I427" i="17"/>
  <c r="J427" i="17"/>
  <c r="M427" i="17"/>
  <c r="F428" i="17"/>
  <c r="G428" i="17"/>
  <c r="H428" i="17"/>
  <c r="I428" i="17"/>
  <c r="J428" i="17"/>
  <c r="M428" i="17"/>
  <c r="F429" i="17"/>
  <c r="G429" i="17"/>
  <c r="H429" i="17"/>
  <c r="I429" i="17"/>
  <c r="J429" i="17"/>
  <c r="M429" i="17"/>
  <c r="F430" i="17"/>
  <c r="G430" i="17"/>
  <c r="H430" i="17"/>
  <c r="I430" i="17"/>
  <c r="J430" i="17"/>
  <c r="M430" i="17"/>
  <c r="F431" i="17"/>
  <c r="G431" i="17"/>
  <c r="H431" i="17"/>
  <c r="I431" i="17"/>
  <c r="J431" i="17"/>
  <c r="M431" i="17"/>
  <c r="F432" i="17"/>
  <c r="G432" i="17"/>
  <c r="H432" i="17"/>
  <c r="I432" i="17"/>
  <c r="J432" i="17"/>
  <c r="M432" i="17"/>
  <c r="F433" i="17"/>
  <c r="G433" i="17"/>
  <c r="H433" i="17"/>
  <c r="I433" i="17"/>
  <c r="J433" i="17"/>
  <c r="M433" i="17"/>
  <c r="F434" i="17"/>
  <c r="G434" i="17"/>
  <c r="H434" i="17"/>
  <c r="I434" i="17"/>
  <c r="J434" i="17"/>
  <c r="M434" i="17"/>
  <c r="F435" i="17"/>
  <c r="G435" i="17"/>
  <c r="H435" i="17"/>
  <c r="I435" i="17"/>
  <c r="J435" i="17"/>
  <c r="M435" i="17"/>
  <c r="F436" i="17"/>
  <c r="G436" i="17"/>
  <c r="H436" i="17"/>
  <c r="I436" i="17"/>
  <c r="J436" i="17"/>
  <c r="M436" i="17"/>
  <c r="F437" i="17"/>
  <c r="G437" i="17"/>
  <c r="H437" i="17"/>
  <c r="I437" i="17"/>
  <c r="J437" i="17"/>
  <c r="M437" i="17"/>
  <c r="F438" i="17"/>
  <c r="G438" i="17"/>
  <c r="H438" i="17"/>
  <c r="I438" i="17"/>
  <c r="J438" i="17"/>
  <c r="M438" i="17"/>
  <c r="F439" i="17"/>
  <c r="G439" i="17"/>
  <c r="H439" i="17"/>
  <c r="I439" i="17"/>
  <c r="J439" i="17"/>
  <c r="M439" i="17"/>
  <c r="F440" i="17"/>
  <c r="G440" i="17"/>
  <c r="H440" i="17"/>
  <c r="I440" i="17"/>
  <c r="J440" i="17"/>
  <c r="M440" i="17"/>
  <c r="F441" i="17"/>
  <c r="G441" i="17"/>
  <c r="H441" i="17"/>
  <c r="I441" i="17"/>
  <c r="J441" i="17"/>
  <c r="M441" i="17"/>
  <c r="F442" i="17"/>
  <c r="G442" i="17"/>
  <c r="H442" i="17"/>
  <c r="I442" i="17"/>
  <c r="J442" i="17"/>
  <c r="M442" i="17"/>
  <c r="F443" i="17"/>
  <c r="G443" i="17"/>
  <c r="H443" i="17"/>
  <c r="I443" i="17"/>
  <c r="J443" i="17"/>
  <c r="M443" i="17"/>
  <c r="F444" i="17"/>
  <c r="G444" i="17"/>
  <c r="H444" i="17"/>
  <c r="I444" i="17"/>
  <c r="J444" i="17"/>
  <c r="M444" i="17"/>
  <c r="F445" i="17"/>
  <c r="G445" i="17"/>
  <c r="H445" i="17"/>
  <c r="I445" i="17"/>
  <c r="J445" i="17"/>
  <c r="M445" i="17"/>
  <c r="F446" i="17"/>
  <c r="G446" i="17"/>
  <c r="H446" i="17"/>
  <c r="I446" i="17"/>
  <c r="J446" i="17"/>
  <c r="M446" i="17"/>
  <c r="F447" i="17"/>
  <c r="G447" i="17"/>
  <c r="H447" i="17"/>
  <c r="I447" i="17"/>
  <c r="J447" i="17"/>
  <c r="M447" i="17"/>
  <c r="F448" i="17"/>
  <c r="G448" i="17"/>
  <c r="H448" i="17"/>
  <c r="I448" i="17"/>
  <c r="J448" i="17"/>
  <c r="M448" i="17"/>
  <c r="F449" i="17"/>
  <c r="G449" i="17"/>
  <c r="H449" i="17"/>
  <c r="I449" i="17"/>
  <c r="J449" i="17"/>
  <c r="M449" i="17"/>
  <c r="F450" i="17"/>
  <c r="G450" i="17"/>
  <c r="H450" i="17"/>
  <c r="I450" i="17"/>
  <c r="J450" i="17"/>
  <c r="M450" i="17"/>
  <c r="F451" i="17"/>
  <c r="G451" i="17"/>
  <c r="H451" i="17"/>
  <c r="I451" i="17"/>
  <c r="J451" i="17"/>
  <c r="M451" i="17"/>
  <c r="F452" i="17"/>
  <c r="G452" i="17"/>
  <c r="H452" i="17"/>
  <c r="I452" i="17"/>
  <c r="J452" i="17"/>
  <c r="M452" i="17"/>
  <c r="F453" i="17"/>
  <c r="G453" i="17"/>
  <c r="H453" i="17"/>
  <c r="I453" i="17"/>
  <c r="J453" i="17"/>
  <c r="M453" i="17"/>
  <c r="F454" i="17"/>
  <c r="G454" i="17"/>
  <c r="H454" i="17"/>
  <c r="I454" i="17"/>
  <c r="J454" i="17"/>
  <c r="M454" i="17"/>
  <c r="F455" i="17"/>
  <c r="G455" i="17"/>
  <c r="H455" i="17"/>
  <c r="I455" i="17"/>
  <c r="J455" i="17"/>
  <c r="M455" i="17"/>
  <c r="F456" i="17"/>
  <c r="G456" i="17"/>
  <c r="H456" i="17"/>
  <c r="I456" i="17"/>
  <c r="J456" i="17"/>
  <c r="M456" i="17"/>
  <c r="F457" i="17"/>
  <c r="G457" i="17"/>
  <c r="H457" i="17"/>
  <c r="I457" i="17"/>
  <c r="J457" i="17"/>
  <c r="M457" i="17"/>
  <c r="F458" i="17"/>
  <c r="G458" i="17"/>
  <c r="H458" i="17"/>
  <c r="I458" i="17"/>
  <c r="J458" i="17"/>
  <c r="M458" i="17"/>
  <c r="F459" i="17"/>
  <c r="G459" i="17"/>
  <c r="H459" i="17"/>
  <c r="I459" i="17"/>
  <c r="J459" i="17"/>
  <c r="M459" i="17"/>
  <c r="F460" i="17"/>
  <c r="G460" i="17"/>
  <c r="H460" i="17"/>
  <c r="I460" i="17"/>
  <c r="J460" i="17"/>
  <c r="M460" i="17"/>
  <c r="F461" i="17"/>
  <c r="G461" i="17"/>
  <c r="H461" i="17"/>
  <c r="I461" i="17"/>
  <c r="J461" i="17"/>
  <c r="M461" i="17"/>
  <c r="F462" i="17"/>
  <c r="G462" i="17"/>
  <c r="H462" i="17"/>
  <c r="I462" i="17"/>
  <c r="J462" i="17"/>
  <c r="M462" i="17"/>
  <c r="F463" i="17"/>
  <c r="G463" i="17"/>
  <c r="H463" i="17"/>
  <c r="I463" i="17"/>
  <c r="J463" i="17"/>
  <c r="M463" i="17"/>
  <c r="F464" i="17"/>
  <c r="G464" i="17"/>
  <c r="H464" i="17"/>
  <c r="I464" i="17"/>
  <c r="J464" i="17"/>
  <c r="M464" i="17"/>
  <c r="F465" i="17"/>
  <c r="G465" i="17"/>
  <c r="H465" i="17"/>
  <c r="I465" i="17"/>
  <c r="J465" i="17"/>
  <c r="M465" i="17"/>
  <c r="F466" i="17"/>
  <c r="G466" i="17"/>
  <c r="H466" i="17"/>
  <c r="I466" i="17"/>
  <c r="J466" i="17"/>
  <c r="M466" i="17"/>
  <c r="F467" i="17"/>
  <c r="G467" i="17"/>
  <c r="H467" i="17"/>
  <c r="I467" i="17"/>
  <c r="J467" i="17"/>
  <c r="M467" i="17"/>
  <c r="F468" i="17"/>
  <c r="G468" i="17"/>
  <c r="H468" i="17"/>
  <c r="I468" i="17"/>
  <c r="J468" i="17"/>
  <c r="M468" i="17"/>
  <c r="F469" i="17"/>
  <c r="G469" i="17"/>
  <c r="H469" i="17"/>
  <c r="I469" i="17"/>
  <c r="J469" i="17"/>
  <c r="M469" i="17"/>
  <c r="F470" i="17"/>
  <c r="G470" i="17"/>
  <c r="H470" i="17"/>
  <c r="I470" i="17"/>
  <c r="J470" i="17"/>
  <c r="M470" i="17"/>
  <c r="F471" i="17"/>
  <c r="G471" i="17"/>
  <c r="H471" i="17"/>
  <c r="I471" i="17"/>
  <c r="J471" i="17"/>
  <c r="M471" i="17"/>
  <c r="F472" i="17"/>
  <c r="G472" i="17"/>
  <c r="H472" i="17"/>
  <c r="I472" i="17"/>
  <c r="J472" i="17"/>
  <c r="M472" i="17"/>
  <c r="F473" i="17"/>
  <c r="G473" i="17"/>
  <c r="H473" i="17"/>
  <c r="I473" i="17"/>
  <c r="J473" i="17"/>
  <c r="M473" i="17"/>
  <c r="F474" i="17"/>
  <c r="G474" i="17"/>
  <c r="H474" i="17"/>
  <c r="I474" i="17"/>
  <c r="J474" i="17"/>
  <c r="M474" i="17"/>
  <c r="F475" i="17"/>
  <c r="G475" i="17"/>
  <c r="H475" i="17"/>
  <c r="I475" i="17"/>
  <c r="J475" i="17"/>
  <c r="M475" i="17"/>
  <c r="F476" i="17"/>
  <c r="G476" i="17"/>
  <c r="H476" i="17"/>
  <c r="I476" i="17"/>
  <c r="J476" i="17"/>
  <c r="M476" i="17"/>
  <c r="F477" i="17"/>
  <c r="G477" i="17"/>
  <c r="H477" i="17"/>
  <c r="I477" i="17"/>
  <c r="J477" i="17"/>
  <c r="M477" i="17"/>
  <c r="F478" i="17"/>
  <c r="G478" i="17"/>
  <c r="H478" i="17"/>
  <c r="I478" i="17"/>
  <c r="J478" i="17"/>
  <c r="M478" i="17"/>
  <c r="F479" i="17"/>
  <c r="G479" i="17"/>
  <c r="H479" i="17"/>
  <c r="I479" i="17"/>
  <c r="J479" i="17"/>
  <c r="M479" i="17"/>
  <c r="F480" i="17"/>
  <c r="G480" i="17"/>
  <c r="H480" i="17"/>
  <c r="I480" i="17"/>
  <c r="J480" i="17"/>
  <c r="M480" i="17"/>
  <c r="F481" i="17"/>
  <c r="G481" i="17"/>
  <c r="H481" i="17"/>
  <c r="I481" i="17"/>
  <c r="J481" i="17"/>
  <c r="M481" i="17"/>
  <c r="F482" i="17"/>
  <c r="G482" i="17"/>
  <c r="H482" i="17"/>
  <c r="I482" i="17"/>
  <c r="J482" i="17"/>
  <c r="M482" i="17"/>
  <c r="F483" i="17"/>
  <c r="G483" i="17"/>
  <c r="H483" i="17"/>
  <c r="I483" i="17"/>
  <c r="J483" i="17"/>
  <c r="M483" i="17"/>
  <c r="F484" i="17"/>
  <c r="G484" i="17"/>
  <c r="H484" i="17"/>
  <c r="I484" i="17"/>
  <c r="J484" i="17"/>
  <c r="M484" i="17"/>
  <c r="F485" i="17"/>
  <c r="G485" i="17"/>
  <c r="H485" i="17"/>
  <c r="I485" i="17"/>
  <c r="J485" i="17"/>
  <c r="M485" i="17"/>
  <c r="F486" i="17"/>
  <c r="G486" i="17"/>
  <c r="H486" i="17"/>
  <c r="I486" i="17"/>
  <c r="J486" i="17"/>
  <c r="M486" i="17"/>
  <c r="F487" i="17"/>
  <c r="G487" i="17"/>
  <c r="H487" i="17"/>
  <c r="I487" i="17"/>
  <c r="J487" i="17"/>
  <c r="M487" i="17"/>
  <c r="F488" i="17"/>
  <c r="G488" i="17"/>
  <c r="H488" i="17"/>
  <c r="I488" i="17"/>
  <c r="J488" i="17"/>
  <c r="M488" i="17"/>
  <c r="F489" i="17"/>
  <c r="G489" i="17"/>
  <c r="H489" i="17"/>
  <c r="I489" i="17"/>
  <c r="J489" i="17"/>
  <c r="M489" i="17"/>
  <c r="F490" i="17"/>
  <c r="G490" i="17"/>
  <c r="H490" i="17"/>
  <c r="I490" i="17"/>
  <c r="J490" i="17"/>
  <c r="M490" i="17"/>
  <c r="F491" i="17"/>
  <c r="G491" i="17"/>
  <c r="H491" i="17"/>
  <c r="I491" i="17"/>
  <c r="J491" i="17"/>
  <c r="M491" i="17"/>
  <c r="F492" i="17"/>
  <c r="G492" i="17"/>
  <c r="H492" i="17"/>
  <c r="I492" i="17"/>
  <c r="J492" i="17"/>
  <c r="M492" i="17"/>
  <c r="F493" i="17"/>
  <c r="G493" i="17"/>
  <c r="H493" i="17"/>
  <c r="I493" i="17"/>
  <c r="J493" i="17"/>
  <c r="M493" i="17"/>
  <c r="F494" i="17"/>
  <c r="G494" i="17"/>
  <c r="H494" i="17"/>
  <c r="I494" i="17"/>
  <c r="J494" i="17"/>
  <c r="M494" i="17"/>
  <c r="F495" i="17"/>
  <c r="G495" i="17"/>
  <c r="H495" i="17"/>
  <c r="I495" i="17"/>
  <c r="J495" i="17"/>
  <c r="M495" i="17"/>
  <c r="F496" i="17"/>
  <c r="G496" i="17"/>
  <c r="H496" i="17"/>
  <c r="I496" i="17"/>
  <c r="J496" i="17"/>
  <c r="M496" i="17"/>
  <c r="F497" i="17"/>
  <c r="G497" i="17"/>
  <c r="H497" i="17"/>
  <c r="I497" i="17"/>
  <c r="J497" i="17"/>
  <c r="M497" i="17"/>
  <c r="F498" i="17"/>
  <c r="G498" i="17"/>
  <c r="H498" i="17"/>
  <c r="I498" i="17"/>
  <c r="J498" i="17"/>
  <c r="M498" i="17"/>
  <c r="F499" i="17"/>
  <c r="G499" i="17"/>
  <c r="H499" i="17"/>
  <c r="I499" i="17"/>
  <c r="J499" i="17"/>
  <c r="M499" i="17"/>
  <c r="F500" i="17"/>
  <c r="G500" i="17"/>
  <c r="H500" i="17"/>
  <c r="I500" i="17"/>
  <c r="J500" i="17"/>
  <c r="M500" i="17"/>
  <c r="F501" i="17"/>
  <c r="G501" i="17"/>
  <c r="H501" i="17"/>
  <c r="I501" i="17"/>
  <c r="J501" i="17"/>
  <c r="M501" i="17"/>
  <c r="F502" i="17"/>
  <c r="G502" i="17"/>
  <c r="H502" i="17"/>
  <c r="I502" i="17"/>
  <c r="J502" i="17"/>
  <c r="M502" i="17"/>
  <c r="F503" i="17"/>
  <c r="G503" i="17"/>
  <c r="H503" i="17"/>
  <c r="I503" i="17"/>
  <c r="J503" i="17"/>
  <c r="M503" i="17"/>
  <c r="F504" i="17"/>
  <c r="G504" i="17"/>
  <c r="H504" i="17"/>
  <c r="I504" i="17"/>
  <c r="J504" i="17"/>
  <c r="M504" i="17"/>
  <c r="F505" i="17"/>
  <c r="G505" i="17"/>
  <c r="H505" i="17"/>
  <c r="I505" i="17"/>
  <c r="J505" i="17"/>
  <c r="M505" i="17"/>
  <c r="F506" i="17"/>
  <c r="G506" i="17"/>
  <c r="H506" i="17"/>
  <c r="I506" i="17"/>
  <c r="J506" i="17"/>
  <c r="M506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Carlos</author>
    <author>Tavara Navarro, Juan (Agrolmos S.A.)</author>
  </authors>
  <commentList>
    <comment ref="C24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Juan Carlos:</t>
        </r>
        <r>
          <rPr>
            <sz val="9"/>
            <color indexed="81"/>
            <rFont val="Tahoma"/>
            <family val="2"/>
          </rPr>
          <t xml:space="preserve">
NO EXISTE EN CAMPO</t>
        </r>
      </text>
    </comment>
    <comment ref="C429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Tavara Navarro, Juan (Agrolmos S.A.):</t>
        </r>
        <r>
          <rPr>
            <sz val="9"/>
            <color indexed="81"/>
            <rFont val="Tahoma"/>
            <family val="2"/>
          </rPr>
          <t xml:space="preserve">
NO EXISTE - NO ESTA CONECTADO.</t>
        </r>
      </text>
    </comment>
  </commentList>
</comments>
</file>

<file path=xl/sharedStrings.xml><?xml version="1.0" encoding="utf-8"?>
<sst xmlns="http://schemas.openxmlformats.org/spreadsheetml/2006/main" count="14834" uniqueCount="3227">
  <si>
    <t>EQUIPO</t>
  </si>
  <si>
    <t>STATUS</t>
  </si>
  <si>
    <t>ETAPA</t>
  </si>
  <si>
    <t>DCS</t>
  </si>
  <si>
    <t>CÓDIGO</t>
  </si>
  <si>
    <t>VERSIÓN</t>
  </si>
  <si>
    <t>ELABORADO</t>
  </si>
  <si>
    <t>J. TÁVARA</t>
  </si>
  <si>
    <t>REVISADO</t>
  </si>
  <si>
    <t>J. GALVÁN</t>
  </si>
  <si>
    <t>PÁGINA</t>
  </si>
  <si>
    <t>1 de 1</t>
  </si>
  <si>
    <t>RA - INST - 003</t>
  </si>
  <si>
    <t>EN PROCESO</t>
  </si>
  <si>
    <t>RA - INST - 00X</t>
  </si>
  <si>
    <t>FECHA PROGRAMADA</t>
  </si>
  <si>
    <t>CALDERA</t>
  </si>
  <si>
    <t>DESAIREADOR TERMICO</t>
  </si>
  <si>
    <t>SOPLADOR DE HOLLIN 1</t>
  </si>
  <si>
    <t>CONDENSADOR DEL TACHO CONTINUO - C</t>
  </si>
  <si>
    <t>DIFUSOR</t>
  </si>
  <si>
    <t>CONDENSADOR DEL TACHO CONTINUO - B</t>
  </si>
  <si>
    <t>FAJA TRANSPORTADORA 1004</t>
  </si>
  <si>
    <t>CECO</t>
  </si>
  <si>
    <t>EXTRACCION</t>
  </si>
  <si>
    <t>RECEPCIÓN DE CAÑA</t>
  </si>
  <si>
    <t>0110FE019</t>
  </si>
  <si>
    <t>0115CV010</t>
  </si>
  <si>
    <t>CONDUCTOR AUXILIAR DE CAÑA</t>
  </si>
  <si>
    <t>PREPARACIÓN DE CAÑA</t>
  </si>
  <si>
    <t>0115RL030</t>
  </si>
  <si>
    <t>0115RL050</t>
  </si>
  <si>
    <t>0115RL060</t>
  </si>
  <si>
    <t>0405PU170</t>
  </si>
  <si>
    <t>BOMBA PRINCIPAL 1</t>
  </si>
  <si>
    <t>E. TERMICA</t>
  </si>
  <si>
    <t>0115CV090</t>
  </si>
  <si>
    <t>CONDUCTOR DE RETORNO</t>
  </si>
  <si>
    <t>0205CV190</t>
  </si>
  <si>
    <t>CONDUCTOR TRANSVERSAL</t>
  </si>
  <si>
    <t>0205DF180</t>
  </si>
  <si>
    <t>0205HX220</t>
  </si>
  <si>
    <t>CALENTADOR DCH 1</t>
  </si>
  <si>
    <t>0205HX230</t>
  </si>
  <si>
    <t>CALENTADOR DCH 2</t>
  </si>
  <si>
    <t>0205HX240</t>
  </si>
  <si>
    <t>CALENTADOR DCH 3</t>
  </si>
  <si>
    <t>0205HX250</t>
  </si>
  <si>
    <t>CALENTADOR DCH 4</t>
  </si>
  <si>
    <t>0205HX260</t>
  </si>
  <si>
    <t>CALENTADOR DCH 5</t>
  </si>
  <si>
    <t>0205HX270</t>
  </si>
  <si>
    <t>CALENTADOR DCH 6</t>
  </si>
  <si>
    <t>0305TK020</t>
  </si>
  <si>
    <t>TANQUE DE AGUA CALIENTE PARA LAVADO DE TAMIZ</t>
  </si>
  <si>
    <t>0305FL010</t>
  </si>
  <si>
    <t>TAMIZ ROTATIVO</t>
  </si>
  <si>
    <t>MOLINOS</t>
  </si>
  <si>
    <t>0210TK130</t>
  </si>
  <si>
    <t>TANQUE - JUGO PRENSADO</t>
  </si>
  <si>
    <t>0210CV070</t>
  </si>
  <si>
    <t>CONDUCTOR INTERMEDIO - MOLINO SECADOR</t>
  </si>
  <si>
    <t>0210MM090</t>
  </si>
  <si>
    <t>MOLINO SECADOR</t>
  </si>
  <si>
    <t>PRODUCCION</t>
  </si>
  <si>
    <t>CALENTAMIENTO DE JUGO ENCALADO</t>
  </si>
  <si>
    <t>0305HX230</t>
  </si>
  <si>
    <t>CALENTAMIENTO DE JUGO CLARO 1 (JUGO CLARO)</t>
  </si>
  <si>
    <t>0305HX240</t>
  </si>
  <si>
    <t>CALENTAMIENTO DE JUGO CLARO 2 (JUGO DE SALIDA)</t>
  </si>
  <si>
    <t>CLARIFICACION DE JUGO</t>
  </si>
  <si>
    <t>0305HX120</t>
  </si>
  <si>
    <t>CALENTAMIENTO DE JUGO ENCALADO 3</t>
  </si>
  <si>
    <t>0305CL130</t>
  </si>
  <si>
    <t>CLARIFICADOR DE JUGO</t>
  </si>
  <si>
    <t>0305TK270</t>
  </si>
  <si>
    <t>TANQUE FLASH</t>
  </si>
  <si>
    <t>0305TK190</t>
  </si>
  <si>
    <t>TANQUE DE JUGO CLARO</t>
  </si>
  <si>
    <t>0305TK040</t>
  </si>
  <si>
    <t>PLANTA DE CAL</t>
  </si>
  <si>
    <t>TANQUE DE PREPARACION DE LECHADA DE CAL</t>
  </si>
  <si>
    <t>TANQUE DE SACARATO DE CALCIO</t>
  </si>
  <si>
    <t>0320EV010</t>
  </si>
  <si>
    <t>EVAPORADOR FFE 1</t>
  </si>
  <si>
    <t>EVAPORACION DE JUGO</t>
  </si>
  <si>
    <t>0320EV020</t>
  </si>
  <si>
    <t>EVAPORADOR FFE 1/2</t>
  </si>
  <si>
    <t>0320EV030</t>
  </si>
  <si>
    <t>EVAPORADOR FFE 2/3</t>
  </si>
  <si>
    <t>0320EV040</t>
  </si>
  <si>
    <t>EVAPORADOR FFE 3</t>
  </si>
  <si>
    <t>0320EV050</t>
  </si>
  <si>
    <t>EVAPORADOR FFE 4A</t>
  </si>
  <si>
    <t>0320EV060</t>
  </si>
  <si>
    <t>EVAPORADOR FFE 5A</t>
  </si>
  <si>
    <t>0320EV070</t>
  </si>
  <si>
    <t>EVAPORADOR FFE 4B</t>
  </si>
  <si>
    <t>0320EV080</t>
  </si>
  <si>
    <t>EVAPORADOR FFE 5B</t>
  </si>
  <si>
    <t>0325HX110</t>
  </si>
  <si>
    <t>INTERCAMBIADOR DE PLACAS</t>
  </si>
  <si>
    <t>0325HX140</t>
  </si>
  <si>
    <t>INTERCAMBIADOR DE PLACAS DE AGUA RECALENTADA</t>
  </si>
  <si>
    <t>0330HX210</t>
  </si>
  <si>
    <t>CALENTADOR DE CONTACTO DIRECTO PARA JARABE</t>
  </si>
  <si>
    <t>0330TK230</t>
  </si>
  <si>
    <t>0330TK080</t>
  </si>
  <si>
    <t>0330TK160</t>
  </si>
  <si>
    <t>TANQUE DE MADURACION DE FLOCULANTE</t>
  </si>
  <si>
    <t>0335HX200</t>
  </si>
  <si>
    <t>TACHO CONTINUO - A</t>
  </si>
  <si>
    <t>CRISTALIZACIÓN POR COCCIÓN</t>
  </si>
  <si>
    <t>0335HX230</t>
  </si>
  <si>
    <t>TACHO CONTINUO - B</t>
  </si>
  <si>
    <t>0335HX260</t>
  </si>
  <si>
    <t>TACHO CONTINUO - C</t>
  </si>
  <si>
    <t>0335HX180</t>
  </si>
  <si>
    <t>TACHO BATCH - A</t>
  </si>
  <si>
    <t>0335HX210</t>
  </si>
  <si>
    <t>TACHO BATCH - A/B</t>
  </si>
  <si>
    <t>0335HX240</t>
  </si>
  <si>
    <t>TACHO BATCH - B/C</t>
  </si>
  <si>
    <t>0335VL150</t>
  </si>
  <si>
    <t>CRISTALIZADOR AL VACIO - A  - XLR</t>
  </si>
  <si>
    <t>0335VL160</t>
  </si>
  <si>
    <t>CRISTALIZADOR AL VACIO - B  - XLR</t>
  </si>
  <si>
    <t>0335VL170</t>
  </si>
  <si>
    <t>CRISTALIZADOR AL VACIO - C  - XLR</t>
  </si>
  <si>
    <t>0335CZ130</t>
  </si>
  <si>
    <t>CRISTALIZADOR DE SEMILLAS - B</t>
  </si>
  <si>
    <t>0335CZ140</t>
  </si>
  <si>
    <t>CRISTALIZADOR DE SEMILLAS - C</t>
  </si>
  <si>
    <t>0335HX100</t>
  </si>
  <si>
    <t>ACONDICIONADOR DE MIEL - B</t>
  </si>
  <si>
    <t>0335HX110</t>
  </si>
  <si>
    <t>ACONDICIONADOR DE MIEL POBRE - A</t>
  </si>
  <si>
    <t>0335TK010</t>
  </si>
  <si>
    <t>TANQUE DE JARABE 1</t>
  </si>
  <si>
    <t>0370PD100</t>
  </si>
  <si>
    <t>SPRAY POND</t>
  </si>
  <si>
    <t>0370EJ010</t>
  </si>
  <si>
    <t>CONDENSADOR DEL TACHO BATCH - A</t>
  </si>
  <si>
    <t>0370EJ020</t>
  </si>
  <si>
    <t>CONDENSADOR DEL TACHO DE CONTINUO - A</t>
  </si>
  <si>
    <t>0370EJ030</t>
  </si>
  <si>
    <t>CONDENSADOR DEL TACHO BATCH - A/B</t>
  </si>
  <si>
    <t>0370EJ040</t>
  </si>
  <si>
    <t>CONDENSADOR DEL TACHO BATCH - B/C</t>
  </si>
  <si>
    <t>0370EJ050</t>
  </si>
  <si>
    <t>0370EJ060</t>
  </si>
  <si>
    <t>0625CO010</t>
  </si>
  <si>
    <t>E. ELECTRICA</t>
  </si>
  <si>
    <t>0345MM010</t>
  </si>
  <si>
    <t>PUG MILL - A</t>
  </si>
  <si>
    <t>CENTRIFUGACIÓN DE AZÚCAR</t>
  </si>
  <si>
    <t>0345MM020</t>
  </si>
  <si>
    <t>PUG MILL - B</t>
  </si>
  <si>
    <t>0345SQ080</t>
  </si>
  <si>
    <t>0345SQ090</t>
  </si>
  <si>
    <t>0345MX140</t>
  </si>
  <si>
    <t>0345XX180</t>
  </si>
  <si>
    <t>FUNDIDOR</t>
  </si>
  <si>
    <t>0345TK010</t>
  </si>
  <si>
    <t>TANQUE DOSIFICADOR DE CARAMELO</t>
  </si>
  <si>
    <t>SECADO Y ENFRIAMIENTO AZUCAR RUBIA</t>
  </si>
  <si>
    <t>0355CV050</t>
  </si>
  <si>
    <t>CONDUCTOR DE AZUCAR SECA 1</t>
  </si>
  <si>
    <t>0355SB240</t>
  </si>
  <si>
    <t>SCRUBBER (SECADO)</t>
  </si>
  <si>
    <t>0355BI090</t>
  </si>
  <si>
    <t>SILO DE AZUCAR 1</t>
  </si>
  <si>
    <t>ENVASADO DE AZÚCAR RUBIA</t>
  </si>
  <si>
    <t>0355BI100</t>
  </si>
  <si>
    <t>SILO DE AZUCAR 2</t>
  </si>
  <si>
    <t>0355BI110</t>
  </si>
  <si>
    <t>SILO DE AZUCAR 3</t>
  </si>
  <si>
    <t>0355MX310</t>
  </si>
  <si>
    <t>RORI MELTER  (FUNDIDOR DE FINOS)</t>
  </si>
  <si>
    <t>0405RV240</t>
  </si>
  <si>
    <t>ALIMENTADOR DE BAGAZO 1</t>
  </si>
  <si>
    <t>TRANSPORTE DE BAGAZO</t>
  </si>
  <si>
    <t>0805CV060</t>
  </si>
  <si>
    <t>TRANSPORTADOR DE BAGAZO 1003</t>
  </si>
  <si>
    <t>0805CV070</t>
  </si>
  <si>
    <t>0805CV080</t>
  </si>
  <si>
    <t>FAJA TRANSPORTADORA 1006 A</t>
  </si>
  <si>
    <t>0805CV100</t>
  </si>
  <si>
    <t>FAJA TRANSPORTADORA 1008</t>
  </si>
  <si>
    <t>0405DA020</t>
  </si>
  <si>
    <t>0405PV010</t>
  </si>
  <si>
    <t>VALVULA AUTOMATICA AGUA ALIMENTACION</t>
  </si>
  <si>
    <t>0115CV070</t>
  </si>
  <si>
    <t>0405TK530</t>
  </si>
  <si>
    <t>TANQUE DE USO DIARIO</t>
  </si>
  <si>
    <t>0425TK040</t>
  </si>
  <si>
    <t>TANQUE DE AGUA CRUDA</t>
  </si>
  <si>
    <t>GENERACIÓN DE VAPOR</t>
  </si>
  <si>
    <t>0405FA110</t>
  </si>
  <si>
    <t>VENTILADOR DE TIRO FORZADO</t>
  </si>
  <si>
    <t>0405FA120</t>
  </si>
  <si>
    <t>VENTILADOR DE TIRO INDUCIDO 1</t>
  </si>
  <si>
    <t>0405FA130</t>
  </si>
  <si>
    <t>VENTILADOR DE TIRO INDUCIDO 2</t>
  </si>
  <si>
    <t>0405FA140</t>
  </si>
  <si>
    <t>VENTILADOR SECUNDARIO</t>
  </si>
  <si>
    <t>0405FA150</t>
  </si>
  <si>
    <t>VENTILADOR ESPARCIDOR</t>
  </si>
  <si>
    <t>DUCTOS INGRESO DE AIRE A CALDERA</t>
  </si>
  <si>
    <t>DUCTOS GASES DE SALIDA</t>
  </si>
  <si>
    <t>0405BR010</t>
  </si>
  <si>
    <t>0405EP030</t>
  </si>
  <si>
    <t>PRECIPITADOR ELECTROSTATICO</t>
  </si>
  <si>
    <t>0405DO020</t>
  </si>
  <si>
    <t>DOMO SUPERIOR</t>
  </si>
  <si>
    <t>0405BL010</t>
  </si>
  <si>
    <t>0405CV010</t>
  </si>
  <si>
    <t>VALVULAS LIMPIEZA PARRILLAS</t>
  </si>
  <si>
    <t>0405CY520</t>
  </si>
  <si>
    <t>MULTICICLON</t>
  </si>
  <si>
    <t>0405EC010</t>
  </si>
  <si>
    <t>ECONOMIZADOR</t>
  </si>
  <si>
    <t>0405CA010</t>
  </si>
  <si>
    <t>PRECALENTADOR DE AIRE</t>
  </si>
  <si>
    <t>0625CO150</t>
  </si>
  <si>
    <t>COMPRESOR DE AIRE 3</t>
  </si>
  <si>
    <t>ATEMPERADOR DE REDUCTOR 1</t>
  </si>
  <si>
    <t>DISTRIBUCION DE VAPOR</t>
  </si>
  <si>
    <t>ATEMPERADOR DE REDUCTOR 2</t>
  </si>
  <si>
    <t>DISTRIBUIDOR DE VAPOR</t>
  </si>
  <si>
    <t>REDUCTOR DE DESPACHO DE VAPOR 1</t>
  </si>
  <si>
    <t>REDUCTOR DE DESPACHO DE VAPOR 2</t>
  </si>
  <si>
    <t>0425TK050</t>
  </si>
  <si>
    <t>TANQUE DE AGUA OSMOTIZADA</t>
  </si>
  <si>
    <t>PLANTA TRATAMIENTO OSMOSIS INVERSA</t>
  </si>
  <si>
    <t>0425OI101</t>
  </si>
  <si>
    <t>PLANTA DE OSMOSIS INVERSA</t>
  </si>
  <si>
    <t>0430TG010</t>
  </si>
  <si>
    <t>TURBOGENERADOR 7.5 MW</t>
  </si>
  <si>
    <t>GENERACIÓN ENERG. ELEC. TURBO GENERADOR</t>
  </si>
  <si>
    <t>0430TG020</t>
  </si>
  <si>
    <t>TURBOGENERADOR TRIVENI 23.2 MW</t>
  </si>
  <si>
    <t>0430CT050</t>
  </si>
  <si>
    <t>TORRE DE ENFRIAMIENTO MARLEY - TG TGM</t>
  </si>
  <si>
    <t>SISTEMA DE ENFRIAMIENTO</t>
  </si>
  <si>
    <t>G2</t>
  </si>
  <si>
    <t>G5</t>
  </si>
  <si>
    <t>G1</t>
  </si>
  <si>
    <t>G4</t>
  </si>
  <si>
    <t>G3</t>
  </si>
  <si>
    <t>MES</t>
  </si>
  <si>
    <t>TAG</t>
  </si>
  <si>
    <t>PCV0102</t>
  </si>
  <si>
    <t>OWS5</t>
  </si>
  <si>
    <t>RIO - BOILER</t>
  </si>
  <si>
    <t>RIO - TURBINE</t>
  </si>
  <si>
    <t>RIO - DIFFUSER</t>
  </si>
  <si>
    <t>RIO - PROCESS HOUSE</t>
  </si>
  <si>
    <t>RIO - CPAN</t>
  </si>
  <si>
    <t>RIO - FABRICA</t>
  </si>
  <si>
    <t>JUNIO</t>
  </si>
  <si>
    <t>MAYO</t>
  </si>
  <si>
    <t>PERSONAL</t>
  </si>
  <si>
    <t>Nº</t>
  </si>
  <si>
    <t>2 de 1</t>
  </si>
  <si>
    <t>ITEM</t>
  </si>
  <si>
    <t>TAG NAME.</t>
  </si>
  <si>
    <t>SERVICIO</t>
  </si>
  <si>
    <t>305FT070B01</t>
  </si>
  <si>
    <t>Flujo de jugo colado</t>
  </si>
  <si>
    <t>305FT220B01</t>
  </si>
  <si>
    <t>Flujo de agua ingreso a tanque jugo claro</t>
  </si>
  <si>
    <t>305FT130B01</t>
  </si>
  <si>
    <t>Flujo de lodos salida de clarificador</t>
  </si>
  <si>
    <t>305FT200B01</t>
  </si>
  <si>
    <t>Flujo de jugo clarificado</t>
  </si>
  <si>
    <t>305PHT080B01</t>
  </si>
  <si>
    <t>PH de jugo encalado - Principal</t>
  </si>
  <si>
    <t>305PHT080B02</t>
  </si>
  <si>
    <t>PH de jugo encalado - Contraste</t>
  </si>
  <si>
    <t>305PHT100B01</t>
  </si>
  <si>
    <t>PH de jugo clarificado</t>
  </si>
  <si>
    <t>305PT200B01</t>
  </si>
  <si>
    <t>305LT040B01</t>
  </si>
  <si>
    <t>Nivel de tanque jugo colado</t>
  </si>
  <si>
    <t>305LT190B01</t>
  </si>
  <si>
    <t>Nivel de tanque jugo clarificado</t>
  </si>
  <si>
    <t>305LT150B01</t>
  </si>
  <si>
    <t>305LT270B01</t>
  </si>
  <si>
    <t>Nivel de jugo del tanque flash</t>
  </si>
  <si>
    <t>315LT010B01</t>
  </si>
  <si>
    <t>Nivel del tanque sacarato</t>
  </si>
  <si>
    <t>375LT010B01</t>
  </si>
  <si>
    <t>Nivel de tanque de agua caliente</t>
  </si>
  <si>
    <t>350LT010B01</t>
  </si>
  <si>
    <t>Nivel tanque de melasa</t>
  </si>
  <si>
    <t>325PT140B01</t>
  </si>
  <si>
    <t>325PT080B01</t>
  </si>
  <si>
    <t>325TT080B01</t>
  </si>
  <si>
    <t>325TT080B02</t>
  </si>
  <si>
    <t>325PT080B02</t>
  </si>
  <si>
    <t>325TT080B03</t>
  </si>
  <si>
    <t>325PT080B03</t>
  </si>
  <si>
    <t>325TT080B04</t>
  </si>
  <si>
    <t>325PT080B04</t>
  </si>
  <si>
    <t>325TT080B05</t>
  </si>
  <si>
    <t>325TT110B01</t>
  </si>
  <si>
    <t>325TT110B02</t>
  </si>
  <si>
    <t>Temperatura ingreso condensado externo</t>
  </si>
  <si>
    <t>325TT110B03</t>
  </si>
  <si>
    <t>325DPT040B01</t>
  </si>
  <si>
    <t>Flujo de agua condensada hacia caldera</t>
  </si>
  <si>
    <t>325TT140B01</t>
  </si>
  <si>
    <t>Temperatura de condensado salida del intercambiador agua caliente</t>
  </si>
  <si>
    <t>325CDT110B01</t>
  </si>
  <si>
    <t>Conductividad de agua condensada</t>
  </si>
  <si>
    <t>370TT110B01</t>
  </si>
  <si>
    <t>Temperatura descarga bombas de Spray Pond</t>
  </si>
  <si>
    <t>370PT110B01</t>
  </si>
  <si>
    <t>330LT010B01</t>
  </si>
  <si>
    <t>Tanque Buffer de jarabe</t>
  </si>
  <si>
    <t>330LT260B01</t>
  </si>
  <si>
    <t>Tanque recibidor de jarabe claro</t>
  </si>
  <si>
    <t>115LT010B01</t>
  </si>
  <si>
    <t>115TT070B01</t>
  </si>
  <si>
    <t xml:space="preserve">Temperatura salida de IC aceite </t>
  </si>
  <si>
    <t xml:space="preserve">Temperatura ingreso de IC aceite </t>
  </si>
  <si>
    <t>115XT030B01</t>
  </si>
  <si>
    <t>115TT050B02</t>
  </si>
  <si>
    <t>Temperatura chumacera lado libre</t>
  </si>
  <si>
    <t>115TT050B01</t>
  </si>
  <si>
    <t>Temperatura chumacera lado motor</t>
  </si>
  <si>
    <t>115XT050B01</t>
  </si>
  <si>
    <t>115TT060B02</t>
  </si>
  <si>
    <t>115TT060B01</t>
  </si>
  <si>
    <t>115XT060B01</t>
  </si>
  <si>
    <t>115WIC010B01</t>
  </si>
  <si>
    <t>Peso de caña en conductor auxiliar</t>
  </si>
  <si>
    <t>210ZT090B02</t>
  </si>
  <si>
    <t>210ZT090B01</t>
  </si>
  <si>
    <t>210PT010B01</t>
  </si>
  <si>
    <t>210PT010B02</t>
  </si>
  <si>
    <t>210PT020B01</t>
  </si>
  <si>
    <t>210PT020B02</t>
  </si>
  <si>
    <t>210LT070B01</t>
  </si>
  <si>
    <t>Nivel de bagazo de chute donelly de molino secador</t>
  </si>
  <si>
    <t>205LIT200B13</t>
  </si>
  <si>
    <t>205LIT201B13</t>
  </si>
  <si>
    <t>205PHT180B01</t>
  </si>
  <si>
    <t>205PHT180B02</t>
  </si>
  <si>
    <t>305LT020B01</t>
  </si>
  <si>
    <t xml:space="preserve">Nivel de tanque de agua lavado </t>
  </si>
  <si>
    <t>205FT180B01</t>
  </si>
  <si>
    <t>205TT180B08</t>
  </si>
  <si>
    <t>205TT280B02</t>
  </si>
  <si>
    <t>Temperatura de ingreso de vapor V4 a sistema DCH.</t>
  </si>
  <si>
    <t>370PT150B01</t>
  </si>
  <si>
    <t>370TT150B01</t>
  </si>
  <si>
    <t>Temperatura de agua salida ejector</t>
  </si>
  <si>
    <t>205TT270B02</t>
  </si>
  <si>
    <t>Temperatura de ingreso jugo a DCH-1</t>
  </si>
  <si>
    <t>205TT270B01</t>
  </si>
  <si>
    <t>Temperatura de salida del DCH-1</t>
  </si>
  <si>
    <t>205PT270B02</t>
  </si>
  <si>
    <t>205PT270B01</t>
  </si>
  <si>
    <t>205TT220B02</t>
  </si>
  <si>
    <t>Temperatura de ingreso jugo a DCH-2</t>
  </si>
  <si>
    <t>205TT220B01</t>
  </si>
  <si>
    <t>Temperatura de salida del DCH-2</t>
  </si>
  <si>
    <t>205PT220B02</t>
  </si>
  <si>
    <t>205PT220B01</t>
  </si>
  <si>
    <t>205TT230B02</t>
  </si>
  <si>
    <t>Temperatura de ingreso jugo a DCH-3</t>
  </si>
  <si>
    <t>205TT230B01</t>
  </si>
  <si>
    <t>Temperatura de salida del DCH-3</t>
  </si>
  <si>
    <t>205PT230B02</t>
  </si>
  <si>
    <t>205PT230B01</t>
  </si>
  <si>
    <t>205TT240B02</t>
  </si>
  <si>
    <t>Temperatura de ingreso jugo a DCH-4</t>
  </si>
  <si>
    <t>205TT240B01</t>
  </si>
  <si>
    <t>Temperatura de salida del DCH-4</t>
  </si>
  <si>
    <t>205PT240B02</t>
  </si>
  <si>
    <t>205PT240B01</t>
  </si>
  <si>
    <t>205TT250B02</t>
  </si>
  <si>
    <t>Temperatura de ingreso jugo a DCH-5</t>
  </si>
  <si>
    <t>205TT250B01</t>
  </si>
  <si>
    <t>Temperatura de salida del DCH-5</t>
  </si>
  <si>
    <t>205PT250B02</t>
  </si>
  <si>
    <t>205PT250B01</t>
  </si>
  <si>
    <t>205TT280B01</t>
  </si>
  <si>
    <t>Temperatura de ingreso vapor V3 del DCH-6</t>
  </si>
  <si>
    <t>205TT260B01</t>
  </si>
  <si>
    <t>Temperatura de salida del DCH-6</t>
  </si>
  <si>
    <t>205PT260B01</t>
  </si>
  <si>
    <t>205PT260B02</t>
  </si>
  <si>
    <t>TT180B01</t>
  </si>
  <si>
    <t>Temperatura de jugo CMA</t>
  </si>
  <si>
    <t>205LT180B13</t>
  </si>
  <si>
    <t>Nivel de jugo en CMA</t>
  </si>
  <si>
    <t>TT180B02</t>
  </si>
  <si>
    <t>Temperatura de jugo CMB</t>
  </si>
  <si>
    <t>205LT180B14</t>
  </si>
  <si>
    <t>Nivel de jugo en CMB</t>
  </si>
  <si>
    <t>TT180B03</t>
  </si>
  <si>
    <t>Temperatura de jugo C1</t>
  </si>
  <si>
    <t>205LT180B01</t>
  </si>
  <si>
    <t>Nivel de jugo en C1</t>
  </si>
  <si>
    <t>TT180B04</t>
  </si>
  <si>
    <t>Temperatura de jugo C2</t>
  </si>
  <si>
    <t>205LT180B02</t>
  </si>
  <si>
    <t>Nivel de jugo en C2</t>
  </si>
  <si>
    <t>TT180B05</t>
  </si>
  <si>
    <t>Temperatura de jugo C3</t>
  </si>
  <si>
    <t>205LT180B03</t>
  </si>
  <si>
    <t>Nivel de jugo en C3</t>
  </si>
  <si>
    <t>TT180B06</t>
  </si>
  <si>
    <t>Temperatura de jugo C4</t>
  </si>
  <si>
    <t>205LT180B04</t>
  </si>
  <si>
    <t>Nivel de jugo en C4</t>
  </si>
  <si>
    <t>TT180B07</t>
  </si>
  <si>
    <t>Temperatura de jugo C5</t>
  </si>
  <si>
    <t>205LT180B05</t>
  </si>
  <si>
    <t>Nivel de jugo en C5</t>
  </si>
  <si>
    <t>TT180B08</t>
  </si>
  <si>
    <t>Temperatura de jugo C6</t>
  </si>
  <si>
    <t>205LT180B06</t>
  </si>
  <si>
    <t>Nivel de jugo en C6</t>
  </si>
  <si>
    <t>TT180B09</t>
  </si>
  <si>
    <t>Temperatura de jugo C7</t>
  </si>
  <si>
    <t>205LT180B07</t>
  </si>
  <si>
    <t>Nivel de jugo en C7</t>
  </si>
  <si>
    <t>TT180B10</t>
  </si>
  <si>
    <t>Temperatura de jugo C8</t>
  </si>
  <si>
    <t>205LT180B08</t>
  </si>
  <si>
    <t>Nivel de jugo en C8</t>
  </si>
  <si>
    <t>TT180B11</t>
  </si>
  <si>
    <t>Temperatura de jugo C9</t>
  </si>
  <si>
    <t>205LT180B09</t>
  </si>
  <si>
    <t>Nivel de jugo en C9</t>
  </si>
  <si>
    <t>TT180B12</t>
  </si>
  <si>
    <t>Temperatura de jugo C10</t>
  </si>
  <si>
    <t>205LT180B10</t>
  </si>
  <si>
    <t>Nivel de jugo en C10</t>
  </si>
  <si>
    <t>TT180B13</t>
  </si>
  <si>
    <t>Temperatura de jugo C11</t>
  </si>
  <si>
    <t>205LT180B11</t>
  </si>
  <si>
    <t>Nivel de jugo en C11</t>
  </si>
  <si>
    <t>TT180B14</t>
  </si>
  <si>
    <t>Temperatura de jugo C12</t>
  </si>
  <si>
    <t>205LT180B12</t>
  </si>
  <si>
    <t>Nivel de jugo en C12</t>
  </si>
  <si>
    <t>305TT090B01</t>
  </si>
  <si>
    <t>Temperatura de ingreso jugo de calentador CCT-1</t>
  </si>
  <si>
    <t>305TT100B01</t>
  </si>
  <si>
    <t>Temperatura de salida jugo de calentador CCT-1</t>
  </si>
  <si>
    <t>305PT090B01</t>
  </si>
  <si>
    <t>Presion de jugo encalado CCT-1</t>
  </si>
  <si>
    <t>305TT110B01</t>
  </si>
  <si>
    <t>Temperatura de salida jugo de calentador CCT-1/2</t>
  </si>
  <si>
    <t>305PT100B01</t>
  </si>
  <si>
    <t>Presion de jugo encalado CCT-1/2</t>
  </si>
  <si>
    <t>305TT110B02</t>
  </si>
  <si>
    <t>Temperatura de jugo de calentador CCT-2</t>
  </si>
  <si>
    <t>305PT110B01</t>
  </si>
  <si>
    <t>Presion de jugo encalado CCT-2</t>
  </si>
  <si>
    <t>305TT120B01</t>
  </si>
  <si>
    <t xml:space="preserve">Temperatura de jugo salida 3er calentamiento </t>
  </si>
  <si>
    <t>305TT230B01</t>
  </si>
  <si>
    <t>Temperatura jugo ingreso CJ-1</t>
  </si>
  <si>
    <t>305TT230B02</t>
  </si>
  <si>
    <t>Temperatura jugo salida CJ-1</t>
  </si>
  <si>
    <t>Temperatura jugo salida CJ-2</t>
  </si>
  <si>
    <t>320TT010B01</t>
  </si>
  <si>
    <t>Temperatura de jugo Evap.1</t>
  </si>
  <si>
    <t>320TT010B03</t>
  </si>
  <si>
    <t>Temperatura del ingreso de vapor</t>
  </si>
  <si>
    <t>320TT010B04</t>
  </si>
  <si>
    <t>Temperatura del salida de vapor</t>
  </si>
  <si>
    <t>320LT010B01</t>
  </si>
  <si>
    <t>Nivel de jugo Evap. 1</t>
  </si>
  <si>
    <t>320PT010B02</t>
  </si>
  <si>
    <t>320PT010B03</t>
  </si>
  <si>
    <t>Presion de vapor de salida</t>
  </si>
  <si>
    <t>320PT090B01</t>
  </si>
  <si>
    <t>320TT020B01</t>
  </si>
  <si>
    <t>Temperatura de jugo Evap.1-2</t>
  </si>
  <si>
    <t>320TT020B02</t>
  </si>
  <si>
    <t>320TT020B03</t>
  </si>
  <si>
    <t>320PT110B01</t>
  </si>
  <si>
    <t>320LT020B01</t>
  </si>
  <si>
    <t>Nivel de jugo Evap.1-2</t>
  </si>
  <si>
    <t>320PT020B01</t>
  </si>
  <si>
    <t>320PT020B02</t>
  </si>
  <si>
    <t xml:space="preserve">Presion de vapor de salida </t>
  </si>
  <si>
    <t>320TT030B01</t>
  </si>
  <si>
    <t>Temperatura de jugo Evap.2-3</t>
  </si>
  <si>
    <t>320LT030B01</t>
  </si>
  <si>
    <t>Nivel de jugo Evap.2-3</t>
  </si>
  <si>
    <t>320TT030B02</t>
  </si>
  <si>
    <t>320PT130B01</t>
  </si>
  <si>
    <t>320PT030B01</t>
  </si>
  <si>
    <t>Presion de vapor de salida Evap</t>
  </si>
  <si>
    <t>320TT040B01</t>
  </si>
  <si>
    <t>Temperatura de jugo Evap.3</t>
  </si>
  <si>
    <t>320LT040B01</t>
  </si>
  <si>
    <t>Nivel de jugo Evap.3</t>
  </si>
  <si>
    <t>320TT040B02</t>
  </si>
  <si>
    <t>320PT150B01</t>
  </si>
  <si>
    <t>320PT040B01</t>
  </si>
  <si>
    <t>Presion de vapor de salida Evap.3</t>
  </si>
  <si>
    <t>320TT050B01</t>
  </si>
  <si>
    <t>Temperatura de jugo Evap.4A</t>
  </si>
  <si>
    <t>320LT050B01</t>
  </si>
  <si>
    <t>Nivel de jugo Evap.4A</t>
  </si>
  <si>
    <t>320TT050B02</t>
  </si>
  <si>
    <t>320PT170B01</t>
  </si>
  <si>
    <t>320PT050B01</t>
  </si>
  <si>
    <t>Presion de vapor de salida Evap.4A</t>
  </si>
  <si>
    <t>320TT060B01</t>
  </si>
  <si>
    <t>Temperatura de jugo Evap.5A</t>
  </si>
  <si>
    <t>320LT060B01</t>
  </si>
  <si>
    <t>Nivel de jugo Evap.5A</t>
  </si>
  <si>
    <t>320TT060B02</t>
  </si>
  <si>
    <t>320PT190B01</t>
  </si>
  <si>
    <t>320PT070B01</t>
  </si>
  <si>
    <t>Presion de vapor de salida Evap.5A</t>
  </si>
  <si>
    <t>320TT070B01</t>
  </si>
  <si>
    <t>Temperatura de jugo Evap.4B</t>
  </si>
  <si>
    <t>320LT070B01</t>
  </si>
  <si>
    <t>Nivel de jugo Evap.4B</t>
  </si>
  <si>
    <t>320TT070B02</t>
  </si>
  <si>
    <t>320PT210B01</t>
  </si>
  <si>
    <t>320PT060B01</t>
  </si>
  <si>
    <t>Presion de vapor de salida Evap.4B</t>
  </si>
  <si>
    <t>320TT080B01</t>
  </si>
  <si>
    <t>Temperatura de jugo Evap.5B</t>
  </si>
  <si>
    <t>320LT080B01</t>
  </si>
  <si>
    <t>Nivel de jugo Evap.5B</t>
  </si>
  <si>
    <t>320TT080B02</t>
  </si>
  <si>
    <t>320PT230B01</t>
  </si>
  <si>
    <t>320PT080B01</t>
  </si>
  <si>
    <t>Presion de vapor de salida Evap.5B</t>
  </si>
  <si>
    <t>320BT260B01</t>
  </si>
  <si>
    <t>Brix de jarabe 5to efecto</t>
  </si>
  <si>
    <t>330TT210B01</t>
  </si>
  <si>
    <t>Temperatura de jugo en el ingreso a heater</t>
  </si>
  <si>
    <t>330TT210B02</t>
  </si>
  <si>
    <t>Temperatura de jugo en la salida del heater</t>
  </si>
  <si>
    <t>330PHT240B01</t>
  </si>
  <si>
    <t>330LT050B01</t>
  </si>
  <si>
    <t>330LT090B01</t>
  </si>
  <si>
    <t>Nivel tanque de sacarato</t>
  </si>
  <si>
    <t>330LT120B01</t>
  </si>
  <si>
    <t>Nivel tanque de colorante</t>
  </si>
  <si>
    <t>330LT160B01</t>
  </si>
  <si>
    <t>Nivel tanque de floculante</t>
  </si>
  <si>
    <t>370TT010B01</t>
  </si>
  <si>
    <t>Temeratura de agua de salida</t>
  </si>
  <si>
    <t>370TT020B01</t>
  </si>
  <si>
    <t>370TT030B01</t>
  </si>
  <si>
    <t>370TT040B01</t>
  </si>
  <si>
    <t>370TT050B01</t>
  </si>
  <si>
    <t>370TT060B01</t>
  </si>
  <si>
    <t>370TT070B01</t>
  </si>
  <si>
    <t>370TT080B01</t>
  </si>
  <si>
    <t>TIT1201</t>
  </si>
  <si>
    <t>Temperatura vapor principal</t>
  </si>
  <si>
    <t>TIT1202</t>
  </si>
  <si>
    <t>Temperatura de vapor principal redundante</t>
  </si>
  <si>
    <t>TIT1101</t>
  </si>
  <si>
    <t>Temperatura de entrada de agua al economizador</t>
  </si>
  <si>
    <t>TIT1102</t>
  </si>
  <si>
    <t>Temperatura de entrada de agua a la caldera</t>
  </si>
  <si>
    <t>TIT1306</t>
  </si>
  <si>
    <t>Temperatura gases del horno</t>
  </si>
  <si>
    <t>TIT1301</t>
  </si>
  <si>
    <t>Temperatura gases entrada al precalentador</t>
  </si>
  <si>
    <t>TIT1302</t>
  </si>
  <si>
    <t>Temperatura gases de salida del precalentador</t>
  </si>
  <si>
    <t>TIT1303</t>
  </si>
  <si>
    <t>Temperatura gases de salida del economizador</t>
  </si>
  <si>
    <t>TIT1304</t>
  </si>
  <si>
    <t>Temperatura gases de salida multiciclon</t>
  </si>
  <si>
    <t>TIT1305</t>
  </si>
  <si>
    <t>Temperatura gases de salida EPS</t>
  </si>
  <si>
    <t>TIT0101</t>
  </si>
  <si>
    <t>Temperatura agua del desairador</t>
  </si>
  <si>
    <t>TIT1401</t>
  </si>
  <si>
    <t>Temperatura de aire primario entrada a la caldera</t>
  </si>
  <si>
    <t>TIT1402</t>
  </si>
  <si>
    <t>Temperatura de aire secundario entrada a la caldera</t>
  </si>
  <si>
    <t>Temperatura colector distribuidor vapor</t>
  </si>
  <si>
    <t>PIT0201</t>
  </si>
  <si>
    <t>PIT1101</t>
  </si>
  <si>
    <t>PIT1201</t>
  </si>
  <si>
    <t>PIT1202</t>
  </si>
  <si>
    <t>PIT1401</t>
  </si>
  <si>
    <t>PIT1402</t>
  </si>
  <si>
    <t>PIT1403</t>
  </si>
  <si>
    <t>PIT1404</t>
  </si>
  <si>
    <t>PIT1405</t>
  </si>
  <si>
    <t>PIT1406</t>
  </si>
  <si>
    <t>PIT1407</t>
  </si>
  <si>
    <t>PIT1301</t>
  </si>
  <si>
    <t>PIT1302</t>
  </si>
  <si>
    <t>PIT1303</t>
  </si>
  <si>
    <t>PIT1304</t>
  </si>
  <si>
    <t>PIT1305</t>
  </si>
  <si>
    <t>PIT1306</t>
  </si>
  <si>
    <t>PIT1501</t>
  </si>
  <si>
    <t>PIT1203</t>
  </si>
  <si>
    <t>PIT0101</t>
  </si>
  <si>
    <t>LIT1101</t>
  </si>
  <si>
    <t>Nivel del domo</t>
  </si>
  <si>
    <t>LIT1102</t>
  </si>
  <si>
    <t>Nivel del domo redundante</t>
  </si>
  <si>
    <t>LIT0101</t>
  </si>
  <si>
    <t>Nivel del desaireador</t>
  </si>
  <si>
    <t>LI1601</t>
  </si>
  <si>
    <t>Nivel del tanque de uso diario</t>
  </si>
  <si>
    <t>DM_TNK_LVL</t>
  </si>
  <si>
    <t>Nivel tanque de agua desmineralizadad</t>
  </si>
  <si>
    <t>RW_TNK_LVL</t>
  </si>
  <si>
    <t>Nivel tanque de agua cruda</t>
  </si>
  <si>
    <t>BW_LSL</t>
  </si>
  <si>
    <t>FIT1101</t>
  </si>
  <si>
    <t>FIT0101</t>
  </si>
  <si>
    <t>Flujo de vapor reductora N°1</t>
  </si>
  <si>
    <t>FIT0103</t>
  </si>
  <si>
    <t>Flujo de vapor reductora N°2</t>
  </si>
  <si>
    <t>FIT0102</t>
  </si>
  <si>
    <t>Flujo de vapor turbina</t>
  </si>
  <si>
    <t>FIT1201</t>
  </si>
  <si>
    <t>Flujo vapor master</t>
  </si>
  <si>
    <t>PIT-30-00-4</t>
  </si>
  <si>
    <t>PIT-30-10-4</t>
  </si>
  <si>
    <t>PIT-30-60-4</t>
  </si>
  <si>
    <t>PIT-31-00-4</t>
  </si>
  <si>
    <t>PIT-31-04-4</t>
  </si>
  <si>
    <t>PIT-31-10-4</t>
  </si>
  <si>
    <t>PR-TMP-GEN-FB</t>
  </si>
  <si>
    <t>Generator front bearing temperature</t>
  </si>
  <si>
    <t>PR-TMP-GEN-RB</t>
  </si>
  <si>
    <t>Generator rear bearing temperature</t>
  </si>
  <si>
    <t>PSHH-51-00</t>
  </si>
  <si>
    <t>PSHH-51-01</t>
  </si>
  <si>
    <t>PSL-51-40</t>
  </si>
  <si>
    <t>PSLL-51-30</t>
  </si>
  <si>
    <t>PSLL-51-35</t>
  </si>
  <si>
    <t>TE-33-10-1</t>
  </si>
  <si>
    <t>Temperature in TG radial bearing UCE</t>
  </si>
  <si>
    <t>TE-33-12-1</t>
  </si>
  <si>
    <t>Temperature in TG axial bearing - External</t>
  </si>
  <si>
    <t>TE-33-13-1</t>
  </si>
  <si>
    <t>Temperature in TG axial bearing - Internal</t>
  </si>
  <si>
    <t>TE-33-14-1</t>
  </si>
  <si>
    <t>Temperatura in TG radial bearing - CE</t>
  </si>
  <si>
    <t>TE-33-15-1</t>
  </si>
  <si>
    <t>Oil temp in gear bearing high speed shaft - CE</t>
  </si>
  <si>
    <t>TE-33-16-1</t>
  </si>
  <si>
    <t>Oil temp in gear bearing high speed shaft - UCE</t>
  </si>
  <si>
    <t>TE-33-17-1</t>
  </si>
  <si>
    <t>Oil temp in gear bearing low speed shaft - UCE</t>
  </si>
  <si>
    <t>TE-33-18-1</t>
  </si>
  <si>
    <t>Oil temp in gear bearing low speed shaft - CE</t>
  </si>
  <si>
    <t>335LT180B01</t>
  </si>
  <si>
    <t>Nivel de miel en tacho batch A</t>
  </si>
  <si>
    <t>335BT180B01</t>
  </si>
  <si>
    <t xml:space="preserve">Brix de masa </t>
  </si>
  <si>
    <t>335PT180B01</t>
  </si>
  <si>
    <t>335TT180B01</t>
  </si>
  <si>
    <t xml:space="preserve">Temperatura vapor ingreso </t>
  </si>
  <si>
    <t>335TT180B02</t>
  </si>
  <si>
    <t>Temperatura del cuerpo</t>
  </si>
  <si>
    <t>335PT180B02</t>
  </si>
  <si>
    <t>335LT210B01</t>
  </si>
  <si>
    <t>Nivel de miel en tacho batch AB</t>
  </si>
  <si>
    <t>335BT210B01</t>
  </si>
  <si>
    <t>335PT210B01</t>
  </si>
  <si>
    <t>335TT210B01</t>
  </si>
  <si>
    <t>335TT210B02</t>
  </si>
  <si>
    <t>335PT210B02</t>
  </si>
  <si>
    <t>335LT240B01</t>
  </si>
  <si>
    <t>Nivel de miel en tacho batch BC</t>
  </si>
  <si>
    <t>335BT240B01</t>
  </si>
  <si>
    <t>335PT240B01</t>
  </si>
  <si>
    <t>335TT240B01</t>
  </si>
  <si>
    <t>335TT240B02</t>
  </si>
  <si>
    <t>335PT240B02</t>
  </si>
  <si>
    <t>335PT160B01</t>
  </si>
  <si>
    <t>B - footing vaccum XLR</t>
  </si>
  <si>
    <t>335PT170B01</t>
  </si>
  <si>
    <t>C - footing vaccum XLR</t>
  </si>
  <si>
    <t>335PT280B01</t>
  </si>
  <si>
    <t>335LT280B01</t>
  </si>
  <si>
    <t>Nivel del granero de masa C</t>
  </si>
  <si>
    <t>335PT200B02</t>
  </si>
  <si>
    <t>335PT200B01</t>
  </si>
  <si>
    <t>335FT200B01</t>
  </si>
  <si>
    <t>Flujo de miel de ingreso a celdas</t>
  </si>
  <si>
    <t>335FT300B01</t>
  </si>
  <si>
    <t>Flujo de semilla de ingreso</t>
  </si>
  <si>
    <t>335FT200B02</t>
  </si>
  <si>
    <t>Flujo de condensado de salida</t>
  </si>
  <si>
    <t>335TT200B01</t>
  </si>
  <si>
    <t>Temperatura de vapor ingreso a calandria</t>
  </si>
  <si>
    <t>335LT150B01</t>
  </si>
  <si>
    <t xml:space="preserve">Nivel de tanque de semilla </t>
  </si>
  <si>
    <t>335LT010B01</t>
  </si>
  <si>
    <t xml:space="preserve">Nivel de jarabe tachos </t>
  </si>
  <si>
    <t>335LT020B01</t>
  </si>
  <si>
    <t>335LT030B01</t>
  </si>
  <si>
    <t>335PT230B02</t>
  </si>
  <si>
    <t>335FT230B01</t>
  </si>
  <si>
    <t>335FT230B02</t>
  </si>
  <si>
    <t>335TT230B01</t>
  </si>
  <si>
    <t>335LT160B01</t>
  </si>
  <si>
    <t>335LT060B01</t>
  </si>
  <si>
    <t>A - Heavy Tank</t>
  </si>
  <si>
    <t>335LT070B01</t>
  </si>
  <si>
    <t>335PT230B01</t>
  </si>
  <si>
    <t>335PT260B02</t>
  </si>
  <si>
    <t>335FT260B01</t>
  </si>
  <si>
    <t>345FT350B01</t>
  </si>
  <si>
    <t>335FT260B02</t>
  </si>
  <si>
    <t>335TT260B01</t>
  </si>
  <si>
    <t>335LT170B01</t>
  </si>
  <si>
    <t>335LT080B01</t>
  </si>
  <si>
    <t>335LT090B01</t>
  </si>
  <si>
    <t>335PT260B01</t>
  </si>
  <si>
    <t>335BT200B01</t>
  </si>
  <si>
    <t>Brix de masa A - Celda 1</t>
  </si>
  <si>
    <t>335BT200B02</t>
  </si>
  <si>
    <t>Brix de masa A - Celda 2</t>
  </si>
  <si>
    <t>335BT200B03</t>
  </si>
  <si>
    <t>Brix de masa A - Celda 3</t>
  </si>
  <si>
    <t>335BT200B04</t>
  </si>
  <si>
    <t>Brix de masa A - Celda 4</t>
  </si>
  <si>
    <t>335BT200B05</t>
  </si>
  <si>
    <t>Brix de masa A - Celda 5</t>
  </si>
  <si>
    <t>335BT200B06</t>
  </si>
  <si>
    <t>Brix de masa A - Celda 6</t>
  </si>
  <si>
    <t>335BT200B07</t>
  </si>
  <si>
    <t>Brix de masa A - Celda 7</t>
  </si>
  <si>
    <t>335BT200B08</t>
  </si>
  <si>
    <t>Brix de masa A - Celda 8</t>
  </si>
  <si>
    <t>335BT200B09</t>
  </si>
  <si>
    <t>Brix de masa A - Celda 9</t>
  </si>
  <si>
    <t>335BT200B10</t>
  </si>
  <si>
    <t>Brix de masa A - Celda 10</t>
  </si>
  <si>
    <t>335BT230B01</t>
  </si>
  <si>
    <t>Brix de masa B - Celda 1</t>
  </si>
  <si>
    <t>335BT230B02</t>
  </si>
  <si>
    <t>Brix de masa B - Celda 2</t>
  </si>
  <si>
    <t>335BT230B03</t>
  </si>
  <si>
    <t>Brix de masa B - Celda 3</t>
  </si>
  <si>
    <t>335BT230B04</t>
  </si>
  <si>
    <t>Brix de masa B - Celda 4</t>
  </si>
  <si>
    <t>335BT230B05</t>
  </si>
  <si>
    <t>Brix de masa B - Celda 5</t>
  </si>
  <si>
    <t>335BT230B06</t>
  </si>
  <si>
    <t>Brix de masa B - Celda 6</t>
  </si>
  <si>
    <t>335BT230B07</t>
  </si>
  <si>
    <t>Brix de masa B - Celda 7</t>
  </si>
  <si>
    <t>335BT230B08</t>
  </si>
  <si>
    <t>Brix de masa B - Celda 8</t>
  </si>
  <si>
    <t>335BT260B01</t>
  </si>
  <si>
    <t>Brix de masa C - Celda 1</t>
  </si>
  <si>
    <t>335BT260B02</t>
  </si>
  <si>
    <t>Brix de masa C - Celda 2</t>
  </si>
  <si>
    <t>335BT260B03</t>
  </si>
  <si>
    <t>Brix de masa C - Celda 3</t>
  </si>
  <si>
    <t>335BT260B04</t>
  </si>
  <si>
    <t>Brix de masa C - Celda 4</t>
  </si>
  <si>
    <t>335BT260B05</t>
  </si>
  <si>
    <t>Brix de masa C - Celda 5</t>
  </si>
  <si>
    <t>335BT260B06</t>
  </si>
  <si>
    <t>Brix de masa C - Celda 6</t>
  </si>
  <si>
    <t>335BT260B07</t>
  </si>
  <si>
    <t>Brix de masa C - Celda 7</t>
  </si>
  <si>
    <t>335BT260B08</t>
  </si>
  <si>
    <t>Brix de masa C - Celda 8</t>
  </si>
  <si>
    <t>340LT100B01</t>
  </si>
  <si>
    <t>Nivel de masa - Cristalizador 1</t>
  </si>
  <si>
    <t>340LT110B01</t>
  </si>
  <si>
    <t>Nivel de masa - Cristalizador 2</t>
  </si>
  <si>
    <t>355LT310B01</t>
  </si>
  <si>
    <t>Nivel del tanque rori</t>
  </si>
  <si>
    <t>355BT310B01</t>
  </si>
  <si>
    <t>Brix del miel en el tanque rori</t>
  </si>
  <si>
    <t>335TT290B01</t>
  </si>
  <si>
    <t>335LT163B01</t>
  </si>
  <si>
    <t>Nivel de tanque descarga en scrubber</t>
  </si>
  <si>
    <t>345BT190B01</t>
  </si>
  <si>
    <t>Brix de miel a la descarga de bombas en sugar meltter</t>
  </si>
  <si>
    <t>345TT180B01</t>
  </si>
  <si>
    <t>Temperatura de miel en sugar meltter</t>
  </si>
  <si>
    <t>355WIC230B01</t>
  </si>
  <si>
    <t>355T090A</t>
  </si>
  <si>
    <t>355T090B</t>
  </si>
  <si>
    <t>355LT090B01</t>
  </si>
  <si>
    <t>Nivel de azucar en silo 1</t>
  </si>
  <si>
    <t>355T110A</t>
  </si>
  <si>
    <t>355T110B</t>
  </si>
  <si>
    <t>355LT100B01</t>
  </si>
  <si>
    <t>Nivel de azucar en silo 2</t>
  </si>
  <si>
    <t>355T100A</t>
  </si>
  <si>
    <t>355T100B</t>
  </si>
  <si>
    <t>355LT110B01</t>
  </si>
  <si>
    <t>Nivel de azucar en silo 3</t>
  </si>
  <si>
    <t>335LT040B01</t>
  </si>
  <si>
    <t>Nivel de tanque fundido</t>
  </si>
  <si>
    <t>335LT050B01</t>
  </si>
  <si>
    <t>335TT100B01</t>
  </si>
  <si>
    <t>Temperatura de ingreo a acondisionador de miel A</t>
  </si>
  <si>
    <t>335TT100B02</t>
  </si>
  <si>
    <t>Temperatura de salida de acondisionador de miel A</t>
  </si>
  <si>
    <t>335TT110B01</t>
  </si>
  <si>
    <t>Temperatura de ingreo a acondisionador de miel B</t>
  </si>
  <si>
    <t>335TT110B02</t>
  </si>
  <si>
    <t>Temperatura de salida de acondisionador de miel B</t>
  </si>
  <si>
    <t>Temperatura de ingreso del gas al precalentador</t>
  </si>
  <si>
    <t>AT0101</t>
  </si>
  <si>
    <t>Analizador de O2 de la caldera</t>
  </si>
  <si>
    <t>PIT0801</t>
  </si>
  <si>
    <t>TIT0104</t>
  </si>
  <si>
    <t>Temperatura de salida del atemperador de la reductora #2</t>
  </si>
  <si>
    <t>PIT0104</t>
  </si>
  <si>
    <t>TIT0102</t>
  </si>
  <si>
    <t>Temperatura de salida del atemperador de la reductora #1</t>
  </si>
  <si>
    <t>TIT0105</t>
  </si>
  <si>
    <t>Temperatura de salida del atemperador Master</t>
  </si>
  <si>
    <t xml:space="preserve">PIT0102 </t>
  </si>
  <si>
    <t>TIT0103</t>
  </si>
  <si>
    <t>Temperatura de vapor escape TGM</t>
  </si>
  <si>
    <t>PIT0103</t>
  </si>
  <si>
    <t>210LIT080B01</t>
  </si>
  <si>
    <t>Nivel de agua en la Torre Marley</t>
  </si>
  <si>
    <t>PIT-31-02-4</t>
  </si>
  <si>
    <t>SC-2030</t>
  </si>
  <si>
    <t>Velocidad de Turbina</t>
  </si>
  <si>
    <t>TE-33-02-1</t>
  </si>
  <si>
    <t>Temperatura de salida aceite de intercambiador</t>
  </si>
  <si>
    <t>TIT-32-00-1</t>
  </si>
  <si>
    <t>Temperatura de vapor ingreso a Turbina</t>
  </si>
  <si>
    <t>TIT-32-10-1</t>
  </si>
  <si>
    <t>Temperatura de vapor salida de turbina</t>
  </si>
  <si>
    <t>DPSH-51-41</t>
  </si>
  <si>
    <t>39-21-1A</t>
  </si>
  <si>
    <t>Deteccion de desplazamiento axial del eje de turbina</t>
  </si>
  <si>
    <t>39-22-1B</t>
  </si>
  <si>
    <t>37-00-1A</t>
  </si>
  <si>
    <t>Deteccion de vibracion radial de turbina lado no acoplado</t>
  </si>
  <si>
    <t>37-00-1B</t>
  </si>
  <si>
    <t>37-01-1A</t>
  </si>
  <si>
    <t>Deteccion de vibracion radial de turbina lado acoplado</t>
  </si>
  <si>
    <t>37-01-1B</t>
  </si>
  <si>
    <t>37-12-1A</t>
  </si>
  <si>
    <t>Deteccion de vibracion radial de eje de baja del reductor lado BBA mecanica</t>
  </si>
  <si>
    <t>37-12-1B</t>
  </si>
  <si>
    <t>37-10-1A</t>
  </si>
  <si>
    <t>Deteccion de vibracion radial de eje de alta del reductor lado acoplado</t>
  </si>
  <si>
    <t>37-10-1B</t>
  </si>
  <si>
    <t>37-13-1A</t>
  </si>
  <si>
    <t>Deteccion de vibracion radial de eje de baja del reductor lado acoplado</t>
  </si>
  <si>
    <t>37-13-1B</t>
  </si>
  <si>
    <t>37-11-1A</t>
  </si>
  <si>
    <t>Deteccion de vibracion radial de eje de alta del reductor lado no acoplado</t>
  </si>
  <si>
    <t>37-11-1B</t>
  </si>
  <si>
    <t>37-21-1A</t>
  </si>
  <si>
    <t>Deteccion de vibracion radial de eje del generador lado no acoplado</t>
  </si>
  <si>
    <t>37-21-1B</t>
  </si>
  <si>
    <t>37-20-1A</t>
  </si>
  <si>
    <t>Deteccion de vibracion radial de eje del generador lado acoplado</t>
  </si>
  <si>
    <t>37-20-1B</t>
  </si>
  <si>
    <t>115SSL070B01</t>
  </si>
  <si>
    <t>205LS261B01</t>
  </si>
  <si>
    <t>205LS260B01</t>
  </si>
  <si>
    <t>205LS259B01</t>
  </si>
  <si>
    <t>205LS258B01</t>
  </si>
  <si>
    <t>205LS256B0</t>
  </si>
  <si>
    <t>205LS257B1</t>
  </si>
  <si>
    <t>320LS230B01</t>
  </si>
  <si>
    <t>320LS240B01</t>
  </si>
  <si>
    <t>305LS120B01</t>
  </si>
  <si>
    <t>330LS210B01</t>
  </si>
  <si>
    <t>PT-100</t>
  </si>
  <si>
    <t>Inlet steam Pressure indicaton</t>
  </si>
  <si>
    <t>PT-104</t>
  </si>
  <si>
    <t>Wheel case pressure</t>
  </si>
  <si>
    <t>PT-103</t>
  </si>
  <si>
    <t xml:space="preserve">Extarction   steam pressure  </t>
  </si>
  <si>
    <t>PT-105</t>
  </si>
  <si>
    <t>FOR AUTO GLABD SEALING CONROL</t>
  </si>
  <si>
    <t>PT-101</t>
  </si>
  <si>
    <t>Exhaust steam pr</t>
  </si>
  <si>
    <t>PT-200</t>
  </si>
  <si>
    <t>Lube oil pr indication</t>
  </si>
  <si>
    <t>PT-201</t>
  </si>
  <si>
    <t>Control oil pr indication</t>
  </si>
  <si>
    <t>PT-300</t>
  </si>
  <si>
    <t>Condenser header pressure indicator</t>
  </si>
  <si>
    <t>LT-200</t>
  </si>
  <si>
    <t>Oil tank level high alarm</t>
  </si>
  <si>
    <t>LT-300</t>
  </si>
  <si>
    <t>TE-100</t>
  </si>
  <si>
    <t>Inlet steam temp indication in Gauge panel</t>
  </si>
  <si>
    <t>TE-104</t>
  </si>
  <si>
    <t>Inlet steam temp indication for PLC</t>
  </si>
  <si>
    <t>TE-109</t>
  </si>
  <si>
    <t>Nozzle chest temp</t>
  </si>
  <si>
    <t>TE-107</t>
  </si>
  <si>
    <t>Bottom casing temp</t>
  </si>
  <si>
    <t>TE-108</t>
  </si>
  <si>
    <t>Top casing temp</t>
  </si>
  <si>
    <t>TE-103</t>
  </si>
  <si>
    <t>Extarction steam temp</t>
  </si>
  <si>
    <t>TE-106</t>
  </si>
  <si>
    <t>Extarction steam temp to DCS</t>
  </si>
  <si>
    <t>TE-101</t>
  </si>
  <si>
    <t>Exhaust steam indication in gauge panel</t>
  </si>
  <si>
    <t>RTD-100</t>
  </si>
  <si>
    <t>exhaust hood spray</t>
  </si>
  <si>
    <t>RTD-300</t>
  </si>
  <si>
    <t>Condenser header temeprature indicator</t>
  </si>
  <si>
    <t>RTD-218</t>
  </si>
  <si>
    <t>Lube oil temp before cooler</t>
  </si>
  <si>
    <t>RTD-219</t>
  </si>
  <si>
    <t>Lube oil temp after cooler</t>
  </si>
  <si>
    <t>RTD-223</t>
  </si>
  <si>
    <t>Oil tank temp</t>
  </si>
  <si>
    <t>RTD-200</t>
  </si>
  <si>
    <t>Turbine journal bearings, steam end.</t>
  </si>
  <si>
    <t>RTD-201</t>
  </si>
  <si>
    <t>Turbine journal bearings, exhaust end.</t>
  </si>
  <si>
    <t xml:space="preserve"> RTD 202 </t>
  </si>
  <si>
    <t>Gearbox bearings.</t>
  </si>
  <si>
    <t>RTD 203</t>
  </si>
  <si>
    <t>RTD 204</t>
  </si>
  <si>
    <t>RTD 205</t>
  </si>
  <si>
    <t>RTD 221</t>
  </si>
  <si>
    <t>Turbine thrust brg temp</t>
  </si>
  <si>
    <t>RTD 222</t>
  </si>
  <si>
    <t>RTD 206</t>
  </si>
  <si>
    <t>Alternator winding</t>
  </si>
  <si>
    <t>RTD 207</t>
  </si>
  <si>
    <t>RTD 208</t>
  </si>
  <si>
    <t>RTD 209</t>
  </si>
  <si>
    <t>RTD 210</t>
  </si>
  <si>
    <t>RTD 211</t>
  </si>
  <si>
    <t xml:space="preserve"> RTD 212 </t>
  </si>
  <si>
    <t>Alternator bearing temp</t>
  </si>
  <si>
    <t>RTD 213</t>
  </si>
  <si>
    <t>RTD 214</t>
  </si>
  <si>
    <t>Alternator air temp</t>
  </si>
  <si>
    <t>RTD 215</t>
  </si>
  <si>
    <t>RTD 216</t>
  </si>
  <si>
    <t>RTD 217</t>
  </si>
  <si>
    <t>PSH-100</t>
  </si>
  <si>
    <t>Exhuast  pressure high alarm</t>
  </si>
  <si>
    <t>PSHH-100</t>
  </si>
  <si>
    <t>Exhuast  pressure high trip</t>
  </si>
  <si>
    <t>PS-200</t>
  </si>
  <si>
    <t>Auto start/stop AOP</t>
  </si>
  <si>
    <t>PS-201</t>
  </si>
  <si>
    <t>Auto start/stop EOP</t>
  </si>
  <si>
    <t>PS-202</t>
  </si>
  <si>
    <t>Lube oil pressure low</t>
  </si>
  <si>
    <t>PS-203</t>
  </si>
  <si>
    <t>Lube oil pressure trip</t>
  </si>
  <si>
    <t>PS-204</t>
  </si>
  <si>
    <t>Barring gear motor I /l</t>
  </si>
  <si>
    <t>PS-207</t>
  </si>
  <si>
    <t>Control oil pr low alarm</t>
  </si>
  <si>
    <t>PS-208</t>
  </si>
  <si>
    <t>Control oil pr very low trip/alarm</t>
  </si>
  <si>
    <t>PS-209</t>
  </si>
  <si>
    <t>Auto Start /Stop of ACOP-1</t>
  </si>
  <si>
    <t>PS-210</t>
  </si>
  <si>
    <t>Auto Start /Stop of ACOP-2</t>
  </si>
  <si>
    <t>PS-211</t>
  </si>
  <si>
    <t>Trip oil to LP trip Pr low Alaram</t>
  </si>
  <si>
    <t>PSL-300</t>
  </si>
  <si>
    <t>Aut start of stand by CEP</t>
  </si>
  <si>
    <t>PS300</t>
  </si>
  <si>
    <t>Condenser heater PR</t>
  </si>
  <si>
    <t>DPT-200</t>
  </si>
  <si>
    <t>Diff pr across lube oil filter</t>
  </si>
  <si>
    <t>DPT-201</t>
  </si>
  <si>
    <t>Diff pr across Control oil filter</t>
  </si>
  <si>
    <t>TAL 100</t>
  </si>
  <si>
    <t>Alarma de temperatura  baja ingreso de vapor</t>
  </si>
  <si>
    <t>TALL 100</t>
  </si>
  <si>
    <t>Alarma de temperatura baja  baja ingreso de vapor</t>
  </si>
  <si>
    <t>TAH 100</t>
  </si>
  <si>
    <t>Alarma de temperatura alta ingreso de vapor</t>
  </si>
  <si>
    <t>TAHH 100</t>
  </si>
  <si>
    <t>Alarma de temperatura alta alta  ingreso de vapor</t>
  </si>
  <si>
    <t>TAH 101</t>
  </si>
  <si>
    <t>Alarma de temperatura alta vapor exhaustor</t>
  </si>
  <si>
    <t>TAHH 101</t>
  </si>
  <si>
    <t>Alarma de temperatura alta alta vapor exhaustor</t>
  </si>
  <si>
    <t>MPU-200</t>
  </si>
  <si>
    <t>Speed sensing Redundant 1</t>
  </si>
  <si>
    <t>MPU-201</t>
  </si>
  <si>
    <t>Speed sensing Redundant 2</t>
  </si>
  <si>
    <t>MPU-202</t>
  </si>
  <si>
    <t>Speed sensing Redundant 3</t>
  </si>
  <si>
    <t>MPU-203</t>
  </si>
  <si>
    <t>Speed sensing Redundant 4</t>
  </si>
  <si>
    <t>MPU-204</t>
  </si>
  <si>
    <t>Speed sensing Redundant 5</t>
  </si>
  <si>
    <t>LS-200</t>
  </si>
  <si>
    <t>LS-201</t>
  </si>
  <si>
    <t>Oil tank level indication</t>
  </si>
  <si>
    <t>LSH-300</t>
  </si>
  <si>
    <t>Hotwell level high</t>
  </si>
  <si>
    <t>LSHH-300</t>
  </si>
  <si>
    <t>Hotwell level V hiigh</t>
  </si>
  <si>
    <t>LSL-300</t>
  </si>
  <si>
    <t>Hotwell level low</t>
  </si>
  <si>
    <t>LSLL- 300</t>
  </si>
  <si>
    <t>Hotwell level V low</t>
  </si>
  <si>
    <t>XE 600</t>
  </si>
  <si>
    <t>Turbine vibration at rotor fore end.( X-plane)</t>
  </si>
  <si>
    <t>XE 601</t>
  </si>
  <si>
    <t>Turbine vibration at rotor fore end.( Y-plane)</t>
  </si>
  <si>
    <t>XE 602</t>
  </si>
  <si>
    <t>Turbine vibration at rotor after end.( X-plane)</t>
  </si>
  <si>
    <t>XE 603</t>
  </si>
  <si>
    <t>Turbine vibration at rotor after end.( Y-plane)</t>
  </si>
  <si>
    <t>XE 604</t>
  </si>
  <si>
    <t>Pinion vibration fore end ( X-plane)</t>
  </si>
  <si>
    <t>XE 605</t>
  </si>
  <si>
    <t>Pinion vibration fore end ( Y-plane)</t>
  </si>
  <si>
    <t>XE 606</t>
  </si>
  <si>
    <t>Pinion vibration after end ( X-plane)</t>
  </si>
  <si>
    <t>XE 607</t>
  </si>
  <si>
    <t>Pinion vibration after end ( Y-plane)</t>
  </si>
  <si>
    <t>XIT-1101</t>
  </si>
  <si>
    <t>PCV0201</t>
  </si>
  <si>
    <t>XIT - 1102</t>
  </si>
  <si>
    <t>PCV0202</t>
  </si>
  <si>
    <t>XIT - 1103</t>
  </si>
  <si>
    <t>LCV0101</t>
  </si>
  <si>
    <t>XIT - 1104</t>
  </si>
  <si>
    <t>LCV0102</t>
  </si>
  <si>
    <t>TCV1201</t>
  </si>
  <si>
    <t>305FT100B01</t>
  </si>
  <si>
    <t>XV1101</t>
  </si>
  <si>
    <t>315BT010B01</t>
  </si>
  <si>
    <t>PCV1201</t>
  </si>
  <si>
    <t>315BT020B02</t>
  </si>
  <si>
    <t>XV0201</t>
  </si>
  <si>
    <t>XV0202</t>
  </si>
  <si>
    <t>XV0203</t>
  </si>
  <si>
    <t>XV0204</t>
  </si>
  <si>
    <t>XV0205</t>
  </si>
  <si>
    <t>MOV1208</t>
  </si>
  <si>
    <t>TCV0104</t>
  </si>
  <si>
    <t>TCV0103</t>
  </si>
  <si>
    <t>PCV0101</t>
  </si>
  <si>
    <t>TCV0101</t>
  </si>
  <si>
    <t>TCV0102</t>
  </si>
  <si>
    <t>LCV1101</t>
  </si>
  <si>
    <t>350XV01</t>
  </si>
  <si>
    <t>345BCV180B01</t>
  </si>
  <si>
    <t>345TCV180B01</t>
  </si>
  <si>
    <t>355LCV240B01</t>
  </si>
  <si>
    <t>355XV260B01</t>
  </si>
  <si>
    <t>350XV02</t>
  </si>
  <si>
    <t>305FCV040B01</t>
  </si>
  <si>
    <t>305XV190B01</t>
  </si>
  <si>
    <t>305LCV010B01</t>
  </si>
  <si>
    <t>305XV140B01</t>
  </si>
  <si>
    <t>305FCV130B01</t>
  </si>
  <si>
    <t>305FCV190B01</t>
  </si>
  <si>
    <t>330ZTT210B01</t>
  </si>
  <si>
    <t>335TCV100B01</t>
  </si>
  <si>
    <t>335TCV110B01</t>
  </si>
  <si>
    <t>335BCV180B01</t>
  </si>
  <si>
    <t>335XV180B01</t>
  </si>
  <si>
    <t>335BCV210B01</t>
  </si>
  <si>
    <t>335XV210B01</t>
  </si>
  <si>
    <t>335XV210B02</t>
  </si>
  <si>
    <t>335BCV240B01</t>
  </si>
  <si>
    <t>335XV240B01</t>
  </si>
  <si>
    <t>335XV240B02</t>
  </si>
  <si>
    <t>335XV280B01</t>
  </si>
  <si>
    <t>335BCV200B01</t>
  </si>
  <si>
    <t>335BCV200B02</t>
  </si>
  <si>
    <t>335BCV200B03</t>
  </si>
  <si>
    <t>335BCV200B04</t>
  </si>
  <si>
    <t>335BCV200B05</t>
  </si>
  <si>
    <t>335BCV200B06</t>
  </si>
  <si>
    <t>335BCV200B07</t>
  </si>
  <si>
    <t>335BCV200B08</t>
  </si>
  <si>
    <t>335BCV200B09</t>
  </si>
  <si>
    <t>335BCV200B10</t>
  </si>
  <si>
    <t>335PCB200B01</t>
  </si>
  <si>
    <t>335BCV230B01</t>
  </si>
  <si>
    <t>335BCV230B02</t>
  </si>
  <si>
    <t>335BCV230B03</t>
  </si>
  <si>
    <t>335BCV230B04</t>
  </si>
  <si>
    <t>335BCV230B05</t>
  </si>
  <si>
    <t>335BCV230B06</t>
  </si>
  <si>
    <t>335BCV230B07</t>
  </si>
  <si>
    <t>335BCV230B08</t>
  </si>
  <si>
    <t>335PCB200B02</t>
  </si>
  <si>
    <t>335BCV260B01</t>
  </si>
  <si>
    <t>335BCV260B02</t>
  </si>
  <si>
    <t>335BCV260B03</t>
  </si>
  <si>
    <t>335BCV260B04</t>
  </si>
  <si>
    <t>335BCV260B05</t>
  </si>
  <si>
    <t>335BCV260B06</t>
  </si>
  <si>
    <t>335BCV260B07</t>
  </si>
  <si>
    <t>335BCV260B08</t>
  </si>
  <si>
    <t>335PCB200B03</t>
  </si>
  <si>
    <t>355XV130B01</t>
  </si>
  <si>
    <t>355XV150B01</t>
  </si>
  <si>
    <t>355XV140B01</t>
  </si>
  <si>
    <t>370XV040B01</t>
  </si>
  <si>
    <t>370XV040B02</t>
  </si>
  <si>
    <t>370XV010B02</t>
  </si>
  <si>
    <t>370XV010B03</t>
  </si>
  <si>
    <t>370XV010B04</t>
  </si>
  <si>
    <t>370XV010B05</t>
  </si>
  <si>
    <t>370XV010B01</t>
  </si>
  <si>
    <t>370XV020B02</t>
  </si>
  <si>
    <t>370XV020B03</t>
  </si>
  <si>
    <t>370XV020B04</t>
  </si>
  <si>
    <t>370XV020B05</t>
  </si>
  <si>
    <t>370XV020B01</t>
  </si>
  <si>
    <t>370XV030B02</t>
  </si>
  <si>
    <t>370XV030B03</t>
  </si>
  <si>
    <t>370XV030B04</t>
  </si>
  <si>
    <t>370XV030B05</t>
  </si>
  <si>
    <t>370XV030B01</t>
  </si>
  <si>
    <t>370XV040B03</t>
  </si>
  <si>
    <t>370XV040B04</t>
  </si>
  <si>
    <t>370XV040B05</t>
  </si>
  <si>
    <t>335PCV240B02</t>
  </si>
  <si>
    <t>370XV050B02</t>
  </si>
  <si>
    <t>370XV050B03</t>
  </si>
  <si>
    <t>370XV050B04</t>
  </si>
  <si>
    <t>370XV060B02</t>
  </si>
  <si>
    <t>370XV060B03</t>
  </si>
  <si>
    <t>370XV060B04</t>
  </si>
  <si>
    <t>370XV060B01</t>
  </si>
  <si>
    <t>205TCV270B01</t>
  </si>
  <si>
    <t>205TCV220B01</t>
  </si>
  <si>
    <t>205TCV230B01</t>
  </si>
  <si>
    <t>205TCV240B01</t>
  </si>
  <si>
    <t>205TCV250B01</t>
  </si>
  <si>
    <t>205TCV260B01</t>
  </si>
  <si>
    <t>305XV020B01</t>
  </si>
  <si>
    <t>305XV010B02</t>
  </si>
  <si>
    <t>305XV010B01</t>
  </si>
  <si>
    <t>205PHCV180B01</t>
  </si>
  <si>
    <t>205PHCV180B02</t>
  </si>
  <si>
    <t>205FCV180B01</t>
  </si>
  <si>
    <t>307PCV150B01</t>
  </si>
  <si>
    <t>315FCV100B01</t>
  </si>
  <si>
    <t>315FCV100B02</t>
  </si>
  <si>
    <t>355XV310B01</t>
  </si>
  <si>
    <t>355XV310B02</t>
  </si>
  <si>
    <t>355XV310B03</t>
  </si>
  <si>
    <t>PCV0801</t>
  </si>
  <si>
    <t>325XV110B01</t>
  </si>
  <si>
    <t>325TIC110B01</t>
  </si>
  <si>
    <t>325TIC140B01</t>
  </si>
  <si>
    <t>305TCV230B01</t>
  </si>
  <si>
    <t>305TCV240B01</t>
  </si>
  <si>
    <t>320LCV010B01</t>
  </si>
  <si>
    <t>320LCV020B01</t>
  </si>
  <si>
    <t>320LCV030B01</t>
  </si>
  <si>
    <t>320LCV040B01</t>
  </si>
  <si>
    <t>320LCV050B01</t>
  </si>
  <si>
    <t>320LCV070B01</t>
  </si>
  <si>
    <t>320LCV060B01</t>
  </si>
  <si>
    <t>320LCV080B01</t>
  </si>
  <si>
    <t>320XV010B01</t>
  </si>
  <si>
    <t>320XV020B01</t>
  </si>
  <si>
    <t>320XV030B01</t>
  </si>
  <si>
    <t>320XV040B01</t>
  </si>
  <si>
    <t>320XV050B01</t>
  </si>
  <si>
    <t>320XV060B01</t>
  </si>
  <si>
    <t>320XV070B01</t>
  </si>
  <si>
    <t>320XV080B01</t>
  </si>
  <si>
    <t>XV0320</t>
  </si>
  <si>
    <t>XV0321</t>
  </si>
  <si>
    <t>XV0322</t>
  </si>
  <si>
    <t>XV0323</t>
  </si>
  <si>
    <t>XV0324</t>
  </si>
  <si>
    <t>XV0325</t>
  </si>
  <si>
    <t>370XV070B02</t>
  </si>
  <si>
    <t>370XV070B03</t>
  </si>
  <si>
    <t>370XV070B04</t>
  </si>
  <si>
    <t>370XV070B01</t>
  </si>
  <si>
    <t>370XV080B02</t>
  </si>
  <si>
    <t>370XV080B03</t>
  </si>
  <si>
    <t>370XV080B04</t>
  </si>
  <si>
    <t>370XV080B01</t>
  </si>
  <si>
    <t>210LCV080B01</t>
  </si>
  <si>
    <t>WE-001-1A</t>
  </si>
  <si>
    <t>Celda de carga #1 de balanza A - linea 1</t>
  </si>
  <si>
    <t>WE-002-1A</t>
  </si>
  <si>
    <t>Celda de carga #2 de balanza A - linea 1</t>
  </si>
  <si>
    <t>WE-003-1A</t>
  </si>
  <si>
    <t>Celda de carga #3 de balanza A - linea 1</t>
  </si>
  <si>
    <t>WE-001-1B</t>
  </si>
  <si>
    <t>Celda de carga #1 de balanza B - linea 1</t>
  </si>
  <si>
    <t>WE-002-1B</t>
  </si>
  <si>
    <t>Celda de carga #2 de balanza B - linea 1</t>
  </si>
  <si>
    <t>WE-003-1B</t>
  </si>
  <si>
    <t>Celda de carga #3 de balanza B - linea 1</t>
  </si>
  <si>
    <t>WE-004-2A</t>
  </si>
  <si>
    <t>Celda de carga #1 de balanza A - linea 2</t>
  </si>
  <si>
    <t>WE-005-2A</t>
  </si>
  <si>
    <t>Celda de carga #2 de balanza A - linea 2</t>
  </si>
  <si>
    <t>WE-006-2A</t>
  </si>
  <si>
    <t>Celda de carga #3 de balanza A - linea 2</t>
  </si>
  <si>
    <t>WE-004-2B</t>
  </si>
  <si>
    <t>Celda de carga #1 de balanza B - linea 2</t>
  </si>
  <si>
    <t>WE-005-2B</t>
  </si>
  <si>
    <t>Celda de carga #2 de balanza B - linea 2</t>
  </si>
  <si>
    <t>WE-006-2B</t>
  </si>
  <si>
    <t>Celda de carga #3 de balanza B - linea 2</t>
  </si>
  <si>
    <t>WE-001-3A</t>
  </si>
  <si>
    <t>Celda de carga #1 de balanza A - linea 3</t>
  </si>
  <si>
    <t>WE-002-3A</t>
  </si>
  <si>
    <t>Celda de carga #2 de balanza A - linea 3</t>
  </si>
  <si>
    <t>P-001-1A</t>
  </si>
  <si>
    <t>P-002-1A</t>
  </si>
  <si>
    <t>P-003-1A</t>
  </si>
  <si>
    <t>P-004-1AB</t>
  </si>
  <si>
    <t>P-001-1B</t>
  </si>
  <si>
    <t>P-002-1B</t>
  </si>
  <si>
    <t>P-003-1B</t>
  </si>
  <si>
    <t>P-001-2A</t>
  </si>
  <si>
    <t>P-002-2A</t>
  </si>
  <si>
    <t>P-003-2A</t>
  </si>
  <si>
    <t>P-004-2AB</t>
  </si>
  <si>
    <t>P-001-2B</t>
  </si>
  <si>
    <t>P-002-2B</t>
  </si>
  <si>
    <t>P-003-2B</t>
  </si>
  <si>
    <t>S-001-1A</t>
  </si>
  <si>
    <t>S-001-1B</t>
  </si>
  <si>
    <t>S-001-1AB</t>
  </si>
  <si>
    <t>S-001-2A</t>
  </si>
  <si>
    <t>S-001-2B</t>
  </si>
  <si>
    <t>S-001-2AB</t>
  </si>
  <si>
    <t>UM-001-1A</t>
  </si>
  <si>
    <t>Filtro regulado aire suministro para accionamiento en balanza A - Silo 1</t>
  </si>
  <si>
    <t>UM-001-1B</t>
  </si>
  <si>
    <t>filtro regulado aire suministro para accionamiento en balanza B - Silo 1</t>
  </si>
  <si>
    <t>UM-001-2A</t>
  </si>
  <si>
    <t>UM-001-2B</t>
  </si>
  <si>
    <t>Ffiltro regulado aire suministro para accionamiento en balanza B - Silo 2</t>
  </si>
  <si>
    <t>WI-001-1A</t>
  </si>
  <si>
    <t>Indicador de peso balanza A - Silo 1</t>
  </si>
  <si>
    <t>WI-001-1B</t>
  </si>
  <si>
    <t>Indicador de peso balanza B - Silo 1</t>
  </si>
  <si>
    <t>WI-001-2A</t>
  </si>
  <si>
    <t>Indicador de peso balanza A - Silo 2</t>
  </si>
  <si>
    <t>WI-002-2B</t>
  </si>
  <si>
    <t>Indicador de peso balanza B - Silo 2</t>
  </si>
  <si>
    <t>WE-003-3B</t>
  </si>
  <si>
    <t>Celda de carga #3 de balanza A - linea 3</t>
  </si>
  <si>
    <t>WE-004-3B</t>
  </si>
  <si>
    <t>Celda de carga #4 de balanza A - linea 3</t>
  </si>
  <si>
    <t>E-001-1A</t>
  </si>
  <si>
    <t>E-002-1A</t>
  </si>
  <si>
    <t>E-003-1A</t>
  </si>
  <si>
    <t>E-004-1AB</t>
  </si>
  <si>
    <t>Control de apertura y cierre de prensasacos</t>
  </si>
  <si>
    <t>E-001-1B</t>
  </si>
  <si>
    <t>E-002-1B</t>
  </si>
  <si>
    <t>E-003-1B</t>
  </si>
  <si>
    <t>E-001-2A</t>
  </si>
  <si>
    <t>E-002-2A</t>
  </si>
  <si>
    <t>E-003-2A</t>
  </si>
  <si>
    <t>E-004-2AB</t>
  </si>
  <si>
    <t>E-001-2B</t>
  </si>
  <si>
    <t>E-002-2B</t>
  </si>
  <si>
    <t>E-003-2B</t>
  </si>
  <si>
    <t>WE-001-3B</t>
  </si>
  <si>
    <t>Celda de carga #1 de balanza B - linea 3</t>
  </si>
  <si>
    <t>WE-002-3B</t>
  </si>
  <si>
    <t>Celda de carga #2 de balanza B - linea 3</t>
  </si>
  <si>
    <t>Celda de carga #3 de balanza B - linea 3</t>
  </si>
  <si>
    <t>Celda de carga #4 de balanza B - linea 3</t>
  </si>
  <si>
    <t>WI-001-3B</t>
  </si>
  <si>
    <t>Indicador de peso balanza A - Silo 3</t>
  </si>
  <si>
    <t>WI-002-3B</t>
  </si>
  <si>
    <t>Indicador de peso balanza B - Silo 3</t>
  </si>
  <si>
    <t>P-001-3A</t>
  </si>
  <si>
    <t>P-002-3A</t>
  </si>
  <si>
    <t>P-001-3B</t>
  </si>
  <si>
    <t>P-002-3B</t>
  </si>
  <si>
    <t>P-001-3AB</t>
  </si>
  <si>
    <t xml:space="preserve"> Apertura y cierre de prensasacos #1</t>
  </si>
  <si>
    <t>P-002-3AB</t>
  </si>
  <si>
    <t>Apertura y cierre de prensasacos #2</t>
  </si>
  <si>
    <t>E-001-3A</t>
  </si>
  <si>
    <t>E-002-3A</t>
  </si>
  <si>
    <t>E-001-3B</t>
  </si>
  <si>
    <t>E-002-3B</t>
  </si>
  <si>
    <t>E-001-3AB</t>
  </si>
  <si>
    <t>S-001-3AB</t>
  </si>
  <si>
    <t>UM-001-3A</t>
  </si>
  <si>
    <t>Filtro regulado aire suministro para accionamiento en balanza A - Silo 3</t>
  </si>
  <si>
    <t>UM-001-3B</t>
  </si>
  <si>
    <t>Ffiltro regulado aire suministro para accionamiento en balanza B - Silo 3</t>
  </si>
  <si>
    <t>OWS1</t>
  </si>
  <si>
    <t>Tablero de periferia en Asset Turbina</t>
  </si>
  <si>
    <t>OWS2</t>
  </si>
  <si>
    <t>OWS3</t>
  </si>
  <si>
    <t>Tablero de periferia en Asset Caldera</t>
  </si>
  <si>
    <t>OWS4</t>
  </si>
  <si>
    <t>Tablero de periferia en Asset Cocimiento</t>
  </si>
  <si>
    <t>OWS6</t>
  </si>
  <si>
    <t>Tablero de periferia en Asset Difusor</t>
  </si>
  <si>
    <t>OWS7</t>
  </si>
  <si>
    <t>OWS8</t>
  </si>
  <si>
    <t>Tablero de periferia en Asset Process Houses</t>
  </si>
  <si>
    <t>OWS9</t>
  </si>
  <si>
    <t>OWS10</t>
  </si>
  <si>
    <t>EWS</t>
  </si>
  <si>
    <t>SRV1A</t>
  </si>
  <si>
    <t>Servidor del DCS Experion PKS</t>
  </si>
  <si>
    <t>SRV1B</t>
  </si>
  <si>
    <t>Tablero de periferia en Asset Process House</t>
  </si>
  <si>
    <t>Tablero de periferia en Asset PH &amp; Cpan</t>
  </si>
  <si>
    <t>CABINET - PGM</t>
  </si>
  <si>
    <t>Tablero de controladores de red Profibus DP</t>
  </si>
  <si>
    <t xml:space="preserve">CABINET - CONTROLLER </t>
  </si>
  <si>
    <t>Tablero de controladores C300 - Planta</t>
  </si>
  <si>
    <t>CABINET - POWER SUPPLY</t>
  </si>
  <si>
    <t>CABINET - MODBUS</t>
  </si>
  <si>
    <t>C300 - BOILER</t>
  </si>
  <si>
    <t>Controlador C300 en Asset Caldera</t>
  </si>
  <si>
    <t>C300 - TRURBINE</t>
  </si>
  <si>
    <t>Controlador C300 en Asset Turbina</t>
  </si>
  <si>
    <t>C300 - DIFFUSER</t>
  </si>
  <si>
    <t>Controlador C300 en Asset Difusor</t>
  </si>
  <si>
    <t>C300 - PROCESS HOUSE</t>
  </si>
  <si>
    <t>Controlador C300 en Asset Process House</t>
  </si>
  <si>
    <t>C300 - CPAN</t>
  </si>
  <si>
    <t>Controlador C300 en Asset Cocimiento</t>
  </si>
  <si>
    <t xml:space="preserve"> C300 - FABRICA</t>
  </si>
  <si>
    <t>Controlador C300 en Asset PH &amp; Cpan</t>
  </si>
  <si>
    <t>FTE - GREEN</t>
  </si>
  <si>
    <t>Switch de la red FTE -  green</t>
  </si>
  <si>
    <t>FTE - YELLOW</t>
  </si>
  <si>
    <t>Switch de la red FTE -  yellow</t>
  </si>
  <si>
    <t>Mesa de caña</t>
  </si>
  <si>
    <t>Salida de bagazo de molino secador</t>
  </si>
  <si>
    <t>Nivelador de cama de bagazo en difusor</t>
  </si>
  <si>
    <t>Descarga de centrifugas continuas</t>
  </si>
  <si>
    <t>Pug mill A - Centrifugas batch</t>
  </si>
  <si>
    <t>Vista global de tanques de jarabe 1,2 y 3</t>
  </si>
  <si>
    <t>Vista global de tacho continuo A.</t>
  </si>
  <si>
    <t xml:space="preserve">Faja de azucar seca a Silo </t>
  </si>
  <si>
    <t>Nivel de agua en domo</t>
  </si>
  <si>
    <t>Chute alimentadores de bagazo</t>
  </si>
  <si>
    <t>Faja 1003 - Conductor distribuidor de bagazo</t>
  </si>
  <si>
    <t>Faja 1008 - Tolva de retorno de bagazo</t>
  </si>
  <si>
    <t>Faja 1006A - Patio de Bagazo</t>
  </si>
  <si>
    <t>Vista global de sala turbina TGM</t>
  </si>
  <si>
    <t>Vista global de planta de osmosis</t>
  </si>
  <si>
    <t>#</t>
  </si>
  <si>
    <t>TURNO</t>
  </si>
  <si>
    <t>ABRIL</t>
  </si>
  <si>
    <t>JULIO</t>
  </si>
  <si>
    <t>Semana 15</t>
  </si>
  <si>
    <t>Semana 16</t>
  </si>
  <si>
    <t>Semana 19</t>
  </si>
  <si>
    <t>Semana 21</t>
  </si>
  <si>
    <t>Semana 22</t>
  </si>
  <si>
    <t>Semana 23</t>
  </si>
  <si>
    <t>SEMANA</t>
  </si>
  <si>
    <t>OT-I-P-001269</t>
  </si>
  <si>
    <t>OT-I-P-001270</t>
  </si>
  <si>
    <t>OT-I-P-001271</t>
  </si>
  <si>
    <t>OT-I-P-001272</t>
  </si>
  <si>
    <t>OT-I-P-001273</t>
  </si>
  <si>
    <t>OT-I-P-001274</t>
  </si>
  <si>
    <t>OT-I-P-001275</t>
  </si>
  <si>
    <t>OT-I-P-001276</t>
  </si>
  <si>
    <t>OT-I-P-001277</t>
  </si>
  <si>
    <t>OT-I-P-001278</t>
  </si>
  <si>
    <t>OT-I-P-001279</t>
  </si>
  <si>
    <t>OT-I-P-001280</t>
  </si>
  <si>
    <t>OT-I-P-001281</t>
  </si>
  <si>
    <t>OT-I-P-001282</t>
  </si>
  <si>
    <t>OT-I-P-001283</t>
  </si>
  <si>
    <t>OT-I-P-001284</t>
  </si>
  <si>
    <t>OT-I-P-001285</t>
  </si>
  <si>
    <t>OT-I-P-001286</t>
  </si>
  <si>
    <t>OT-I-P-001287</t>
  </si>
  <si>
    <t>OT-I-P-001288</t>
  </si>
  <si>
    <t>OT-I-P-001289</t>
  </si>
  <si>
    <t>OT-I-P-001290</t>
  </si>
  <si>
    <t>OT-I-P-001291</t>
  </si>
  <si>
    <t>OT-I-P-001292</t>
  </si>
  <si>
    <t>OT-I-P-001293</t>
  </si>
  <si>
    <t>OT-I-P-001294</t>
  </si>
  <si>
    <t>OT-I-P-001295</t>
  </si>
  <si>
    <t>OT-I-P-001296</t>
  </si>
  <si>
    <t>OT-I-P-001297</t>
  </si>
  <si>
    <t>OT-I-P-001298</t>
  </si>
  <si>
    <t>OT-I-P-001299</t>
  </si>
  <si>
    <t>OT-I-P-001300</t>
  </si>
  <si>
    <t>OT-I-P-001301</t>
  </si>
  <si>
    <t>OT-I-P-001302</t>
  </si>
  <si>
    <t>OT-I-P-001303</t>
  </si>
  <si>
    <t>OT-I-P-001304</t>
  </si>
  <si>
    <t>OT-I-P-001305</t>
  </si>
  <si>
    <t>OT-I-P-001306</t>
  </si>
  <si>
    <t>OT-I-P-001307</t>
  </si>
  <si>
    <t>OT-I-P-001308</t>
  </si>
  <si>
    <t>OT-I-P-001309</t>
  </si>
  <si>
    <t>OT-I-P-001310</t>
  </si>
  <si>
    <t>OT-I-P-001311</t>
  </si>
  <si>
    <t>OT-I-P-001312</t>
  </si>
  <si>
    <t>OT-I-P-001313</t>
  </si>
  <si>
    <t>OT-I-P-001314</t>
  </si>
  <si>
    <t>OT-I-P-001315</t>
  </si>
  <si>
    <t>OT-I-P-001316</t>
  </si>
  <si>
    <t>OT-I-P-001317</t>
  </si>
  <si>
    <t>OT-I-P-001318</t>
  </si>
  <si>
    <t>OT-I-P-001319</t>
  </si>
  <si>
    <t>OT-I-P-001320</t>
  </si>
  <si>
    <t>OT-I-P-001321</t>
  </si>
  <si>
    <t>OT-I-P-001322</t>
  </si>
  <si>
    <t>OT-I-P-001323</t>
  </si>
  <si>
    <t>OT-I-P-001324</t>
  </si>
  <si>
    <t>OT-I-P-001325</t>
  </si>
  <si>
    <t>OT-I-P-001326</t>
  </si>
  <si>
    <t>OT-I-P-001327</t>
  </si>
  <si>
    <t>OT-I-P-001328</t>
  </si>
  <si>
    <t>OT-I-P-001329</t>
  </si>
  <si>
    <t>OT-I-P-001330</t>
  </si>
  <si>
    <t>OT-I-P-001331</t>
  </si>
  <si>
    <t>OT-I-P-001332</t>
  </si>
  <si>
    <t>OT-I-P-001333</t>
  </si>
  <si>
    <t>OT-I-P-001334</t>
  </si>
  <si>
    <t>OT-I-P-001335</t>
  </si>
  <si>
    <t>OT-I-P-001336</t>
  </si>
  <si>
    <t>OT-I-P-001337</t>
  </si>
  <si>
    <t>OT-I-P-001338</t>
  </si>
  <si>
    <t>OT-I-P-001339</t>
  </si>
  <si>
    <t>OT-I-P-001340</t>
  </si>
  <si>
    <t>OT-I-P-001341</t>
  </si>
  <si>
    <t>OT-I-P-001342</t>
  </si>
  <si>
    <t>OT-I-P-001343</t>
  </si>
  <si>
    <t>OT-I-P-001344</t>
  </si>
  <si>
    <t>OT-I-P-001345</t>
  </si>
  <si>
    <t>OT-I-P-001346</t>
  </si>
  <si>
    <t>OT-I-P-001347</t>
  </si>
  <si>
    <t>OT-I-P-001348</t>
  </si>
  <si>
    <t>OT-I-P-001349</t>
  </si>
  <si>
    <t>OT-I-P-001350</t>
  </si>
  <si>
    <t>OT-I-P-001351</t>
  </si>
  <si>
    <t>OT-I-P-001352</t>
  </si>
  <si>
    <t>OT-I-P-001353</t>
  </si>
  <si>
    <t>OT-I-P-001354</t>
  </si>
  <si>
    <t>OT-I-P-001355</t>
  </si>
  <si>
    <t>OT-I-P-001356</t>
  </si>
  <si>
    <t>OT-I-P-001357</t>
  </si>
  <si>
    <t>OT-I-P-001358</t>
  </si>
  <si>
    <t>OT-I-P-001359</t>
  </si>
  <si>
    <t>OT-I-P-001360</t>
  </si>
  <si>
    <t>OT-I-P-001361</t>
  </si>
  <si>
    <t>OT-I-P-001362</t>
  </si>
  <si>
    <t>OT-I-P-001363</t>
  </si>
  <si>
    <t>OT-I-P-001364</t>
  </si>
  <si>
    <t>OT-I-P-001365</t>
  </si>
  <si>
    <t>OT-I-P-001366</t>
  </si>
  <si>
    <t>OT-I-P-001367</t>
  </si>
  <si>
    <t>OT-I-P-001368</t>
  </si>
  <si>
    <t>OT-I-P-001369</t>
  </si>
  <si>
    <t>OT-I-P-001370</t>
  </si>
  <si>
    <t>OT-I-P-001371</t>
  </si>
  <si>
    <t>OT-I-P-001398</t>
  </si>
  <si>
    <t>OT-I-P-001399</t>
  </si>
  <si>
    <t>OT-I-P-001400</t>
  </si>
  <si>
    <t>OT-I-P-001401</t>
  </si>
  <si>
    <t>OT-I-P-001402</t>
  </si>
  <si>
    <t>OT-I-P-001403</t>
  </si>
  <si>
    <t>OT-I-P-001404</t>
  </si>
  <si>
    <t>OT-I-P-001405</t>
  </si>
  <si>
    <t>OT-I-P-001406</t>
  </si>
  <si>
    <t>OT-I-P-001407</t>
  </si>
  <si>
    <t>OT-I-P-001408</t>
  </si>
  <si>
    <t>OT-I-P-001409</t>
  </si>
  <si>
    <t>OT-I-P-001410</t>
  </si>
  <si>
    <t>OT-I-P-001411</t>
  </si>
  <si>
    <t>OT-I-P-001412</t>
  </si>
  <si>
    <t>OT-I-P-001413</t>
  </si>
  <si>
    <t>OT-I-P-001414</t>
  </si>
  <si>
    <t>OT-I-P-001415</t>
  </si>
  <si>
    <t>OT-I-P-001416</t>
  </si>
  <si>
    <t>OT-I-P-001417</t>
  </si>
  <si>
    <t>OT-I-P-001418</t>
  </si>
  <si>
    <t>OT-I-P-001419</t>
  </si>
  <si>
    <t>OT-I-P-001420</t>
  </si>
  <si>
    <t>OT-I-P-001421</t>
  </si>
  <si>
    <t>OT-I-P-001422</t>
  </si>
  <si>
    <t>OT-I-P-001423</t>
  </si>
  <si>
    <t>OT-I-P-001424</t>
  </si>
  <si>
    <t>OT-I-P-001425</t>
  </si>
  <si>
    <t>OT-I-P-001426</t>
  </si>
  <si>
    <t>OT-I-P-001427</t>
  </si>
  <si>
    <t>OT-I-P-001428</t>
  </si>
  <si>
    <t>OT-I-P-001429</t>
  </si>
  <si>
    <t>OT-I-P-001430</t>
  </si>
  <si>
    <t>OT-I-P-001431</t>
  </si>
  <si>
    <t>OT-I-P-001432</t>
  </si>
  <si>
    <t>OT-I-P-001433</t>
  </si>
  <si>
    <t>OT-I-P-001434</t>
  </si>
  <si>
    <t>OT-I-P-001435</t>
  </si>
  <si>
    <t>OT-I-P-001436</t>
  </si>
  <si>
    <t>OT-I-P-001437</t>
  </si>
  <si>
    <t>OT-I-P-001438</t>
  </si>
  <si>
    <t>OT-I-P-001439</t>
  </si>
  <si>
    <t>OT-I-P-001440</t>
  </si>
  <si>
    <t>OT-I-P-001441</t>
  </si>
  <si>
    <t>OT-I-P-001442</t>
  </si>
  <si>
    <t>OT-I-P-001443</t>
  </si>
  <si>
    <t>OT-I-P-001444</t>
  </si>
  <si>
    <t>OT-I-P-001445</t>
  </si>
  <si>
    <t>OT-I-P-001446</t>
  </si>
  <si>
    <t>OT-I-P-001447</t>
  </si>
  <si>
    <t>OT-I-P-001448</t>
  </si>
  <si>
    <t>OT-I-P-001449</t>
  </si>
  <si>
    <t>OT-I-P-001450</t>
  </si>
  <si>
    <t>OT-I-P-001451</t>
  </si>
  <si>
    <t>OT-I-P-001452</t>
  </si>
  <si>
    <t>OT-I-P-001453</t>
  </si>
  <si>
    <t>OT-I-P-001454</t>
  </si>
  <si>
    <t>OT-I-P-001455</t>
  </si>
  <si>
    <t>OT-I-P-001456</t>
  </si>
  <si>
    <t>OT-I-P-001457</t>
  </si>
  <si>
    <t>OT-I-P-001458</t>
  </si>
  <si>
    <t>OT-I-P-001459</t>
  </si>
  <si>
    <t>OT-I-P-001460</t>
  </si>
  <si>
    <t>OT-I-P-001461</t>
  </si>
  <si>
    <t>OT-I-P-001462</t>
  </si>
  <si>
    <t>OT-I-P-001463</t>
  </si>
  <si>
    <t>OT-I-P-001464</t>
  </si>
  <si>
    <t>OT-I-P-001465</t>
  </si>
  <si>
    <t>OT-I-P-001466</t>
  </si>
  <si>
    <t>OT-I-P-001467</t>
  </si>
  <si>
    <t>OT-I-P-001468</t>
  </si>
  <si>
    <t>OT-I-P-001469</t>
  </si>
  <si>
    <t>OT-I-P-001470</t>
  </si>
  <si>
    <t>OT-I-P-001471</t>
  </si>
  <si>
    <t>OT-I-P-001472</t>
  </si>
  <si>
    <t>OT-I-P-001473</t>
  </si>
  <si>
    <t>OT-I-P-001474</t>
  </si>
  <si>
    <t>OT-I-P-001475</t>
  </si>
  <si>
    <t>OT-I-P-001476</t>
  </si>
  <si>
    <t>OT-I-P-001477</t>
  </si>
  <si>
    <t>OT-I-P-001478</t>
  </si>
  <si>
    <t>OT-I-P-001479</t>
  </si>
  <si>
    <t>OT-I-P-001480</t>
  </si>
  <si>
    <t>OT-I-P-001481</t>
  </si>
  <si>
    <t>OT-I-P-001482</t>
  </si>
  <si>
    <t>OT-I-P-001483</t>
  </si>
  <si>
    <t>OT-I-P-001484</t>
  </si>
  <si>
    <t>OT-I-P-001485</t>
  </si>
  <si>
    <t>OT-I-P-001486</t>
  </si>
  <si>
    <t>OT-I-P-001487</t>
  </si>
  <si>
    <t>OT-I-P-001488</t>
  </si>
  <si>
    <t>OT-I-P-001489</t>
  </si>
  <si>
    <t>OT-I-P-001490</t>
  </si>
  <si>
    <t>OT-I-P-001491</t>
  </si>
  <si>
    <t>OT-I-P-001492</t>
  </si>
  <si>
    <t>OT-I-P-001493</t>
  </si>
  <si>
    <t>OT-I-P-001494</t>
  </si>
  <si>
    <t>OT-I-P-001495</t>
  </si>
  <si>
    <t>OT-I-P-001496</t>
  </si>
  <si>
    <t>OT-I-P-001497</t>
  </si>
  <si>
    <t>OT-I-P-001498</t>
  </si>
  <si>
    <t>OT-I-P-001499</t>
  </si>
  <si>
    <t>OT-I-P-001500</t>
  </si>
  <si>
    <t>OT-I-P-001501</t>
  </si>
  <si>
    <t>OT-I-P-001502</t>
  </si>
  <si>
    <t>OT-I-P-001503</t>
  </si>
  <si>
    <t>OT-I-P-001504</t>
  </si>
  <si>
    <t>OT-I-P-001505</t>
  </si>
  <si>
    <t>OT-I-P-001506</t>
  </si>
  <si>
    <t>OT-I-P-001507</t>
  </si>
  <si>
    <t>OT-I-P-001508</t>
  </si>
  <si>
    <t>OT-I-P-001510</t>
  </si>
  <si>
    <t>OT-I-P-001512</t>
  </si>
  <si>
    <t>OT-I-P-001513</t>
  </si>
  <si>
    <t>OT-I-P-001517</t>
  </si>
  <si>
    <t>OT-I-P-001518</t>
  </si>
  <si>
    <t>OT-I-P-001521</t>
  </si>
  <si>
    <t>OT-I-P-001533</t>
  </si>
  <si>
    <t>OT-I-P-001535</t>
  </si>
  <si>
    <t>OT-I-P-001536</t>
  </si>
  <si>
    <t>OT-I-P-001537</t>
  </si>
  <si>
    <t>OT-I-P-001509</t>
  </si>
  <si>
    <t>OT-I-P-001511</t>
  </si>
  <si>
    <t>OT-I-P-001514</t>
  </si>
  <si>
    <t>OT-I-P-001515</t>
  </si>
  <si>
    <t>OT-I-P-001516</t>
  </si>
  <si>
    <t>OT-I-P-001519</t>
  </si>
  <si>
    <t>OT-I-P-001520</t>
  </si>
  <si>
    <t>OT-I-P-001522</t>
  </si>
  <si>
    <t>OT-I-P-001523</t>
  </si>
  <si>
    <t>OT-I-P-001524</t>
  </si>
  <si>
    <t>OT-I-P-001525</t>
  </si>
  <si>
    <t>OT-I-P-001526</t>
  </si>
  <si>
    <t>OT-I-P-001527</t>
  </si>
  <si>
    <t>OT-I-P-001528</t>
  </si>
  <si>
    <t>OT-I-P-001529</t>
  </si>
  <si>
    <t>OT-I-P-001530</t>
  </si>
  <si>
    <t>OT-I-P-001531</t>
  </si>
  <si>
    <t>OT-I-P-001532</t>
  </si>
  <si>
    <t>OT-I-P-001534</t>
  </si>
  <si>
    <t>OT-I-P-001538</t>
  </si>
  <si>
    <t>OT-I-P-001539</t>
  </si>
  <si>
    <t>OT-I-P-001540</t>
  </si>
  <si>
    <t>OT-I-P-001541</t>
  </si>
  <si>
    <t>OT-I-P-001542</t>
  </si>
  <si>
    <t>OT-I-P-001543</t>
  </si>
  <si>
    <t>OT-I-P-001544</t>
  </si>
  <si>
    <t>OT-I-P-001545</t>
  </si>
  <si>
    <t>OT-I-P-001546</t>
  </si>
  <si>
    <t>OT-I-P-001547</t>
  </si>
  <si>
    <t>OT-I-P-001548</t>
  </si>
  <si>
    <t>OT-I-P-001549</t>
  </si>
  <si>
    <t>OT-I-P-001550</t>
  </si>
  <si>
    <t>OT-I-P-001551</t>
  </si>
  <si>
    <t>OT-I-P-001552</t>
  </si>
  <si>
    <t>0100-FCC-002</t>
  </si>
  <si>
    <t>0100-FCC-003</t>
  </si>
  <si>
    <t>0200-FCC-001</t>
  </si>
  <si>
    <t>0200-FCC-003</t>
  </si>
  <si>
    <t>0300-FCC-001</t>
  </si>
  <si>
    <t>0200-FCC-002</t>
  </si>
  <si>
    <t>0300-FCC-003</t>
  </si>
  <si>
    <t>0300-FCC-014</t>
  </si>
  <si>
    <t>0400-FCC-001</t>
  </si>
  <si>
    <t>0400-FCC-002</t>
  </si>
  <si>
    <t>0400-FCC-003</t>
  </si>
  <si>
    <t>0400-FCC-004</t>
  </si>
  <si>
    <t>0400-FCC-005</t>
  </si>
  <si>
    <t>0400-FCC-006</t>
  </si>
  <si>
    <t>0400-FCC-007</t>
  </si>
  <si>
    <t>0400-FCC-008</t>
  </si>
  <si>
    <t>0300-FCC-004</t>
  </si>
  <si>
    <t>0300-FCC-006</t>
  </si>
  <si>
    <t>0300-FCC-007</t>
  </si>
  <si>
    <t>0300-FCC-009</t>
  </si>
  <si>
    <t>0300-FCC-010</t>
  </si>
  <si>
    <t>0300-FCC-012</t>
  </si>
  <si>
    <t>Explanada de Turbina Triveni</t>
  </si>
  <si>
    <t>Explanada frontal de Turbina Triveni</t>
  </si>
  <si>
    <t>EJECUTADO</t>
  </si>
  <si>
    <t>Semana 24</t>
  </si>
  <si>
    <t>OT-I-P-001566</t>
  </si>
  <si>
    <t>OT-I-P-001681</t>
  </si>
  <si>
    <t>OT-I-P-001686</t>
  </si>
  <si>
    <t>OT-I-P-001691</t>
  </si>
  <si>
    <t>OT-I-P-001704</t>
  </si>
  <si>
    <t>OT-I-P-001713</t>
  </si>
  <si>
    <t>OT-I-P-001567</t>
  </si>
  <si>
    <t>OT-I-P-001647</t>
  </si>
  <si>
    <t>OT-I-P-001660</t>
  </si>
  <si>
    <t>OT-I-P-001726</t>
  </si>
  <si>
    <t>OT-I-P-001731</t>
  </si>
  <si>
    <t>OT-I-P-001568</t>
  </si>
  <si>
    <t>OT-I-P-001614</t>
  </si>
  <si>
    <t>OT-I-P-001669</t>
  </si>
  <si>
    <t>OT-I-P-001677</t>
  </si>
  <si>
    <t>OT-I-P-001709</t>
  </si>
  <si>
    <t>OT-I-P-001722</t>
  </si>
  <si>
    <t>OT-I-P-001740</t>
  </si>
  <si>
    <t>OT-I-P-001569</t>
  </si>
  <si>
    <t>OT-I-P-001574</t>
  </si>
  <si>
    <t>OT-I-P-001575</t>
  </si>
  <si>
    <t>OT-I-P-001576</t>
  </si>
  <si>
    <t>OT-I-P-001665</t>
  </si>
  <si>
    <t>OT-I-P-001673</t>
  </si>
  <si>
    <t>OT-I-P-001570</t>
  </si>
  <si>
    <t>OT-I-P-001639</t>
  </si>
  <si>
    <t>OT-I-P-001643</t>
  </si>
  <si>
    <t>Semana 25</t>
  </si>
  <si>
    <t>0625B020</t>
  </si>
  <si>
    <t>NO EJECUTADO</t>
  </si>
  <si>
    <t>PROGRAMADO</t>
  </si>
  <si>
    <t>OT-I-P-001571</t>
  </si>
  <si>
    <t>OT-I-P-001652</t>
  </si>
  <si>
    <t>OT-I-P-001656</t>
  </si>
  <si>
    <t>OT-I-P-001736</t>
  </si>
  <si>
    <t>OT-I-P-001580</t>
  </si>
  <si>
    <t>OT-I-P-001590</t>
  </si>
  <si>
    <t>OT-I-P-001625</t>
  </si>
  <si>
    <t>OT-I-P-001696</t>
  </si>
  <si>
    <t>OT-I-P-001700</t>
  </si>
  <si>
    <t>OT-I-P-001718</t>
  </si>
  <si>
    <t>OT-I-P-001744</t>
  </si>
  <si>
    <t>OT-I-P-001557</t>
  </si>
  <si>
    <t>OT-I-P-001572</t>
  </si>
  <si>
    <t>OT-I-P-001581</t>
  </si>
  <si>
    <t>OT-I-P-001593</t>
  </si>
  <si>
    <t>OT-I-P-001682</t>
  </si>
  <si>
    <t>OT-I-P-001687</t>
  </si>
  <si>
    <t>OT-I-P-001692</t>
  </si>
  <si>
    <t>OT-I-P-001705</t>
  </si>
  <si>
    <t>OT-I-P-001714</t>
  </si>
  <si>
    <t>OT-I-P-001564</t>
  </si>
  <si>
    <t>OT-I-P-001577</t>
  </si>
  <si>
    <t>OT-I-P-001578</t>
  </si>
  <si>
    <t>OT-I-P-001579</t>
  </si>
  <si>
    <t>OT-I-P-001582</t>
  </si>
  <si>
    <t>OT-I-P-001594</t>
  </si>
  <si>
    <t>OT-I-P-001612</t>
  </si>
  <si>
    <t>OT-I-P-001648</t>
  </si>
  <si>
    <t>OT-I-P-001661</t>
  </si>
  <si>
    <t>OT-I-P-001727</t>
  </si>
  <si>
    <t>OT-I-P-001732</t>
  </si>
  <si>
    <t>OT-I-P-001563</t>
  </si>
  <si>
    <t>OT-I-P-001595</t>
  </si>
  <si>
    <t>OT-I-P-001630</t>
  </si>
  <si>
    <t>OT-I-P-001670</t>
  </si>
  <si>
    <t>OT-I-P-001678</t>
  </si>
  <si>
    <t>OT-I-P-001710</t>
  </si>
  <si>
    <t>OT-I-P-001723</t>
  </si>
  <si>
    <t>OT-I-P-001741</t>
  </si>
  <si>
    <t>OT-I-P-001573</t>
  </si>
  <si>
    <t>OT-I-P-001584</t>
  </si>
  <si>
    <t>OT-I-P-001592</t>
  </si>
  <si>
    <t>OT-I-P-001596</t>
  </si>
  <si>
    <t>OT-I-P-001629</t>
  </si>
  <si>
    <t>OT-I-P-001631</t>
  </si>
  <si>
    <t>OT-I-P-001636</t>
  </si>
  <si>
    <t>OT-I-P-001666</t>
  </si>
  <si>
    <t>OT-I-P-001674</t>
  </si>
  <si>
    <t>OT-I-P-001597</t>
  </si>
  <si>
    <t>OT-I-P-001628</t>
  </si>
  <si>
    <t>OT-I-P-001635</t>
  </si>
  <si>
    <t>OT-I-P-001640</t>
  </si>
  <si>
    <t>OT-I-P-001644</t>
  </si>
  <si>
    <t>0625B010</t>
  </si>
  <si>
    <t>OT-I-P-001556</t>
  </si>
  <si>
    <t>OT-I-P-001598</t>
  </si>
  <si>
    <t>OT-I-P-001627</t>
  </si>
  <si>
    <t>OT-I-P-001653</t>
  </si>
  <si>
    <t>OT-I-P-001657</t>
  </si>
  <si>
    <t>OT-I-P-001737</t>
  </si>
  <si>
    <t>OT-I-P-001558</t>
  </si>
  <si>
    <t>OT-I-P-001599</t>
  </si>
  <si>
    <t>OT-I-P-001626</t>
  </si>
  <si>
    <t>OT-I-P-001632</t>
  </si>
  <si>
    <t>OT-I-P-001633</t>
  </si>
  <si>
    <t>OT-I-P-001697</t>
  </si>
  <si>
    <t>OT-I-P-001701</t>
  </si>
  <si>
    <t>OT-I-P-001719</t>
  </si>
  <si>
    <t>OT-I-P-001745</t>
  </si>
  <si>
    <t>OT-I-P-001553</t>
  </si>
  <si>
    <t>OT-I-P-001587</t>
  </si>
  <si>
    <t>OT-I-P-001600</t>
  </si>
  <si>
    <t>OT-I-P-001615</t>
  </si>
  <si>
    <t>OT-I-P-001683</t>
  </si>
  <si>
    <t>OT-I-P-001688</t>
  </si>
  <si>
    <t>OT-I-P-001693</t>
  </si>
  <si>
    <t>OT-I-P-001706</t>
  </si>
  <si>
    <t>OT-I-P-001715</t>
  </si>
  <si>
    <t>OT-I-P-001583</t>
  </si>
  <si>
    <t>OT-I-P-001586</t>
  </si>
  <si>
    <t>OT-I-P-001601</t>
  </si>
  <si>
    <t>OT-I-P-001616</t>
  </si>
  <si>
    <t>OT-I-P-001649</t>
  </si>
  <si>
    <t>OT-I-P-001662</t>
  </si>
  <si>
    <t>OT-I-P-001728</t>
  </si>
  <si>
    <t>OT-I-P-001733</t>
  </si>
  <si>
    <t>OT-I-P-001602</t>
  </si>
  <si>
    <t>OT-I-P-001617</t>
  </si>
  <si>
    <t>OT-I-P-001671</t>
  </si>
  <si>
    <t>OT-I-P-001679</t>
  </si>
  <si>
    <t>OT-I-P-001711</t>
  </si>
  <si>
    <t>OT-I-P-001724</t>
  </si>
  <si>
    <t>OT-I-P-001742</t>
  </si>
  <si>
    <t>OT-I-P-001555</t>
  </si>
  <si>
    <t>OT-I-P-001585</t>
  </si>
  <si>
    <t>OT-I-P-001603</t>
  </si>
  <si>
    <t>OT-I-P-001618</t>
  </si>
  <si>
    <t>OT-I-P-001667</t>
  </si>
  <si>
    <t>OT-I-P-001675</t>
  </si>
  <si>
    <t>OT-I-P-001604</t>
  </si>
  <si>
    <t>OT-I-P-001619</t>
  </si>
  <si>
    <t>OT-I-P-001641</t>
  </si>
  <si>
    <t>OT-I-P-001645</t>
  </si>
  <si>
    <t>Semana 26</t>
  </si>
  <si>
    <t/>
  </si>
  <si>
    <t>OT-I-P-001605</t>
  </si>
  <si>
    <t>OT-I-P-001620</t>
  </si>
  <si>
    <t>OT-I-P-001654</t>
  </si>
  <si>
    <t>OT-I-P-001658</t>
  </si>
  <si>
    <t>OT-I-P-001738</t>
  </si>
  <si>
    <t>OT-I-P-001559</t>
  </si>
  <si>
    <t>OT-I-P-001588</t>
  </si>
  <si>
    <t>OT-I-P-001606</t>
  </si>
  <si>
    <t>OT-I-P-001621</t>
  </si>
  <si>
    <t>OT-I-P-001698</t>
  </si>
  <si>
    <t>OT-I-P-001702</t>
  </si>
  <si>
    <t>OT-I-P-001720</t>
  </si>
  <si>
    <t>OT-I-P-001746</t>
  </si>
  <si>
    <t>OT-I-P-001589</t>
  </si>
  <si>
    <t>OT-I-P-001607</t>
  </si>
  <si>
    <t>OT-I-P-001622</t>
  </si>
  <si>
    <t>OT-I-P-001684</t>
  </si>
  <si>
    <t>OT-I-P-001689</t>
  </si>
  <si>
    <t>OT-I-P-001694</t>
  </si>
  <si>
    <t>OT-I-P-001707</t>
  </si>
  <si>
    <t>OT-I-P-001716</t>
  </si>
  <si>
    <t>OT-I-P-001560</t>
  </si>
  <si>
    <t>OT-I-P-001561</t>
  </si>
  <si>
    <t>OT-I-P-001608</t>
  </si>
  <si>
    <t>OT-I-P-001623</t>
  </si>
  <si>
    <t>OT-I-P-001650</t>
  </si>
  <si>
    <t>OT-I-P-001663</t>
  </si>
  <si>
    <t>OT-I-P-001729</t>
  </si>
  <si>
    <t>OT-I-P-001734</t>
  </si>
  <si>
    <t>OT-I-P-001591</t>
  </si>
  <si>
    <t>OT-I-P-001609</t>
  </si>
  <si>
    <t>OT-I-P-001624</t>
  </si>
  <si>
    <t>OT-I-P-001634</t>
  </si>
  <si>
    <t>OT-I-P-001672</t>
  </si>
  <si>
    <t>OT-I-P-001680</t>
  </si>
  <si>
    <t>OT-I-P-001712</t>
  </si>
  <si>
    <t>OT-I-P-001725</t>
  </si>
  <si>
    <t>OT-I-P-001743</t>
  </si>
  <si>
    <t>OT-I-P-001610</t>
  </si>
  <si>
    <t>OT-I-P-001668</t>
  </si>
  <si>
    <t>OT-I-P-001676</t>
  </si>
  <si>
    <t>OT-I-P-001565</t>
  </si>
  <si>
    <t>OT-I-P-001611</t>
  </si>
  <si>
    <t>OT-I-P-001613</t>
  </si>
  <si>
    <t>OT-I-P-001642</t>
  </si>
  <si>
    <t>OT-I-P-001646</t>
  </si>
  <si>
    <t>Semana 27</t>
  </si>
  <si>
    <t>0625B150</t>
  </si>
  <si>
    <t>Semana 28</t>
  </si>
  <si>
    <t>OT-I-P-001554</t>
  </si>
  <si>
    <t>OT-I-P-001655</t>
  </si>
  <si>
    <t>OT-I-P-001637</t>
  </si>
  <si>
    <t>OT-I-P-001638</t>
  </si>
  <si>
    <t>OT-I-P-001659</t>
  </si>
  <si>
    <t>OT-I-P-001739</t>
  </si>
  <si>
    <t>OT-I-P-001562</t>
  </si>
  <si>
    <t>OT-I-P-001699</t>
  </si>
  <si>
    <t>OT-I-P-001703</t>
  </si>
  <si>
    <t>OT-I-P-001721</t>
  </si>
  <si>
    <t>OT-I-P-001685</t>
  </si>
  <si>
    <t>OT-I-P-001690</t>
  </si>
  <si>
    <t>OT-I-P-001695</t>
  </si>
  <si>
    <t>OT-I-P-001708</t>
  </si>
  <si>
    <t>OT-I-P-001717</t>
  </si>
  <si>
    <t>OT-I-P-001651</t>
  </si>
  <si>
    <t>OT-I-P-001664</t>
  </si>
  <si>
    <t>OT-I-P-001730</t>
  </si>
  <si>
    <t>OT-I-P-001735</t>
  </si>
  <si>
    <t>Semana 29</t>
  </si>
  <si>
    <t>OT-I-P-001785</t>
  </si>
  <si>
    <t>OT-I-P-001801</t>
  </si>
  <si>
    <t>OT-I-P-001802</t>
  </si>
  <si>
    <t>OT-I-P-001857</t>
  </si>
  <si>
    <t>OT-I-P-001867</t>
  </si>
  <si>
    <t>OT-I-P-001896</t>
  </si>
  <si>
    <t>OT-I-P-001909</t>
  </si>
  <si>
    <t>OT-I-P-001926</t>
  </si>
  <si>
    <t>OT-I-P-001786</t>
  </si>
  <si>
    <t>OT-I-P-001852</t>
  </si>
  <si>
    <t>OT-I-P-001862</t>
  </si>
  <si>
    <t>OT-I-P-001787</t>
  </si>
  <si>
    <t>OT-I-P-001809</t>
  </si>
  <si>
    <t>OT-I-P-001826</t>
  </si>
  <si>
    <t>OT-I-P-001831</t>
  </si>
  <si>
    <t>OT-I-P-001788</t>
  </si>
  <si>
    <t>OT-I-P-001840</t>
  </si>
  <si>
    <t>OT-I-P-001844</t>
  </si>
  <si>
    <t>OT-I-P-001922</t>
  </si>
  <si>
    <t>OT-I-P-001789</t>
  </si>
  <si>
    <t>OT-I-P-001817</t>
  </si>
  <si>
    <t>OT-I-P-001884</t>
  </si>
  <si>
    <t>OT-I-P-001888</t>
  </si>
  <si>
    <t>OT-I-P-001905</t>
  </si>
  <si>
    <t>OT-I-P-001931</t>
  </si>
  <si>
    <t>OT-I-P-001761</t>
  </si>
  <si>
    <t>OT-I-P-001790</t>
  </si>
  <si>
    <t>OT-I-P-001872</t>
  </si>
  <si>
    <t>OT-I-P-001876</t>
  </si>
  <si>
    <t>OT-I-P-001880</t>
  </si>
  <si>
    <t>OT-I-P-001892</t>
  </si>
  <si>
    <t>OT-I-P-001901</t>
  </si>
  <si>
    <t>OT-I-P-001811</t>
  </si>
  <si>
    <t>OT-I-P-001836</t>
  </si>
  <si>
    <t>OT-I-P-001848</t>
  </si>
  <si>
    <t>OT-I-P-001914</t>
  </si>
  <si>
    <t>OT-I-P-001918</t>
  </si>
  <si>
    <t>OT-I-P-001759</t>
  </si>
  <si>
    <t>OT-I-P-001783</t>
  </si>
  <si>
    <t>OT-I-P-001858</t>
  </si>
  <si>
    <t>OT-I-P-001868</t>
  </si>
  <si>
    <t>OT-I-P-001897</t>
  </si>
  <si>
    <t>OT-I-P-001910</t>
  </si>
  <si>
    <t>OT-I-P-001927</t>
  </si>
  <si>
    <t>OT-I-P-001780</t>
  </si>
  <si>
    <t>OT-I-P-001807</t>
  </si>
  <si>
    <t>OT-I-P-001853</t>
  </si>
  <si>
    <t>OT-I-P-001863</t>
  </si>
  <si>
    <t>OT-I-P-001779</t>
  </si>
  <si>
    <t>OT-I-P-001816</t>
  </si>
  <si>
    <t>OT-I-P-001827</t>
  </si>
  <si>
    <t>OT-I-P-001832</t>
  </si>
  <si>
    <t>210LT130B01</t>
  </si>
  <si>
    <t>CANTIDAD</t>
  </si>
  <si>
    <t>PRECIO TOTAL</t>
  </si>
  <si>
    <t>MATERIAL
CODIGO SAP</t>
  </si>
  <si>
    <t>DEPARTAMENTO</t>
  </si>
  <si>
    <t>DENOMINACIÓN</t>
  </si>
  <si>
    <t>DENOMINACION</t>
  </si>
  <si>
    <t xml:space="preserve">TANQUE DE JUGO COLADO </t>
  </si>
  <si>
    <t xml:space="preserve"> 0305TK040</t>
  </si>
  <si>
    <t xml:space="preserve">TANQUE DE JUGO CLARO </t>
  </si>
  <si>
    <t xml:space="preserve"> 0305TK190</t>
  </si>
  <si>
    <t xml:space="preserve">CLARIFICADOR SRT </t>
  </si>
  <si>
    <t xml:space="preserve"> 0305CL130</t>
  </si>
  <si>
    <t xml:space="preserve">COMPRESOR 1 </t>
  </si>
  <si>
    <t xml:space="preserve">TANQUE JUGO COLADO </t>
  </si>
  <si>
    <t xml:space="preserve"> 0305TK140</t>
  </si>
  <si>
    <t xml:space="preserve">0315TK135 </t>
  </si>
  <si>
    <t xml:space="preserve">TANQUE DE AGUA CALIENTE </t>
  </si>
  <si>
    <t xml:space="preserve"> 0375TK010</t>
  </si>
  <si>
    <t>375LT020B01</t>
  </si>
  <si>
    <t xml:space="preserve"> 0375TK020</t>
  </si>
  <si>
    <t xml:space="preserve">TANQUE DE ALMACENAMIENTO DE MELAZA </t>
  </si>
  <si>
    <t xml:space="preserve"> 0350TK140</t>
  </si>
  <si>
    <t xml:space="preserve"> 0325HX140</t>
  </si>
  <si>
    <t xml:space="preserve">TANQUE FLASH CONDENSADO </t>
  </si>
  <si>
    <t xml:space="preserve"> 0325TK080</t>
  </si>
  <si>
    <t xml:space="preserve">SPRAY POND </t>
  </si>
  <si>
    <t xml:space="preserve">TANQUE BUFFER DE JARABE </t>
  </si>
  <si>
    <t xml:space="preserve">TANQUE RECIBIDOR DE JARABE CLARO </t>
  </si>
  <si>
    <t xml:space="preserve"> 0330TK260</t>
  </si>
  <si>
    <t xml:space="preserve">CONDUCTOR PRINCIPAL </t>
  </si>
  <si>
    <t xml:space="preserve">MOTOR SWING BACK </t>
  </si>
  <si>
    <t>115TT070B02</t>
  </si>
  <si>
    <t xml:space="preserve">MOTOR PICADOR </t>
  </si>
  <si>
    <t xml:space="preserve">MOTOR DESFIBRADOR </t>
  </si>
  <si>
    <t xml:space="preserve">MOLINO SECADOR </t>
  </si>
  <si>
    <t xml:space="preserve">DIFUSOR </t>
  </si>
  <si>
    <t xml:space="preserve">CALENTADOR DE JUGO 1 </t>
  </si>
  <si>
    <t>SinTag</t>
  </si>
  <si>
    <t xml:space="preserve">CALENTADOR DE JUGO 2 </t>
  </si>
  <si>
    <t xml:space="preserve">CALENTADOR DE JUGO 3 </t>
  </si>
  <si>
    <t xml:space="preserve">CALENTADOR DE JUGO 4 </t>
  </si>
  <si>
    <t xml:space="preserve">CALENTADOR DE JUGO 5 </t>
  </si>
  <si>
    <t xml:space="preserve">CALENTADOR DE JUGO 6 </t>
  </si>
  <si>
    <t xml:space="preserve">CALENTADOR DE JUGO ENCALADO </t>
  </si>
  <si>
    <t xml:space="preserve"> 0305HX090</t>
  </si>
  <si>
    <t xml:space="preserve"> 0305HX100</t>
  </si>
  <si>
    <t xml:space="preserve"> 0305HX110</t>
  </si>
  <si>
    <t xml:space="preserve"> 0305HX120</t>
  </si>
  <si>
    <t xml:space="preserve"> 0305HX230</t>
  </si>
  <si>
    <t>305TT240B01</t>
  </si>
  <si>
    <t xml:space="preserve"> 0305HX240</t>
  </si>
  <si>
    <t xml:space="preserve">FFE 1 </t>
  </si>
  <si>
    <t xml:space="preserve"> 0320EV010</t>
  </si>
  <si>
    <t>FFE 1 /2</t>
  </si>
  <si>
    <t xml:space="preserve"> 0320EV020</t>
  </si>
  <si>
    <t>FFE 2/3</t>
  </si>
  <si>
    <t xml:space="preserve"> 0320EV030</t>
  </si>
  <si>
    <t>FFE 3</t>
  </si>
  <si>
    <t xml:space="preserve"> 0320EV040</t>
  </si>
  <si>
    <t>FFE 4A</t>
  </si>
  <si>
    <t xml:space="preserve"> 0320EV050</t>
  </si>
  <si>
    <t>FFE 5A</t>
  </si>
  <si>
    <t xml:space="preserve"> 0320EV060</t>
  </si>
  <si>
    <t>FFE 4B</t>
  </si>
  <si>
    <t xml:space="preserve"> 0320EV070</t>
  </si>
  <si>
    <t>FFE 5B</t>
  </si>
  <si>
    <t xml:space="preserve"> 0320EV080</t>
  </si>
  <si>
    <t xml:space="preserve"> 0330HX210</t>
  </si>
  <si>
    <t xml:space="preserve"> 0330TK230</t>
  </si>
  <si>
    <t xml:space="preserve"> 0330TK050</t>
  </si>
  <si>
    <t xml:space="preserve">TANQUE DE SACARATO </t>
  </si>
  <si>
    <t xml:space="preserve"> 0330TK090</t>
  </si>
  <si>
    <t xml:space="preserve">TANQUE DE COLORANTE </t>
  </si>
  <si>
    <t xml:space="preserve"> 0330TK120</t>
  </si>
  <si>
    <t xml:space="preserve">TANQUE DE FLOCULANTE </t>
  </si>
  <si>
    <t xml:space="preserve"> 0330TK160</t>
  </si>
  <si>
    <t xml:space="preserve">CONDENSADOR BATCH A </t>
  </si>
  <si>
    <t xml:space="preserve"> 0370EJ010</t>
  </si>
  <si>
    <t xml:space="preserve">CONDENSADOR TCA </t>
  </si>
  <si>
    <t xml:space="preserve"> 0370EJ020</t>
  </si>
  <si>
    <t xml:space="preserve">CONDENSADOR BATCH AB </t>
  </si>
  <si>
    <t xml:space="preserve"> 0370EJ030</t>
  </si>
  <si>
    <t xml:space="preserve">CONDENSADOR BATCH BC </t>
  </si>
  <si>
    <t xml:space="preserve"> 0370EJ040</t>
  </si>
  <si>
    <t xml:space="preserve">CONDENSADOR TCB </t>
  </si>
  <si>
    <t xml:space="preserve"> 0370EJ050</t>
  </si>
  <si>
    <t xml:space="preserve">CONDENSADOR TCC </t>
  </si>
  <si>
    <t xml:space="preserve"> 0370EJ060</t>
  </si>
  <si>
    <t xml:space="preserve">CONDENSADOR 5A </t>
  </si>
  <si>
    <t xml:space="preserve"> 0370EJ070</t>
  </si>
  <si>
    <t xml:space="preserve">CONDENSADOR 5B </t>
  </si>
  <si>
    <t xml:space="preserve"> 0370EJ080</t>
  </si>
  <si>
    <t>0405DU010</t>
  </si>
  <si>
    <t>0405DI030</t>
  </si>
  <si>
    <t>0405DU020</t>
  </si>
  <si>
    <t>0405RE010</t>
  </si>
  <si>
    <t>0405RE020</t>
  </si>
  <si>
    <t xml:space="preserve">TACHO BATCH A </t>
  </si>
  <si>
    <t xml:space="preserve"> 0335HX180</t>
  </si>
  <si>
    <t xml:space="preserve">TACHO BATCH AB </t>
  </si>
  <si>
    <t xml:space="preserve"> 0335HX210</t>
  </si>
  <si>
    <t xml:space="preserve">TACHO BATCH BC </t>
  </si>
  <si>
    <t xml:space="preserve"> 0335HX240</t>
  </si>
  <si>
    <t xml:space="preserve"> 0335HX200</t>
  </si>
  <si>
    <t>Nivel de jarabe tachos #1</t>
  </si>
  <si>
    <t>Nivel de jarabe tachos #2</t>
  </si>
  <si>
    <t xml:space="preserve"> 0335HX230</t>
  </si>
  <si>
    <t xml:space="preserve"> 0335HX260</t>
  </si>
  <si>
    <t>Nivel tanque de miel B #1</t>
  </si>
  <si>
    <t>Nivel tanque de miel B #2</t>
  </si>
  <si>
    <t xml:space="preserve">TANQUE RORI </t>
  </si>
  <si>
    <t xml:space="preserve"> 0355MX310</t>
  </si>
  <si>
    <t xml:space="preserve">CALENTADOR DE AIRE </t>
  </si>
  <si>
    <t xml:space="preserve"> 0355H290</t>
  </si>
  <si>
    <t xml:space="preserve">CONDUCTOR DE AZUCAR SECA </t>
  </si>
  <si>
    <t xml:space="preserve">SILO 1 </t>
  </si>
  <si>
    <t>SILO 2</t>
  </si>
  <si>
    <t>SILO 3</t>
  </si>
  <si>
    <t xml:space="preserve"> TANQUE FUNDIDO</t>
  </si>
  <si>
    <t xml:space="preserve"> 0335TK040</t>
  </si>
  <si>
    <t>Nivel de tanque miel rica A</t>
  </si>
  <si>
    <t xml:space="preserve"> 0335TK050</t>
  </si>
  <si>
    <t xml:space="preserve"> 0315TK040</t>
  </si>
  <si>
    <t>115PT010B01</t>
  </si>
  <si>
    <t>115PT020B01</t>
  </si>
  <si>
    <t>350LT150B01</t>
  </si>
  <si>
    <t>Niveldel mixer de masa C</t>
  </si>
  <si>
    <t>MEZCLADOR MAGMA C</t>
  </si>
  <si>
    <t>350LT160B01</t>
  </si>
  <si>
    <t>Niveldel mixer de masa B/C</t>
  </si>
  <si>
    <t>0405AT020</t>
  </si>
  <si>
    <t>0405AT010</t>
  </si>
  <si>
    <t>CENTRIFUGA CONTINUA 5 - C  (INDIA)</t>
  </si>
  <si>
    <t>CENTRIFUGA CONTINUA 1 - C (FRANCIA)</t>
  </si>
  <si>
    <t>0345SQ160</t>
  </si>
  <si>
    <t>CENTRIFUGA CONTINUA 2 - C  (FRANCIA)</t>
  </si>
  <si>
    <t>0345SQ170</t>
  </si>
  <si>
    <t>CENTRIFUGA CONTINUA 3 - B  (FRANCIA)</t>
  </si>
  <si>
    <t>0345SQ180</t>
  </si>
  <si>
    <t>CENTRIFUGA CONTINUA 4 - B  (INDIA)</t>
  </si>
  <si>
    <t>CENTRIFUGA BATCH 1 - A (FRANCIA)</t>
  </si>
  <si>
    <t>0345SQ130</t>
  </si>
  <si>
    <t>CENTRIFUGA BATCH 2 - A  (FRANCIA)</t>
  </si>
  <si>
    <t>0345SQ140</t>
  </si>
  <si>
    <t>CENTRIFUGA BATCH 3 - A  (FRANCIA)</t>
  </si>
  <si>
    <t>0345SQ150</t>
  </si>
  <si>
    <t>TANQUE DE JUGO COLADO</t>
  </si>
  <si>
    <t>305TIC120B01</t>
  </si>
  <si>
    <t>335XV150B01</t>
  </si>
  <si>
    <t>335XV130B01</t>
  </si>
  <si>
    <t>335XV180B02</t>
  </si>
  <si>
    <t>335XV210B03</t>
  </si>
  <si>
    <t>335XV140B01</t>
  </si>
  <si>
    <t>335XV240B03</t>
  </si>
  <si>
    <t>335XV170B01</t>
  </si>
  <si>
    <t>335XV160B01</t>
  </si>
  <si>
    <t>SISTEMA DE CONTROL DISTRIBUIDO</t>
  </si>
  <si>
    <t>MESA DE CAÑA</t>
  </si>
  <si>
    <t>Tamiz rotativo</t>
  </si>
  <si>
    <t>Pug mill B, Cabezal C de centrifugas continuas</t>
  </si>
  <si>
    <t>Segundo nivel de Turbina TGM</t>
  </si>
  <si>
    <t>Vista Conductor Auxiliar - Superior</t>
  </si>
  <si>
    <t>Vista Molino Secador - Conductor Intermedio</t>
  </si>
  <si>
    <t>0625B030</t>
  </si>
  <si>
    <t>Presion de aire instrumentacion casa de procesos</t>
  </si>
  <si>
    <t>CENTRIFUGACION DE AZUCAR</t>
  </si>
  <si>
    <t>Nivel de tanque preparacion floculante</t>
  </si>
  <si>
    <t xml:space="preserve">TANQUE PREPARACION FLOCULANTE </t>
  </si>
  <si>
    <t>CRISTALIZACION POR COCCION</t>
  </si>
  <si>
    <t xml:space="preserve">Nivel de tanque de agua fria </t>
  </si>
  <si>
    <t xml:space="preserve">TANQUE DE AGUA FRIA </t>
  </si>
  <si>
    <t>Presion de agua caliente salida del intercambiador de placas</t>
  </si>
  <si>
    <t>Presion de camara 1</t>
  </si>
  <si>
    <t>Temperatura de ingreso agua en camara 1</t>
  </si>
  <si>
    <t>Temperatura de salida agua en camara 1</t>
  </si>
  <si>
    <t>Presion de camara 2</t>
  </si>
  <si>
    <t>Temperatura de vapor ingreso a camara 2</t>
  </si>
  <si>
    <t>Presion de camara 3</t>
  </si>
  <si>
    <t>Temperatura de vapor ingreso a camara 3</t>
  </si>
  <si>
    <t>Presion de camara 4</t>
  </si>
  <si>
    <t>Temperatura de vapor ingreso a camara 4</t>
  </si>
  <si>
    <t xml:space="preserve">Temperatura ingreso condensado recirculacion </t>
  </si>
  <si>
    <t xml:space="preserve">Temperatura salida condensado recirculacion </t>
  </si>
  <si>
    <t>Presion descarga bombas de Spray Pond</t>
  </si>
  <si>
    <t>CLARIFICACION DE JARABE</t>
  </si>
  <si>
    <t>Nivel de colchon de caña en conductor auxiliar</t>
  </si>
  <si>
    <t>PREPARACION DE CAÑA</t>
  </si>
  <si>
    <t>Vibracion de motor lado libre motor swing back</t>
  </si>
  <si>
    <t xml:space="preserve">Vibracion de motor Picador lado libre </t>
  </si>
  <si>
    <t>Vibracion de motor Desfibrador lado libre</t>
  </si>
  <si>
    <t>Flotacion de masa lado motor</t>
  </si>
  <si>
    <t>Flotacion de masa lado libre</t>
  </si>
  <si>
    <t>Presion de lubricacion de alta - principal</t>
  </si>
  <si>
    <t>Presion de lubricacion de alta - secundario</t>
  </si>
  <si>
    <t>Presion de lubricacion de baja - principal</t>
  </si>
  <si>
    <t>Presion de lubricacion de baja - secundario</t>
  </si>
  <si>
    <t>Nive 1 de colchon de bagazo en difusor</t>
  </si>
  <si>
    <t>Nivel 2 de colchon de bagazo en difusor</t>
  </si>
  <si>
    <t>PH de jugo difusor en estacion de pH</t>
  </si>
  <si>
    <t>Flujo de agua de imbibicion</t>
  </si>
  <si>
    <t>Temperatura agua de imbibicion</t>
  </si>
  <si>
    <t>Presion de ejector principal DCH</t>
  </si>
  <si>
    <t>SIN DENOMINACION</t>
  </si>
  <si>
    <t xml:space="preserve">Presion ingreso vapor </t>
  </si>
  <si>
    <t>Vacio del cuerpo</t>
  </si>
  <si>
    <t>vacio del cuerpo</t>
  </si>
  <si>
    <t>Presion de ingreso vapor V3</t>
  </si>
  <si>
    <t>Presion de ingreso de vapor</t>
  </si>
  <si>
    <t>Presion del jugo de recirculacion</t>
  </si>
  <si>
    <t>Presion de vapor ingreso</t>
  </si>
  <si>
    <t>pH de meladura en la salida del tanque reaccion</t>
  </si>
  <si>
    <t xml:space="preserve">TANQUE REACCION </t>
  </si>
  <si>
    <t>Nivel tanque de acido fosforico</t>
  </si>
  <si>
    <t xml:space="preserve">TANQUE DE ACIDO FOSFORICO </t>
  </si>
  <si>
    <t>GENERACION DE VAPOR</t>
  </si>
  <si>
    <t>AGUA ALIMENTACION</t>
  </si>
  <si>
    <t>Presion del desaireador</t>
  </si>
  <si>
    <t>Presion entrada agua caldera</t>
  </si>
  <si>
    <t>Presion master vapor</t>
  </si>
  <si>
    <t>Presion vapor domo</t>
  </si>
  <si>
    <t>Presion aire entrada al pre calentador</t>
  </si>
  <si>
    <t>Presion aire primario entrada caldera</t>
  </si>
  <si>
    <t>Presion aire secundario</t>
  </si>
  <si>
    <t>Presion aire secundario al horno nivel 1</t>
  </si>
  <si>
    <t>Presion aire secundario al horno nivel 2</t>
  </si>
  <si>
    <t>Presion aire secundario al horno nivel 3</t>
  </si>
  <si>
    <t>Presion aire de esparcimiento</t>
  </si>
  <si>
    <t>Presion gases de salida caldera</t>
  </si>
  <si>
    <t>Presion gases salida del pre calentador</t>
  </si>
  <si>
    <t>Presion gases de salida del economizador</t>
  </si>
  <si>
    <t>Presion gases de salida del multiciclon</t>
  </si>
  <si>
    <t>Presion gases salida EPS</t>
  </si>
  <si>
    <t>Presion del hogar</t>
  </si>
  <si>
    <t>Presion aire instrumentacion</t>
  </si>
  <si>
    <t>Presion vapor linea sopladores hollin</t>
  </si>
  <si>
    <t>Presion del colector distribuidor de vapor</t>
  </si>
  <si>
    <t>Deteccion de nivel bajo de pozo agua cruda</t>
  </si>
  <si>
    <t>Flujo de agua alimentacion</t>
  </si>
  <si>
    <t>GENERACION ENERG. ELEC. TURBO GENERADOR</t>
  </si>
  <si>
    <t>Presion vapor de entrada</t>
  </si>
  <si>
    <t>Presion regulaje CPC</t>
  </si>
  <si>
    <t>Presion vapor de escape</t>
  </si>
  <si>
    <t>Presion camara de rueda turbina</t>
  </si>
  <si>
    <t>Presion lubricacion principal</t>
  </si>
  <si>
    <t>Presion lubricacion de cojinetes</t>
  </si>
  <si>
    <t xml:space="preserve">Presion despues de la bomba </t>
  </si>
  <si>
    <t>Alarma de presion muy alta en vapor de escape</t>
  </si>
  <si>
    <t>Alarma de presion baja de aceite despues de filtros</t>
  </si>
  <si>
    <t>Alarma de presion muy baja de aceite ingreso a cojinetes</t>
  </si>
  <si>
    <t>Presion de vacio en tacho batch A</t>
  </si>
  <si>
    <t>Presion de vacio en tacho batch AB</t>
  </si>
  <si>
    <t>Presion de vacio en tacho batch BC</t>
  </si>
  <si>
    <t>Vacio del granero de masa C</t>
  </si>
  <si>
    <t>Presion de vacio en TCA</t>
  </si>
  <si>
    <t xml:space="preserve">TACHO CONTINUO A </t>
  </si>
  <si>
    <t>Presion del cuerpo en TCA</t>
  </si>
  <si>
    <t>Presion de vacio en TCB</t>
  </si>
  <si>
    <t xml:space="preserve">TACHO CONTINUO B </t>
  </si>
  <si>
    <t>Presion del cuerpo en TCB</t>
  </si>
  <si>
    <t>Presion de vacio en TCC</t>
  </si>
  <si>
    <t xml:space="preserve">TACHO CONTINUO C </t>
  </si>
  <si>
    <t>Presion del cuerpo en TCC</t>
  </si>
  <si>
    <t>ENVASADO DE AZUCAR RUBIA</t>
  </si>
  <si>
    <t>Temperatura aire salida calentador hacia secador de azucar</t>
  </si>
  <si>
    <t>Peso de azucar -  faja azucar seca</t>
  </si>
  <si>
    <t>Peso de azucar balanza A - Silo 1</t>
  </si>
  <si>
    <t>Peso de azucar balanza B - Silo 1</t>
  </si>
  <si>
    <t>Peso de azucar balanza A - Silo 2</t>
  </si>
  <si>
    <t>Peso de azucar balanza B - Silo 2</t>
  </si>
  <si>
    <t>Peso de azucar balanza A - Silo 3</t>
  </si>
  <si>
    <t>Peso de azucar balanza B - Silo 3</t>
  </si>
  <si>
    <t>Presion descarga bombas de tanque uso diario</t>
  </si>
  <si>
    <t>Presion de salida del atemperador de la reductora #2</t>
  </si>
  <si>
    <t>Presion de salida del atemperador de la reductora #1</t>
  </si>
  <si>
    <t>Presion de vapor escape TGM</t>
  </si>
  <si>
    <t>Presion de salida del CPC</t>
  </si>
  <si>
    <t>Deteccion de alta diferencia de presion entre ingreso y salida de filtro</t>
  </si>
  <si>
    <t>Deteccion de velocidad cero en faja conductor principal</t>
  </si>
  <si>
    <t>Deteccion de nivel bajo en DCH-1</t>
  </si>
  <si>
    <t>Deteccion de nivel bajo en DCH-2</t>
  </si>
  <si>
    <t>Deteccion de nivel bajo en DCH-3</t>
  </si>
  <si>
    <t>Deteccion de nivel bajo en DCH-4</t>
  </si>
  <si>
    <t>Deteccion de nivel bajo en DCH-5</t>
  </si>
  <si>
    <t>Deteccion de nivel bajo en DCH-6</t>
  </si>
  <si>
    <t>Deteccion de nivel bajo en CJ-1</t>
  </si>
  <si>
    <t>Deteccion de nivel bajo en CJ-2</t>
  </si>
  <si>
    <t>Deteccion de nivel bajo en 3er calentamiento</t>
  </si>
  <si>
    <t>Deteccion de nivel bajo en Syrup heater</t>
  </si>
  <si>
    <t>Hotwell level transmitter (PRESION DIFERENCIAL)</t>
  </si>
  <si>
    <t>Vibracion del Ventilador Inducido #1</t>
  </si>
  <si>
    <t>Vibracion del Ventilador Inducido #2</t>
  </si>
  <si>
    <t>Vibracion del Ventilador Forzado</t>
  </si>
  <si>
    <t>Vibracion del Ventilador Secundario</t>
  </si>
  <si>
    <t>Flujo de inyeccion de floculante</t>
  </si>
  <si>
    <t>Condentracion de lechada de cal en tanque de mezclado</t>
  </si>
  <si>
    <t>Condentracion de lechada de cal en tanque de almacenamiento #1</t>
  </si>
  <si>
    <t>Presion de aceite lubricacion de motor Swing Back</t>
  </si>
  <si>
    <t>Presion de aceite lubricacion de motor Picador</t>
  </si>
  <si>
    <t>Valvula de control de ingreso de vapor a desaireador</t>
  </si>
  <si>
    <t>Valvula de control de ingreso de agua a desaireador</t>
  </si>
  <si>
    <t>Valvula de arranque</t>
  </si>
  <si>
    <t>Valvula de descarga</t>
  </si>
  <si>
    <t>Valvula de sopladores de hollin</t>
  </si>
  <si>
    <t>Vañvulas de limpieza de parrilla 1</t>
  </si>
  <si>
    <t>Vañvulas de limpieza de parrilla 2</t>
  </si>
  <si>
    <t>Vañvulas de limpieza de parrilla 3</t>
  </si>
  <si>
    <t>Vañvulas de limpieza de parrilla 4</t>
  </si>
  <si>
    <t>Vañvulas de limpieza de parrilla 5</t>
  </si>
  <si>
    <t>Valvula rotativa de la turbina</t>
  </si>
  <si>
    <t>Valvula reductora 2</t>
  </si>
  <si>
    <t>Valvula de ingreso de agua al saturador</t>
  </si>
  <si>
    <t>Valvula reductora 1</t>
  </si>
  <si>
    <t>Valvula de control de nivel de agua del domo</t>
  </si>
  <si>
    <t>Valvula de recirculacion de preparacion de caramelo.</t>
  </si>
  <si>
    <t>Valvula de ingreso de agua caliente para sugar melter</t>
  </si>
  <si>
    <t>Valvula de ingreso de vapor para sugar melter</t>
  </si>
  <si>
    <t>Valvula de ingreso de agua caliente al tanque del Scrubber</t>
  </si>
  <si>
    <t>Valvula de ingreso de licor del sugar melter</t>
  </si>
  <si>
    <t>Sin Tag</t>
  </si>
  <si>
    <t>Valvula Irish de ingreso de masa a Continua 5</t>
  </si>
  <si>
    <t>Valvula Irish de ingreso de masa a Continua 1</t>
  </si>
  <si>
    <t>Valvula Irish de ingreso de masa a Continua 2</t>
  </si>
  <si>
    <t>Valvula Irish de ingreso de masa a Continua 3</t>
  </si>
  <si>
    <t>Valvula Irish de ingreso de masa a Continua 4</t>
  </si>
  <si>
    <t>Valvula de descarga de caramelo</t>
  </si>
  <si>
    <t>Valvula 1 de ingreso de masa al pugmill masa A</t>
  </si>
  <si>
    <t>Valvula 2 de ingreso de masa al pugmill masa A</t>
  </si>
  <si>
    <t>Valvula de descarga del horizontal 1 a pugmill A</t>
  </si>
  <si>
    <t>Valvula de descarga del horizontal 2 a pugmill A</t>
  </si>
  <si>
    <t>Valvula de descarga de cabezal a centrifuga continua 1</t>
  </si>
  <si>
    <t>Valvula de descarga de cabezal a centrifuga continua 2</t>
  </si>
  <si>
    <t>Valvula de descarga de pugmill a centrifuga continua 3</t>
  </si>
  <si>
    <t>Valvula de descarga de pugmill a centrifuga Batch 1</t>
  </si>
  <si>
    <t>Valvula de descarga de pugmill a centrifuga Batch 2</t>
  </si>
  <si>
    <t>Valvula de descarga de pugmill a centrifuga Batch 3</t>
  </si>
  <si>
    <t>Valvula de regulacion de flujo de jugo colado - No opera</t>
  </si>
  <si>
    <t>Valvula de ingreso de agua al tanque jugo claro</t>
  </si>
  <si>
    <t>Valvula de control de nivel del tanque flash</t>
  </si>
  <si>
    <t>Valvula de descarga del floculante preparado</t>
  </si>
  <si>
    <t>Valvula de control de flujo de lodos del SRT</t>
  </si>
  <si>
    <t>Valvula de control de flujo clarificado</t>
  </si>
  <si>
    <t>Valvula de control de temperatura del 3er calentamiento</t>
  </si>
  <si>
    <t>Valvula de ingreso de vapor a DCH de clarificacion de jarabe</t>
  </si>
  <si>
    <t>Valvula de ingreso de vapor a disocutor 0335H100</t>
  </si>
  <si>
    <t>Valvula de ingreso de vapor a disocutor 0335H110</t>
  </si>
  <si>
    <t>Valvula de ingreso de material a tacho batch A</t>
  </si>
  <si>
    <t>Valvula de descarga de masa directa desde tacho Batch A hacia los horizontales o a recibidor de tacho A</t>
  </si>
  <si>
    <t>Valvula de ingreso de material a tacho batch A/B</t>
  </si>
  <si>
    <t>Valvula de descarga de masa directa desde tacho Batch A-B hacia los horizontales o a recibidor de tacho A</t>
  </si>
  <si>
    <t>Valvula de descarga de masa directa desde tacho Batch A-B hacia los horizontales o a recibidor de tacho B</t>
  </si>
  <si>
    <t>Valvula de ingreso de material a tacho batch B/C</t>
  </si>
  <si>
    <t>Valvula de descarga de masa directa desde tacho Batch B-C hacia los horizontales o a recibidor de tacho B</t>
  </si>
  <si>
    <t>Valvula de descarga de masa directa desde tacho Batch B-C hacia los horizontales o a recibidor de tacho C</t>
  </si>
  <si>
    <t>Valvula de descarga de granero de masa C</t>
  </si>
  <si>
    <t>Valvula de ingreso de miel TCA - Celda 1</t>
  </si>
  <si>
    <t>Valvula de ingreso de miel TCA - Celda 2</t>
  </si>
  <si>
    <t>Valvula de ingreso de miel TCA - Celda 3</t>
  </si>
  <si>
    <t>Valvula de ingreso de miel TCA - Celda 4</t>
  </si>
  <si>
    <t>Valvula de ingreso de miel TCA - Celda 5</t>
  </si>
  <si>
    <t>Valvula de ingreso de miel TCA - Celda 6</t>
  </si>
  <si>
    <t>Valvula de ingreso de miel TCA - Celda 7</t>
  </si>
  <si>
    <t>Valvula de ingreso de miel TCA - Celda 8</t>
  </si>
  <si>
    <t>Valvula de ingreso de miel TCA - Celda 9</t>
  </si>
  <si>
    <t>Valvula de ingreso de miel TCA - Celda 10</t>
  </si>
  <si>
    <t>Valvula de ingreso de vapor al TCA</t>
  </si>
  <si>
    <t>Valvula de ingreso de miel TCB - Celda 1</t>
  </si>
  <si>
    <t>Valvula de ingreso de miel TCB - Celda 2</t>
  </si>
  <si>
    <t>Valvula de ingreso de miel TCB - Celda 3</t>
  </si>
  <si>
    <t>Valvula de ingreso de miel TCB - Celda 4</t>
  </si>
  <si>
    <t>Valvula de ingreso de miel TCB - Celda 5</t>
  </si>
  <si>
    <t>Valvula de ingreso de miel TCB - Celda 6</t>
  </si>
  <si>
    <t>Valvula de ingreso de miel TCB - Celda 7</t>
  </si>
  <si>
    <t>Valvula de ingreso de miel TCB - Celda 8</t>
  </si>
  <si>
    <t>Valvula de ingreso de vapor al TCB</t>
  </si>
  <si>
    <t>Valvula de ingreso de miel TCC - Celda 1</t>
  </si>
  <si>
    <t>Valvula de ingreso de miel TCC - Celda 2</t>
  </si>
  <si>
    <t>Valvula de ingreso de miel TCC - Celda 3</t>
  </si>
  <si>
    <t>Valvula de ingreso de miel TCC - Celda 4</t>
  </si>
  <si>
    <t>Valvula de ingreso de miel TCC - Celda 5</t>
  </si>
  <si>
    <t>Valvula de ingreso de miel TCC - Celda 6</t>
  </si>
  <si>
    <t>Valvula de ingreso de miel TCC - Celda 7</t>
  </si>
  <si>
    <t>Valvula de ingreso de miel TCC - Celda 8</t>
  </si>
  <si>
    <t>Valvula de descarga de azucar a deposito 1</t>
  </si>
  <si>
    <t>Valvula 2 de descarga de azucar a deposito 2</t>
  </si>
  <si>
    <t>Valvula 1 de descarga de azucar a deposito 2</t>
  </si>
  <si>
    <t>Valvula de colador de Condensador para tacho Batch B-C</t>
  </si>
  <si>
    <t>Valvula de entrada de agua a Condensadorr de tacho Batch B-C</t>
  </si>
  <si>
    <t>Valvula de Pase / Corte ON/OFF - Cristalizador Vacio A</t>
  </si>
  <si>
    <t>Valvula de Pase / Corte ON/OFF - Cristalizador Semilla B</t>
  </si>
  <si>
    <t>Valvula de Pase / Corte ON/OFF - Tacho Batch A</t>
  </si>
  <si>
    <t>Valvula de Pase / Corte ON/OFF - Tacho Batch AB</t>
  </si>
  <si>
    <t>Valvula de Pase / Corte ON/OFF - Cristalizador Semilla C</t>
  </si>
  <si>
    <t>Valvula de Pase / Corte ON/OFF - Tacho Batch BC</t>
  </si>
  <si>
    <t>Valvula de Pase / Corte ON/OFF - Cristalizador Vacio B</t>
  </si>
  <si>
    <t>Valvula de Pase / Corte ON/OFF - Cristalizador Vacio C</t>
  </si>
  <si>
    <t>Valvula de entrada de agua a Condensadorr de tacho Batch A</t>
  </si>
  <si>
    <t>Valvula de colador de Condensador para tacho Batch A</t>
  </si>
  <si>
    <t>Valvula de entrada de agua a Condensadorr de tacho Continuo A</t>
  </si>
  <si>
    <t>Valvula de colador de Condensador para tacho Continuo A</t>
  </si>
  <si>
    <t>Valvula de entrada de agua a Condensadorr de tacho Batch A-B</t>
  </si>
  <si>
    <t>Valvula de colador de Condensador para tacho Batch A-B</t>
  </si>
  <si>
    <t>Valvula de control de vacio de tacho Batch B-C</t>
  </si>
  <si>
    <t>Valvula de entrada de agua a Condensadorr de tacho Continuo B</t>
  </si>
  <si>
    <t>Valvula de colador de Condensador para tacho Continuo B</t>
  </si>
  <si>
    <t>Valvula de entrada de agua a Condensadorr de tacho Continuo C</t>
  </si>
  <si>
    <t>Valvula de colador de Condensador para tacho Continuo C</t>
  </si>
  <si>
    <t>Valvula ingreso de vapor a DCH - 1</t>
  </si>
  <si>
    <t>Valvula ingreso de vapor a DCH - 2</t>
  </si>
  <si>
    <t>Valvula ingreso de vapor a DCH - 3</t>
  </si>
  <si>
    <t>Valvula ingreso de vapor a DCH - 4</t>
  </si>
  <si>
    <t>Valvula ingreso de vapor a DCH - 5</t>
  </si>
  <si>
    <t>Valvula ingreso de vapor a DCH - 6</t>
  </si>
  <si>
    <t>Valvula ingreso de agua caliente a tanque de lavado tamiz</t>
  </si>
  <si>
    <t>Valvula ingreso de vapor de lavado a tamiz</t>
  </si>
  <si>
    <t>Valvula ingreso de agua de lavado a tamiz</t>
  </si>
  <si>
    <t>Valvula inyeccion de cal a C2 de difusor</t>
  </si>
  <si>
    <t>Valvula inyeccion de cal a C9 de difusor</t>
  </si>
  <si>
    <t>Valvula ingreso de agua de imbibicion</t>
  </si>
  <si>
    <t>Valvula ingreso de agua al eyector de los DCH de difusor</t>
  </si>
  <si>
    <t>Valvula de ingreso de cal liquida a preparacion de sacarato</t>
  </si>
  <si>
    <t>TANQUE DE PREPARACION DE SACARATO DE CAL</t>
  </si>
  <si>
    <t>Valvula de ingreso de jarabe a preparacion de sacarato</t>
  </si>
  <si>
    <t>Valvula de ingreso de agua al tanque Rori</t>
  </si>
  <si>
    <t>Valvula de ingreso de jugo Rori</t>
  </si>
  <si>
    <t>Valvula de recirculacion de tanque Rori</t>
  </si>
  <si>
    <t>Valvula de recirculacion.</t>
  </si>
  <si>
    <t>Valvula derivacion de Condensador 3 vias</t>
  </si>
  <si>
    <t>Valvula de recirculacion de Condensador a TK flash</t>
  </si>
  <si>
    <t>Valvula de ingreso de vapor al Super Hetaed</t>
  </si>
  <si>
    <t>Valvula ingreso de vapor a CJ-1</t>
  </si>
  <si>
    <t>Valvula ingreso de vapor a CJ-2</t>
  </si>
  <si>
    <t>Valvula control de nivel FFE - 1</t>
  </si>
  <si>
    <t>Valvula control de nivel FFE - 1/2</t>
  </si>
  <si>
    <t>Valvula control de nivel FFE - 2/3</t>
  </si>
  <si>
    <t>Valvula control de nivel FFE - 3</t>
  </si>
  <si>
    <t>Valvula control de nivel FFE - 4A</t>
  </si>
  <si>
    <t>Valvula control de nivel FFE - 4B</t>
  </si>
  <si>
    <t>Valvula control de nivel FFE - 5A</t>
  </si>
  <si>
    <t>Valvula control de nivel FFE - 5B</t>
  </si>
  <si>
    <t>Valvula de emergencia del FFE - 1</t>
  </si>
  <si>
    <t>Valvula de emergencia del FFE - 1/2</t>
  </si>
  <si>
    <t>Valvula de emergencia del FFE - 2/3</t>
  </si>
  <si>
    <t>Valvula de emergencia del FFE - 3</t>
  </si>
  <si>
    <t>Valvula de emergencia del FFE - 4A</t>
  </si>
  <si>
    <t>Valvula de emergencia del FFE - 5A</t>
  </si>
  <si>
    <t>Valvula de emergencia del FFE - 4B</t>
  </si>
  <si>
    <t>Valvula de emergencia del FFE - 5B</t>
  </si>
  <si>
    <t>Valvula de ingreso de vapor al FFE-1</t>
  </si>
  <si>
    <t>Valvula de salida de vapor al FFE-1</t>
  </si>
  <si>
    <t>Valvula de ingreso de vapor al FFE-1/2</t>
  </si>
  <si>
    <t>Valvula de salida de vapor al FFE-1/2</t>
  </si>
  <si>
    <t>Valvula de ingreso de vapor al FFE-2/3</t>
  </si>
  <si>
    <t>Valvula de salida de vapor al FFE-2/3</t>
  </si>
  <si>
    <t>Valvula de entrada de agua a Condensadorr de Efecto 5A</t>
  </si>
  <si>
    <t>Valvula de colador de Condensador para Efecto 5A</t>
  </si>
  <si>
    <t>Valvula de entrada de agua a Condensadorr de Efecto 5B</t>
  </si>
  <si>
    <t>Valvula de colador de Condensador para Efecto 5B</t>
  </si>
  <si>
    <t>Valvula de control de nivel de torre Marley</t>
  </si>
  <si>
    <t xml:space="preserve">Estacion de Ingenieria </t>
  </si>
  <si>
    <t>Tablero de distribucion de alimentacion DCS</t>
  </si>
  <si>
    <t>Tablero de distribucion de FFOO - red modbus</t>
  </si>
  <si>
    <t>Piston de dosificacion flujo fino</t>
  </si>
  <si>
    <t>Piston de dosificacion flujo grueso</t>
  </si>
  <si>
    <t>Piston de apertura y cierre de compuerta de tolva</t>
  </si>
  <si>
    <t>Piton de apertura y cierre de prensasacos</t>
  </si>
  <si>
    <t>Sensor para deteccion de apertura y cierre de compuerta de tolva</t>
  </si>
  <si>
    <t>Sensor para deteccion de apertura y cierre de prensasacos</t>
  </si>
  <si>
    <t>Sensor para deteccion de apertura y cierre de compuerta de descarga</t>
  </si>
  <si>
    <t>Control de piston de flujo fino</t>
  </si>
  <si>
    <t>Control de piston de flujo grueso</t>
  </si>
  <si>
    <t>Control de apertura y cierre de piston de compuerta</t>
  </si>
  <si>
    <t>Aire Instrumentacion p/ Caldera</t>
  </si>
  <si>
    <t>Carlos Chaname Segovia / Luis Chu Salazar</t>
  </si>
  <si>
    <t>Jorge Sanchez / Yomar Chavez</t>
  </si>
  <si>
    <t>Carlos Chaname</t>
  </si>
  <si>
    <t>Luis Chu / Ricardo Effio</t>
  </si>
  <si>
    <t>Richard Zapata / Angel Terrones</t>
  </si>
  <si>
    <t>Ricardo Caceres</t>
  </si>
  <si>
    <t>Carlos Chaname / Yehude Saavedra</t>
  </si>
  <si>
    <t>Jorge Sanchez / Ricardo Effio</t>
  </si>
  <si>
    <t>Ricardo Caceres / Yomar Chavez</t>
  </si>
  <si>
    <t>Conductor de alimentación a difusor y retorno</t>
  </si>
  <si>
    <t>0100-PTZ-003</t>
  </si>
  <si>
    <t>0200-PTZ-001</t>
  </si>
  <si>
    <t>0300-FCC-005</t>
  </si>
  <si>
    <t>Vista global de centrífugas continuas</t>
  </si>
  <si>
    <t>0300-FCC-008</t>
  </si>
  <si>
    <t>Faja de azucar en la salida del secador</t>
  </si>
  <si>
    <t>0300-FCC-011</t>
  </si>
  <si>
    <t>Spray Pond</t>
  </si>
  <si>
    <t>0300-FCC-013</t>
  </si>
  <si>
    <t>Zaranda y alimentación de silos</t>
  </si>
  <si>
    <t>0300-PTZ-001</t>
  </si>
  <si>
    <t>Operación del desviador de bagazo</t>
  </si>
  <si>
    <t>Vista Mesa de Caña - Descarga de Tetras</t>
  </si>
  <si>
    <t>Nivel del jugo prensado</t>
  </si>
  <si>
    <t>FECHA 
DE EJECUCIÓN</t>
  </si>
  <si>
    <t>HORA INICIAL</t>
  </si>
  <si>
    <t>HORA FINAL</t>
  </si>
  <si>
    <t>FECHA 
PROGRAMADA</t>
  </si>
  <si>
    <t>PRECIO 
UNIDAD</t>
  </si>
  <si>
    <t>OT</t>
  </si>
  <si>
    <t>GRUPO</t>
  </si>
  <si>
    <t>OT-I-P-001784</t>
  </si>
  <si>
    <t>OT-I-P-001806</t>
  </si>
  <si>
    <t>OT-I-P-001815</t>
  </si>
  <si>
    <t>OT-I-P-001818</t>
  </si>
  <si>
    <t>OT-I-P-001823</t>
  </si>
  <si>
    <t>OT-I-P-001841</t>
  </si>
  <si>
    <t>OT-I-P-001845</t>
  </si>
  <si>
    <t>OT-I-P-001923</t>
  </si>
  <si>
    <t>OT-I-P-001814</t>
  </si>
  <si>
    <t>OT-I-P-001822</t>
  </si>
  <si>
    <t>OT-I-P-001885</t>
  </si>
  <si>
    <t>OT-I-P-001889</t>
  </si>
  <si>
    <t>OT-I-P-001906</t>
  </si>
  <si>
    <t>OT-I-P-001932</t>
  </si>
  <si>
    <t>OT-I-P-001754</t>
  </si>
  <si>
    <t>OT-I-P-001791</t>
  </si>
  <si>
    <t>OT-I-P-001793</t>
  </si>
  <si>
    <t>OT-I-P-001794</t>
  </si>
  <si>
    <t>OT-I-P-001795</t>
  </si>
  <si>
    <t>OT-I-P-001796</t>
  </si>
  <si>
    <t>OT-I-P-001813</t>
  </si>
  <si>
    <t>OT-I-P-001873</t>
  </si>
  <si>
    <t>OT-I-P-001877</t>
  </si>
  <si>
    <t>OT-I-P-001881</t>
  </si>
  <si>
    <t>OT-I-P-001893</t>
  </si>
  <si>
    <t>OT-I-P-001902</t>
  </si>
  <si>
    <t>OT-I-P-001760</t>
  </si>
  <si>
    <t>OT-I-P-001798</t>
  </si>
  <si>
    <t>OT-I-P-001812</t>
  </si>
  <si>
    <t>OT-I-P-001819</t>
  </si>
  <si>
    <t>OT-I-P-001820</t>
  </si>
  <si>
    <t>OT-I-P-001837</t>
  </si>
  <si>
    <t>OT-I-P-001849</t>
  </si>
  <si>
    <t>OT-I-P-001915</t>
  </si>
  <si>
    <t>OT-I-P-001919</t>
  </si>
  <si>
    <t>OT-I-P-001748</t>
  </si>
  <si>
    <t>OT-I-P-001792</t>
  </si>
  <si>
    <t>OT-I-P-001797</t>
  </si>
  <si>
    <t>OT-I-P-001799</t>
  </si>
  <si>
    <t>OT-I-P-001800</t>
  </si>
  <si>
    <t>OT-I-P-001859</t>
  </si>
  <si>
    <t>OT-I-P-001869</t>
  </si>
  <si>
    <t>OT-I-P-001898</t>
  </si>
  <si>
    <t>OT-I-P-001911</t>
  </si>
  <si>
    <t>OT-I-P-001928</t>
  </si>
  <si>
    <t>OT-I-P-001854</t>
  </si>
  <si>
    <t>OT-I-P-001864</t>
  </si>
  <si>
    <t>OT-I-P-001763</t>
  </si>
  <si>
    <t>OT-I-P-001764</t>
  </si>
  <si>
    <t>OT-I-P-001765</t>
  </si>
  <si>
    <t>OT-I-P-001766</t>
  </si>
  <si>
    <t>OT-I-P-001828</t>
  </si>
  <si>
    <t>OT-I-P-001833</t>
  </si>
  <si>
    <t>Semana 30</t>
  </si>
  <si>
    <t>Semana 31</t>
  </si>
  <si>
    <t>OT-I-P-001751</t>
  </si>
  <si>
    <t>OT-I-P-001767</t>
  </si>
  <si>
    <t>OT-I-P-001768</t>
  </si>
  <si>
    <t>OT-I-P-001769</t>
  </si>
  <si>
    <t>OT-I-P-001770</t>
  </si>
  <si>
    <t>OT-I-P-001771</t>
  </si>
  <si>
    <t>OT-I-P-001772</t>
  </si>
  <si>
    <t>OT-I-P-001842</t>
  </si>
  <si>
    <t>OT-I-P-001846</t>
  </si>
  <si>
    <t>OT-I-P-001924</t>
  </si>
  <si>
    <t>OT-I-P-001752</t>
  </si>
  <si>
    <t>OT-I-P-001753</t>
  </si>
  <si>
    <t>OT-I-P-001886</t>
  </si>
  <si>
    <t>OT-I-P-001890</t>
  </si>
  <si>
    <t>OT-I-P-001907</t>
  </si>
  <si>
    <t>OT-I-P-001933</t>
  </si>
  <si>
    <t>OT-I-P-001874</t>
  </si>
  <si>
    <t>OT-I-P-001878</t>
  </si>
  <si>
    <t>OT-I-P-001882</t>
  </si>
  <si>
    <t>OT-I-P-001894</t>
  </si>
  <si>
    <t>OT-I-P-001903</t>
  </si>
  <si>
    <t>OT-I-P-001773</t>
  </si>
  <si>
    <t>OT-I-P-001803</t>
  </si>
  <si>
    <t>OT-I-P-001838</t>
  </si>
  <si>
    <t>OT-I-P-001850</t>
  </si>
  <si>
    <t>OT-I-P-001916</t>
  </si>
  <si>
    <t>OT-I-P-001920</t>
  </si>
  <si>
    <t>OT-I-P-001774</t>
  </si>
  <si>
    <t>OT-I-P-001804</t>
  </si>
  <si>
    <t>OT-I-P-001860</t>
  </si>
  <si>
    <t>OT-I-P-001870</t>
  </si>
  <si>
    <t>OT-I-P-001899</t>
  </si>
  <si>
    <t>OT-I-P-001912</t>
  </si>
  <si>
    <t>OT-I-P-001929</t>
  </si>
  <si>
    <t>OT-I-P-001776</t>
  </si>
  <si>
    <t>OT-I-P-001777</t>
  </si>
  <si>
    <t>OT-I-P-001855</t>
  </si>
  <si>
    <t>OT-I-P-001865</t>
  </si>
  <si>
    <t>OT-I-P-001775</t>
  </si>
  <si>
    <t>OT-I-P-001805</t>
  </si>
  <si>
    <t>OT-I-P-001821</t>
  </si>
  <si>
    <t>OT-I-P-001829</t>
  </si>
  <si>
    <t>OT-I-P-001834</t>
  </si>
  <si>
    <t>Semana 32</t>
  </si>
  <si>
    <t>OT-I-P-001762</t>
  </si>
  <si>
    <t>OT-I-P-001843</t>
  </si>
  <si>
    <t>OT-I-P-001847</t>
  </si>
  <si>
    <t>OT-I-P-001925</t>
  </si>
  <si>
    <t>OT-I-P-001781</t>
  </si>
  <si>
    <t>OT-I-P-001782</t>
  </si>
  <si>
    <t>OT-I-P-001808</t>
  </si>
  <si>
    <t>OT-I-P-001887</t>
  </si>
  <si>
    <t>OT-I-P-001891</t>
  </si>
  <si>
    <t>OT-I-P-001908</t>
  </si>
  <si>
    <t>OT-I-P-001934</t>
  </si>
  <si>
    <t>OT-I-P-001749</t>
  </si>
  <si>
    <t>OT-I-P-001875</t>
  </si>
  <si>
    <t>OT-I-P-001879</t>
  </si>
  <si>
    <t>OT-I-P-001883</t>
  </si>
  <si>
    <t>OT-I-P-001895</t>
  </si>
  <si>
    <t>OT-I-P-001904</t>
  </si>
  <si>
    <t>OT-I-P-001778</t>
  </si>
  <si>
    <t>OT-I-P-001824</t>
  </si>
  <si>
    <t>OT-I-P-001825</t>
  </si>
  <si>
    <t>OT-I-P-001839</t>
  </si>
  <si>
    <t>OT-I-P-001851</t>
  </si>
  <si>
    <t>OT-I-P-001917</t>
  </si>
  <si>
    <t>OT-I-P-001921</t>
  </si>
  <si>
    <t>OT-I-P-001750</t>
  </si>
  <si>
    <t>OT-I-P-001755</t>
  </si>
  <si>
    <t>OT-I-P-001756</t>
  </si>
  <si>
    <t>OT-I-P-001757</t>
  </si>
  <si>
    <t>OT-I-P-001758</t>
  </si>
  <si>
    <t>OT-I-P-001861</t>
  </si>
  <si>
    <t>OT-I-P-001871</t>
  </si>
  <si>
    <t>OT-I-P-001900</t>
  </si>
  <si>
    <t>OT-I-P-001913</t>
  </si>
  <si>
    <t>OT-I-P-001930</t>
  </si>
  <si>
    <t>OT-I-P-001810</t>
  </si>
  <si>
    <t>OT-I-P-001856</t>
  </si>
  <si>
    <t>OT-I-P-001866</t>
  </si>
  <si>
    <t>OT-I-P-001830</t>
  </si>
  <si>
    <t>OT-I-P-001835</t>
  </si>
  <si>
    <t>AGOSTO</t>
  </si>
  <si>
    <t>Semana 33</t>
  </si>
  <si>
    <t>OT-I-P-002098</t>
  </si>
  <si>
    <t>OT-I-P-002150</t>
  </si>
  <si>
    <t>OT-I-P-002159</t>
  </si>
  <si>
    <t>OT-I-P-002057</t>
  </si>
  <si>
    <t>OT-I-P-002062</t>
  </si>
  <si>
    <t>OT-I-P-002067</t>
  </si>
  <si>
    <t>OT-I-P-002072</t>
  </si>
  <si>
    <t>OT-I-P-002103</t>
  </si>
  <si>
    <t>OT-I-P-002108</t>
  </si>
  <si>
    <t>OT-I-P-002113</t>
  </si>
  <si>
    <t>OT-I-P-002132</t>
  </si>
  <si>
    <t>OT-I-P-002093</t>
  </si>
  <si>
    <t>OT-I-P-002118</t>
  </si>
  <si>
    <t>OT-I-P-002127</t>
  </si>
  <si>
    <t>OT-I-P-002145</t>
  </si>
  <si>
    <t>OT-I-P-002164</t>
  </si>
  <si>
    <t>OT-I-P-002165</t>
  </si>
  <si>
    <t>OT-I-P-002077</t>
  </si>
  <si>
    <t>OT-I-P-002085</t>
  </si>
  <si>
    <t>OT-I-P-002089</t>
  </si>
  <si>
    <t>OT-I-P-002137</t>
  </si>
  <si>
    <t>OT-I-P-002141</t>
  </si>
  <si>
    <t>OT-I-P-002155</t>
  </si>
  <si>
    <t>OT-I-P-002166</t>
  </si>
  <si>
    <t>OT-I-P-001994</t>
  </si>
  <si>
    <t>OT-I-P-001995</t>
  </si>
  <si>
    <t>OT-I-P-001996</t>
  </si>
  <si>
    <t>OT-I-P-001997</t>
  </si>
  <si>
    <t>OT-I-P-001998</t>
  </si>
  <si>
    <t>OT-I-P-001999</t>
  </si>
  <si>
    <t>OT-I-P-002000</t>
  </si>
  <si>
    <t>OT-I-P-002049</t>
  </si>
  <si>
    <t>OT-I-P-002053</t>
  </si>
  <si>
    <t>OT-I-P-002001</t>
  </si>
  <si>
    <t>OT-I-P-002004</t>
  </si>
  <si>
    <t>OT-I-P-002022</t>
  </si>
  <si>
    <t>OT-I-P-002081</t>
  </si>
  <si>
    <t>OT-I-P-002123</t>
  </si>
  <si>
    <t>0345SQ040</t>
  </si>
  <si>
    <t>0345SQ050</t>
  </si>
  <si>
    <t>0345SQ060</t>
  </si>
  <si>
    <t>Semana 34</t>
  </si>
  <si>
    <t>Semana 35</t>
  </si>
  <si>
    <t>OT-I-P-001981</t>
  </si>
  <si>
    <t>OT-I-P-002099</t>
  </si>
  <si>
    <t>OT-I-P-002151</t>
  </si>
  <si>
    <t>OT-I-P-002160</t>
  </si>
  <si>
    <t>OT-I-P-002058</t>
  </si>
  <si>
    <t>OT-I-P-002063</t>
  </si>
  <si>
    <t>OT-I-P-002068</t>
  </si>
  <si>
    <t>OT-I-P-002073</t>
  </si>
  <si>
    <t>OT-I-P-002104</t>
  </si>
  <si>
    <t>OT-I-P-002109</t>
  </si>
  <si>
    <t>OT-I-P-002114</t>
  </si>
  <si>
    <t>OT-I-P-002133</t>
  </si>
  <si>
    <t>OT-I-P-001985</t>
  </si>
  <si>
    <t>OT-I-P-002002</t>
  </si>
  <si>
    <t>OT-I-P-002094</t>
  </si>
  <si>
    <t>OT-I-P-002119</t>
  </si>
  <si>
    <t>OT-I-P-002128</t>
  </si>
  <si>
    <t>OT-I-P-002146</t>
  </si>
  <si>
    <t>OT-I-P-001941</t>
  </si>
  <si>
    <t>OT-I-P-002011</t>
  </si>
  <si>
    <t>OT-I-P-001940</t>
  </si>
  <si>
    <t>OT-I-P-002020</t>
  </si>
  <si>
    <t>OT-I-P-002035</t>
  </si>
  <si>
    <t>OT-I-P-002037</t>
  </si>
  <si>
    <t>OT-I-P-002038</t>
  </si>
  <si>
    <t>OT-I-P-002039</t>
  </si>
  <si>
    <t>OT-I-P-002078</t>
  </si>
  <si>
    <t>OT-I-P-002086</t>
  </si>
  <si>
    <t>OT-I-P-002090</t>
  </si>
  <si>
    <t>OT-I-P-002138</t>
  </si>
  <si>
    <t>OT-I-P-002142</t>
  </si>
  <si>
    <t>OT-I-P-002156</t>
  </si>
  <si>
    <t>OT-I-P-001942</t>
  </si>
  <si>
    <t>OT-I-P-001984</t>
  </si>
  <si>
    <t>OT-I-P-002036</t>
  </si>
  <si>
    <t>OT-I-P-002040</t>
  </si>
  <si>
    <t>OT-I-P-002043</t>
  </si>
  <si>
    <t>OT-I-P-002050</t>
  </si>
  <si>
    <t>OT-I-P-002054</t>
  </si>
  <si>
    <t>OT-I-P-001935</t>
  </si>
  <si>
    <t>OT-I-P-001938</t>
  </si>
  <si>
    <t>OT-I-P-001939</t>
  </si>
  <si>
    <t>OT-I-P-002003</t>
  </si>
  <si>
    <t>OT-I-P-002007</t>
  </si>
  <si>
    <t>OT-I-P-002041</t>
  </si>
  <si>
    <t>OT-I-P-002042</t>
  </si>
  <si>
    <t>OT-I-P-002045</t>
  </si>
  <si>
    <t>OT-I-P-002046</t>
  </si>
  <si>
    <t>OT-I-P-002082</t>
  </si>
  <si>
    <t>OT-I-P-002124</t>
  </si>
  <si>
    <t>355T110</t>
  </si>
  <si>
    <t>Semana 36</t>
  </si>
  <si>
    <t>OT-I-P-001943</t>
  </si>
  <si>
    <t>OT-I-P-001944</t>
  </si>
  <si>
    <t>OT-I-P-001945</t>
  </si>
  <si>
    <t>OT-I-P-001946</t>
  </si>
  <si>
    <t>OT-I-P-001947</t>
  </si>
  <si>
    <t>OT-I-P-001948</t>
  </si>
  <si>
    <t>OT-I-P-001949</t>
  </si>
  <si>
    <t>OT-I-P-001950</t>
  </si>
  <si>
    <t>OT-I-P-001951</t>
  </si>
  <si>
    <t>OT-I-P-001952</t>
  </si>
  <si>
    <t>OT-I-P-001953</t>
  </si>
  <si>
    <t>OT-I-P-001954</t>
  </si>
  <si>
    <t>OT-I-P-001986</t>
  </si>
  <si>
    <t>OT-I-P-002006</t>
  </si>
  <si>
    <t>OT-I-P-002023</t>
  </si>
  <si>
    <t>OT-I-P-002024</t>
  </si>
  <si>
    <t>OT-I-P-002100</t>
  </si>
  <si>
    <t>OT-I-P-002152</t>
  </si>
  <si>
    <t>OT-I-P-002161</t>
  </si>
  <si>
    <t>OT-I-P-001955</t>
  </si>
  <si>
    <t>OT-I-P-001956</t>
  </si>
  <si>
    <t>OT-I-P-001957</t>
  </si>
  <si>
    <t>OT-I-P-001958</t>
  </si>
  <si>
    <t>OT-I-P-001959</t>
  </si>
  <si>
    <t>OT-I-P-001960</t>
  </si>
  <si>
    <t>OT-I-P-001961</t>
  </si>
  <si>
    <t>OT-I-P-001962</t>
  </si>
  <si>
    <t>OT-I-P-001963</t>
  </si>
  <si>
    <t>OT-I-P-001964</t>
  </si>
  <si>
    <t>OT-I-P-001965</t>
  </si>
  <si>
    <t>OT-I-P-001966</t>
  </si>
  <si>
    <t>OT-I-P-001967</t>
  </si>
  <si>
    <t>OT-I-P-001980</t>
  </si>
  <si>
    <t>OT-I-P-001987</t>
  </si>
  <si>
    <t>OT-I-P-002005</t>
  </si>
  <si>
    <t>OT-I-P-002025</t>
  </si>
  <si>
    <t>OT-I-P-002026</t>
  </si>
  <si>
    <t>OT-I-P-002059</t>
  </si>
  <si>
    <t>OT-I-P-002064</t>
  </si>
  <si>
    <t>OT-I-P-002069</t>
  </si>
  <si>
    <t>OT-I-P-002074</t>
  </si>
  <si>
    <t>OT-I-P-002105</t>
  </si>
  <si>
    <t>OT-I-P-002110</t>
  </si>
  <si>
    <t>OT-I-P-002115</t>
  </si>
  <si>
    <t>OT-I-P-002134</t>
  </si>
  <si>
    <t>OT-I-P-001937</t>
  </si>
  <si>
    <t>OT-I-P-001968</t>
  </si>
  <si>
    <t>OT-I-P-001969</t>
  </si>
  <si>
    <t>OT-I-P-001988</t>
  </si>
  <si>
    <t>OT-I-P-002095</t>
  </si>
  <si>
    <t>OT-I-P-002120</t>
  </si>
  <si>
    <t>OT-I-P-002129</t>
  </si>
  <si>
    <t>OT-I-P-002147</t>
  </si>
  <si>
    <t>OT-I-P-001989</t>
  </si>
  <si>
    <t>OT-I-P-001983</t>
  </si>
  <si>
    <t>OT-I-P-001990</t>
  </si>
  <si>
    <t>OT-I-P-002021</t>
  </si>
  <si>
    <t>OT-I-P-002079</t>
  </si>
  <si>
    <t>OT-I-P-002087</t>
  </si>
  <si>
    <t>OT-I-P-002091</t>
  </si>
  <si>
    <t>OT-I-P-002139</t>
  </si>
  <si>
    <t>OT-I-P-002143</t>
  </si>
  <si>
    <t>OT-I-P-002157</t>
  </si>
  <si>
    <t>OT-I-P-001991</t>
  </si>
  <si>
    <t>OT-I-P-002030</t>
  </si>
  <si>
    <t>OT-I-P-002051</t>
  </si>
  <si>
    <t>OT-I-P-002055</t>
  </si>
  <si>
    <t>OT-I-P-001970</t>
  </si>
  <si>
    <t>OT-I-P-001973</t>
  </si>
  <si>
    <t>OT-I-P-001975</t>
  </si>
  <si>
    <t>OT-I-P-001977</t>
  </si>
  <si>
    <t>OT-I-P-001979</t>
  </si>
  <si>
    <t>OT-I-P-001982</t>
  </si>
  <si>
    <t>OT-I-P-002027</t>
  </si>
  <si>
    <t>OT-I-P-002028</t>
  </si>
  <si>
    <t>OT-I-P-002029</t>
  </si>
  <si>
    <t>OT-I-P-002044</t>
  </si>
  <si>
    <t>OT-I-P-002083</t>
  </si>
  <si>
    <t>OT-I-P-002125</t>
  </si>
  <si>
    <t>-------------</t>
  </si>
  <si>
    <t>OT-I-P-001971</t>
  </si>
  <si>
    <t>OT-I-P-001972</t>
  </si>
  <si>
    <t>OT-I-P-001974</t>
  </si>
  <si>
    <t>OT-I-P-001976</t>
  </si>
  <si>
    <t>OT-I-P-002008</t>
  </si>
  <si>
    <t>OT-I-P-002009</t>
  </si>
  <si>
    <t>OT-I-P-002101</t>
  </si>
  <si>
    <t>OT-I-P-002153</t>
  </si>
  <si>
    <t>OT-I-P-002162</t>
  </si>
  <si>
    <t>OT-I-P-002060</t>
  </si>
  <si>
    <t>OT-I-P-002065</t>
  </si>
  <si>
    <t>OT-I-P-002070</t>
  </si>
  <si>
    <t>OT-I-P-002075</t>
  </si>
  <si>
    <t>OT-I-P-002012</t>
  </si>
  <si>
    <t>OT-I-P-002018</t>
  </si>
  <si>
    <t>OT-I-P-001978</t>
  </si>
  <si>
    <t>OT-I-P-002135</t>
  </si>
  <si>
    <t>OT-I-P-002013</t>
  </si>
  <si>
    <t>OT-I-P-002014</t>
  </si>
  <si>
    <t>OT-I-P-002015</t>
  </si>
  <si>
    <t>OT-I-P-002016</t>
  </si>
  <si>
    <t>OT-I-P-002017</t>
  </si>
  <si>
    <t>OT-I-P-002033</t>
  </si>
  <si>
    <t>OT-I-P-002010</t>
  </si>
  <si>
    <t>OT-I-P-002106</t>
  </si>
  <si>
    <t>OT-I-P-002130</t>
  </si>
  <si>
    <t>OT-I-P-002111</t>
  </si>
  <si>
    <t>OT-I-P-002116</t>
  </si>
  <si>
    <t>OT-I-P-002096</t>
  </si>
  <si>
    <t>OT-I-P-002034</t>
  </si>
  <si>
    <t>OT-I-P-001936</t>
  </si>
  <si>
    <t>OT-I-P-002121</t>
  </si>
  <si>
    <t>OT-I-P-002019</t>
  </si>
  <si>
    <t>OT-I-P-002148</t>
  </si>
  <si>
    <t>OT-I-P-002088</t>
  </si>
  <si>
    <t>OT-I-P-002080</t>
  </si>
  <si>
    <t>OT-I-P-002140</t>
  </si>
  <si>
    <t>OT-I-P-002092</t>
  </si>
  <si>
    <t>OT-I-P-002158</t>
  </si>
  <si>
    <t>OT-I-P-002144</t>
  </si>
  <si>
    <t>OT-I-P-002047</t>
  </si>
  <si>
    <t>OT-I-P-002048</t>
  </si>
  <si>
    <t>OT-I-P-002052</t>
  </si>
  <si>
    <t>OT-I-P-002056</t>
  </si>
  <si>
    <t>OT-I-P-002084</t>
  </si>
  <si>
    <t>OT-I-P-002126</t>
  </si>
  <si>
    <t>OT-I-P-002031</t>
  </si>
  <si>
    <t>OT-I-P-002032</t>
  </si>
  <si>
    <t>OT-I-P-002102</t>
  </si>
  <si>
    <t>OT-I-P-002154</t>
  </si>
  <si>
    <t>OT-I-P-002163</t>
  </si>
  <si>
    <t>OT-I-P-001992</t>
  </si>
  <si>
    <t>OT-I-P-001993</t>
  </si>
  <si>
    <t>OT-I-P-002061</t>
  </si>
  <si>
    <t>OT-I-P-002066</t>
  </si>
  <si>
    <t>OT-I-P-002071</t>
  </si>
  <si>
    <t>OT-I-P-002076</t>
  </si>
  <si>
    <t>OT-I-P-002107</t>
  </si>
  <si>
    <t>OT-I-P-002112</t>
  </si>
  <si>
    <t>OT-I-P-002117</t>
  </si>
  <si>
    <t>OT-I-P-002136</t>
  </si>
  <si>
    <t>OT-I-P-002097</t>
  </si>
  <si>
    <t>OT-I-P-002122</t>
  </si>
  <si>
    <t>OT-I-P-002131</t>
  </si>
  <si>
    <t>OT-I-P-002149</t>
  </si>
  <si>
    <t>355T090</t>
  </si>
  <si>
    <t>OT-I-P-002246</t>
  </si>
  <si>
    <t>OT-I-P-002251</t>
  </si>
  <si>
    <t>OT-I-P-002272</t>
  </si>
  <si>
    <t>OT-I-P-002281</t>
  </si>
  <si>
    <t>OT-I-P-002286</t>
  </si>
  <si>
    <t>OT-I-P-002346</t>
  </si>
  <si>
    <t>OT-I-P-002277</t>
  </si>
  <si>
    <t>OT-I-P-002315</t>
  </si>
  <si>
    <t>OT-I-P-002357</t>
  </si>
  <si>
    <t>OT-I-P-002358</t>
  </si>
  <si>
    <t>OT-I-P-002268</t>
  </si>
  <si>
    <t>OT-I-P-002256</t>
  </si>
  <si>
    <t>OT-I-P-002260</t>
  </si>
  <si>
    <t>OT-I-P-002264</t>
  </si>
  <si>
    <t>OT-I-P-002198</t>
  </si>
  <si>
    <t>OT-I-P-002167</t>
  </si>
  <si>
    <t>OT-I-P-002203</t>
  </si>
  <si>
    <t>OT-I-P-002247</t>
  </si>
  <si>
    <t>OT-I-P-002252</t>
  </si>
  <si>
    <t>OT-I-P-002273</t>
  </si>
  <si>
    <t>OT-I-P-002282</t>
  </si>
  <si>
    <t>OT-I-P-002287</t>
  </si>
  <si>
    <t>OT-I-P-002347</t>
  </si>
  <si>
    <t>OT-I-P-002278</t>
  </si>
  <si>
    <t>OT-I-P-002316</t>
  </si>
  <si>
    <t>OT-I-P-002225</t>
  </si>
  <si>
    <t>OT-I-P-002269</t>
  </si>
  <si>
    <t>OT-I-P-002170</t>
  </si>
  <si>
    <t>OT-I-P-002257</t>
  </si>
  <si>
    <t>OT-I-P-002261</t>
  </si>
  <si>
    <t>OT-I-P-002265</t>
  </si>
  <si>
    <t>OT-I-P-002173</t>
  </si>
  <si>
    <t>OT-I-P-002174</t>
  </si>
  <si>
    <t>OT-I-P-002312</t>
  </si>
  <si>
    <t>SETIEMBRE</t>
  </si>
  <si>
    <t>Semana 37</t>
  </si>
  <si>
    <t>OT-I-P-002341</t>
  </si>
  <si>
    <t>OT-I-P-002351</t>
  </si>
  <si>
    <t>OT-I-P-002327</t>
  </si>
  <si>
    <t>OT-I-P-002332</t>
  </si>
  <si>
    <t>OT-I-P-002356</t>
  </si>
  <si>
    <t>OT-I-P-002295</t>
  </si>
  <si>
    <t>OT-I-P-002227</t>
  </si>
  <si>
    <t>OT-I-P-002291</t>
  </si>
  <si>
    <t>OT-I-P-002303</t>
  </si>
  <si>
    <t>OT-I-P-002307</t>
  </si>
  <si>
    <t>OT-I-P-002323</t>
  </si>
  <si>
    <t>OT-I-P-002299</t>
  </si>
  <si>
    <t>OT-I-P-002311</t>
  </si>
  <si>
    <t>OT-I-P-002319</t>
  </si>
  <si>
    <t>OT-I-P-002337</t>
  </si>
  <si>
    <t>OT-I-P-002342</t>
  </si>
  <si>
    <t>OT-I-P-002352</t>
  </si>
  <si>
    <t>OT-I-P-002328</t>
  </si>
  <si>
    <t>OT-I-P-002333</t>
  </si>
  <si>
    <t>OT-I-P-002211</t>
  </si>
  <si>
    <t>OT-I-P-002214</t>
  </si>
  <si>
    <t>OT-I-P-002224</t>
  </si>
  <si>
    <t>OT-I-P-002296</t>
  </si>
  <si>
    <t>OT-I-P-002216</t>
  </si>
  <si>
    <t>OT-I-P-002292</t>
  </si>
  <si>
    <t>OT-I-P-002212</t>
  </si>
  <si>
    <t>OT-I-P-002218</t>
  </si>
  <si>
    <t>OT-I-P-002219</t>
  </si>
  <si>
    <t>OT-I-P-002235</t>
  </si>
  <si>
    <t>OT-I-P-002304</t>
  </si>
  <si>
    <t>OT-I-P-002308</t>
  </si>
  <si>
    <t>OT-I-P-002324</t>
  </si>
  <si>
    <t>OT-I-P-002229</t>
  </si>
  <si>
    <t>OT-I-P-002231</t>
  </si>
  <si>
    <t>OT-I-P-002232</t>
  </si>
  <si>
    <t>OT-I-P-002233</t>
  </si>
  <si>
    <t>OT-I-P-002236</t>
  </si>
  <si>
    <t>OT-I-P-002300</t>
  </si>
  <si>
    <t>OT-I-P-002320</t>
  </si>
  <si>
    <t>OT-I-P-002338</t>
  </si>
  <si>
    <t>0340-TK-070</t>
  </si>
  <si>
    <t>OT-I-P-002171</t>
  </si>
  <si>
    <t>OT-I-P-002172</t>
  </si>
  <si>
    <t>OT-I-P-002175</t>
  </si>
  <si>
    <t>OT-I-P-002176</t>
  </si>
  <si>
    <t>OT-I-P-002199</t>
  </si>
  <si>
    <t>OT-I-P-002202</t>
  </si>
  <si>
    <t>OT-I-P-002230</t>
  </si>
  <si>
    <t>OT-I-P-002234</t>
  </si>
  <si>
    <t>OT-I-P-002237</t>
  </si>
  <si>
    <t>OT-I-P-002240</t>
  </si>
  <si>
    <t>OT-I-P-002242</t>
  </si>
  <si>
    <t>OT-I-P-002343</t>
  </si>
  <si>
    <t>OT-I-P-002353</t>
  </si>
  <si>
    <t>OT-I-P-002169</t>
  </si>
  <si>
    <t>OT-I-P-002177</t>
  </si>
  <si>
    <t>OT-I-P-002178</t>
  </si>
  <si>
    <t>OT-I-P-002238</t>
  </si>
  <si>
    <t>OT-I-P-002239</t>
  </si>
  <si>
    <t>OT-I-P-002243</t>
  </si>
  <si>
    <t>OT-I-P-002248</t>
  </si>
  <si>
    <t>OT-I-P-002253</t>
  </si>
  <si>
    <t>OT-I-P-002274</t>
  </si>
  <si>
    <t>OT-I-P-002283</t>
  </si>
  <si>
    <t>OT-I-P-002288</t>
  </si>
  <si>
    <t>OT-I-P-002329</t>
  </si>
  <si>
    <t>OT-I-P-002334</t>
  </si>
  <si>
    <t>OT-I-P-002348</t>
  </si>
  <si>
    <t>OT-I-P-002179</t>
  </si>
  <si>
    <t>OT-I-P-002180</t>
  </si>
  <si>
    <t>OT-I-P-002213</t>
  </si>
  <si>
    <t>OT-I-P-002215</t>
  </si>
  <si>
    <t>OT-I-P-002217</t>
  </si>
  <si>
    <t>OT-I-P-002220</t>
  </si>
  <si>
    <t>OT-I-P-002279</t>
  </si>
  <si>
    <t>OT-I-P-002297</t>
  </si>
  <si>
    <t>OT-I-P-002317</t>
  </si>
  <si>
    <t>OT-I-P-002181</t>
  </si>
  <si>
    <t>OT-I-P-002182</t>
  </si>
  <si>
    <t>OT-I-P-002200</t>
  </si>
  <si>
    <t>OT-I-P-002270</t>
  </si>
  <si>
    <t>OT-I-P-002183</t>
  </si>
  <si>
    <t>OT-I-P-002184</t>
  </si>
  <si>
    <t>OT-I-P-002293</t>
  </si>
  <si>
    <t>OT-I-P-002185</t>
  </si>
  <si>
    <t>OT-I-P-002187</t>
  </si>
  <si>
    <t>OT-I-P-002204</t>
  </si>
  <si>
    <t>OT-I-P-002258</t>
  </si>
  <si>
    <t>OT-I-P-002262</t>
  </si>
  <si>
    <t>OT-I-P-002266</t>
  </si>
  <si>
    <t>OT-I-P-002305</t>
  </si>
  <si>
    <t>OT-I-P-002309</t>
  </si>
  <si>
    <t>OT-I-P-002325</t>
  </si>
  <si>
    <t>OT-I-P-002186</t>
  </si>
  <si>
    <t>OT-I-P-002188</t>
  </si>
  <si>
    <t>OT-I-P-002189</t>
  </si>
  <si>
    <t>OT-I-P-002190</t>
  </si>
  <si>
    <t>OT-I-P-002194</t>
  </si>
  <si>
    <t>Semana 38</t>
  </si>
  <si>
    <t>OT-I-P-002196</t>
  </si>
  <si>
    <t>OT-I-P-002205</t>
  </si>
  <si>
    <t>OT-I-P-002301</t>
  </si>
  <si>
    <t>OT-I-P-002313</t>
  </si>
  <si>
    <t>OT-I-P-002321</t>
  </si>
  <si>
    <t>OT-I-P-002339</t>
  </si>
  <si>
    <t>OT-I-P-002191</t>
  </si>
  <si>
    <t>OT-I-P-002192</t>
  </si>
  <si>
    <t>OT-I-P-002206</t>
  </si>
  <si>
    <t>OT-I-P-002241</t>
  </si>
  <si>
    <t>OT-I-P-002344</t>
  </si>
  <si>
    <t>OT-I-P-002354</t>
  </si>
  <si>
    <t>OT-I-P-002193</t>
  </si>
  <si>
    <t>OT-I-P-002195</t>
  </si>
  <si>
    <t>OT-I-P-002207</t>
  </si>
  <si>
    <t>OT-I-P-002226</t>
  </si>
  <si>
    <t>OT-I-P-002249</t>
  </si>
  <si>
    <t>OT-I-P-002254</t>
  </si>
  <si>
    <t>OT-I-P-002275</t>
  </si>
  <si>
    <t>OT-I-P-002284</t>
  </si>
  <si>
    <t>OT-I-P-002289</t>
  </si>
  <si>
    <t>OT-I-P-002330</t>
  </si>
  <si>
    <t>OT-I-P-002335</t>
  </si>
  <si>
    <t>OT-I-P-002349</t>
  </si>
  <si>
    <t>OT-I-P-002201</t>
  </si>
  <si>
    <t>OT-I-P-002208</t>
  </si>
  <si>
    <t>OT-I-P-002280</t>
  </si>
  <si>
    <t>OT-I-P-002298</t>
  </si>
  <si>
    <t>OT-I-P-002318</t>
  </si>
  <si>
    <t>OT-I-P-002168</t>
  </si>
  <si>
    <t>OT-I-P-002209</t>
  </si>
  <si>
    <t>OT-I-P-002271</t>
  </si>
  <si>
    <t>Semana 39</t>
  </si>
  <si>
    <t>Semana 40</t>
  </si>
  <si>
    <t>OT-I-P-002197</t>
  </si>
  <si>
    <t>OT-I-P-002210</t>
  </si>
  <si>
    <t>OT-I-P-002294</t>
  </si>
  <si>
    <t>OT-I-P-002221</t>
  </si>
  <si>
    <t>OT-I-P-002222</t>
  </si>
  <si>
    <t>OT-I-P-002259</t>
  </si>
  <si>
    <t>OT-I-P-002263</t>
  </si>
  <si>
    <t>OT-I-P-002267</t>
  </si>
  <si>
    <t>OT-I-P-002306</t>
  </si>
  <si>
    <t>OT-I-P-002310</t>
  </si>
  <si>
    <t>OT-I-P-002326</t>
  </si>
  <si>
    <t>OT-I-P-002228</t>
  </si>
  <si>
    <t>OT-I-P-002244</t>
  </si>
  <si>
    <t>OT-I-P-002245</t>
  </si>
  <si>
    <t>OT-I-P-002302</t>
  </si>
  <si>
    <t>OT-I-P-002314</t>
  </si>
  <si>
    <t>OT-I-P-002322</t>
  </si>
  <si>
    <t>OT-I-P-002340</t>
  </si>
  <si>
    <t>OT-I-P-002223</t>
  </si>
  <si>
    <t>OT-I-P-002345</t>
  </si>
  <si>
    <t>OT-I-P-002355</t>
  </si>
  <si>
    <t>OT-I-P-002250</t>
  </si>
  <si>
    <t>OT-I-P-002255</t>
  </si>
  <si>
    <t>OT-I-P-002276</t>
  </si>
  <si>
    <t>OT-I-P-002285</t>
  </si>
  <si>
    <t>OT-I-P-002290</t>
  </si>
  <si>
    <t>OT-I-P-002331</t>
  </si>
  <si>
    <t>OT-I-P-002336</t>
  </si>
  <si>
    <t>OT-I-P-002350</t>
  </si>
  <si>
    <t>0345-MM-010</t>
  </si>
  <si>
    <t>0345-MM-020</t>
  </si>
  <si>
    <t>PARADA</t>
  </si>
  <si>
    <t>NO SE EJECUTÓ PORQUE ES NECESARIO REALIZAR EL TRABAJO EN PARADA</t>
  </si>
  <si>
    <t>OT-I-P-002391</t>
  </si>
  <si>
    <t>OT-I-P-002523</t>
  </si>
  <si>
    <t>OT-I-P-002555</t>
  </si>
  <si>
    <t>OT-I-P-002392</t>
  </si>
  <si>
    <t>OT-I-P-002467</t>
  </si>
  <si>
    <t>OT-I-P-002493</t>
  </si>
  <si>
    <t>OT-I-P-002510</t>
  </si>
  <si>
    <t>OT-I-P-002558</t>
  </si>
  <si>
    <t>OT-I-P-002393</t>
  </si>
  <si>
    <t>OT-I-P-002400</t>
  </si>
  <si>
    <t>OT-I-P-002401</t>
  </si>
  <si>
    <t>OT-I-P-002402</t>
  </si>
  <si>
    <t>OT-I-P-002449</t>
  </si>
  <si>
    <t>OT-I-P-002458</t>
  </si>
  <si>
    <t>OT-I-P-002480</t>
  </si>
  <si>
    <t>OT-I-P-002553</t>
  </si>
  <si>
    <t>OT-I-P-002554</t>
  </si>
  <si>
    <t>OT-I-P-002560</t>
  </si>
  <si>
    <t>OT-I-P-002394</t>
  </si>
  <si>
    <t>OT-I-P-002445</t>
  </si>
  <si>
    <t>OT-I-P-002454</t>
  </si>
  <si>
    <t>OT-I-P-002463</t>
  </si>
  <si>
    <t>OT-I-P-002485</t>
  </si>
  <si>
    <t>OT-I-P-002489</t>
  </si>
  <si>
    <t>OT-I-P-002498</t>
  </si>
  <si>
    <t>OT-I-P-002502</t>
  </si>
  <si>
    <t>OT-I-P-002506</t>
  </si>
  <si>
    <t>OT-I-P-002536</t>
  </si>
  <si>
    <t>OT-I-P-002548</t>
  </si>
  <si>
    <t>OT-I-P-002565</t>
  </si>
  <si>
    <t>OT-I-P-002395</t>
  </si>
  <si>
    <t>OT-I-P-002406</t>
  </si>
  <si>
    <t>OT-I-P-002407</t>
  </si>
  <si>
    <t>OT-I-P-002410</t>
  </si>
  <si>
    <t>OT-I-P-002472</t>
  </si>
  <si>
    <t>OT-I-P-002519</t>
  </si>
  <si>
    <t>OT-I-P-002528</t>
  </si>
  <si>
    <t>OT-I-P-002532</t>
  </si>
  <si>
    <t>0355EN010</t>
  </si>
  <si>
    <t>0355EN020</t>
  </si>
  <si>
    <t>OCTUBRE</t>
  </si>
  <si>
    <t>Semana 41</t>
  </si>
  <si>
    <t>OT-I-P-002396</t>
  </si>
  <si>
    <t>OT-I-P-002403</t>
  </si>
  <si>
    <t>OT-I-P-002404</t>
  </si>
  <si>
    <t>OT-I-P-002405</t>
  </si>
  <si>
    <t>OT-I-P-002540</t>
  </si>
  <si>
    <t>OT-I-P-002544</t>
  </si>
  <si>
    <t>OT-I-P-002369</t>
  </si>
  <si>
    <t>OT-I-P-002372</t>
  </si>
  <si>
    <t>OT-I-P-002397</t>
  </si>
  <si>
    <t>OT-I-P-002408</t>
  </si>
  <si>
    <t>OT-I-P-002476</t>
  </si>
  <si>
    <t>OT-I-P-002515</t>
  </si>
  <si>
    <t>OT-I-P-002524</t>
  </si>
  <si>
    <t>OT-I-P-002379</t>
  </si>
  <si>
    <t>OT-I-P-002468</t>
  </si>
  <si>
    <t>OT-I-P-002494</t>
  </si>
  <si>
    <t>OT-I-P-002511</t>
  </si>
  <si>
    <t>OT-I-P-002359</t>
  </si>
  <si>
    <t>OT-I-P-002370</t>
  </si>
  <si>
    <t>OT-I-P-002373</t>
  </si>
  <si>
    <t>OT-I-P-002376</t>
  </si>
  <si>
    <t>OT-I-P-002377</t>
  </si>
  <si>
    <t>OT-I-P-002450</t>
  </si>
  <si>
    <t>OT-I-P-002459</t>
  </si>
  <si>
    <t>OT-I-P-002481</t>
  </si>
  <si>
    <t>OT-I-P-002561</t>
  </si>
  <si>
    <t>OT-I-P-002446</t>
  </si>
  <si>
    <t>OT-I-P-002455</t>
  </si>
  <si>
    <t>OT-I-P-002464</t>
  </si>
  <si>
    <t>OT-I-P-002486</t>
  </si>
  <si>
    <t>OT-I-P-002490</t>
  </si>
  <si>
    <t>OT-I-P-002499</t>
  </si>
  <si>
    <t>OT-I-P-002503</t>
  </si>
  <si>
    <t>OT-I-P-002507</t>
  </si>
  <si>
    <t>OT-I-P-002537</t>
  </si>
  <si>
    <t>OT-I-P-002549</t>
  </si>
  <si>
    <t>OT-I-P-002566</t>
  </si>
  <si>
    <t>OT-I-P-002374</t>
  </si>
  <si>
    <t>OT-I-P-002378</t>
  </si>
  <si>
    <t>OT-I-P-002417</t>
  </si>
  <si>
    <t>OT-I-P-002431</t>
  </si>
  <si>
    <t>OT-I-P-002473</t>
  </si>
  <si>
    <t>OT-I-P-002520</t>
  </si>
  <si>
    <t>OT-I-P-002529</t>
  </si>
  <si>
    <t>OT-I-P-002533</t>
  </si>
  <si>
    <t>Semana 42</t>
  </si>
  <si>
    <t>OT-I-P-002381</t>
  </si>
  <si>
    <t>OT-I-P-002413</t>
  </si>
  <si>
    <t>OT-I-P-002418</t>
  </si>
  <si>
    <t>OT-I-P-002433</t>
  </si>
  <si>
    <t>OT-I-P-002541</t>
  </si>
  <si>
    <t>OT-I-P-002545</t>
  </si>
  <si>
    <t>OT-I-P-002362</t>
  </si>
  <si>
    <t>OT-I-P-002382</t>
  </si>
  <si>
    <t>OT-I-P-002390</t>
  </si>
  <si>
    <t>OT-I-P-002420</t>
  </si>
  <si>
    <t>OT-I-P-002434</t>
  </si>
  <si>
    <t>OT-I-P-002477</t>
  </si>
  <si>
    <t>OT-I-P-002516</t>
  </si>
  <si>
    <t>OT-I-P-002363</t>
  </si>
  <si>
    <t>OT-I-P-002364</t>
  </si>
  <si>
    <t>OT-I-P-002384</t>
  </si>
  <si>
    <t>OT-I-P-002409</t>
  </si>
  <si>
    <t>OT-I-P-002411</t>
  </si>
  <si>
    <t>OT-I-P-002525</t>
  </si>
  <si>
    <t>OT-I-P-002385</t>
  </si>
  <si>
    <t>OT-I-P-002435</t>
  </si>
  <si>
    <t>OT-I-P-002436</t>
  </si>
  <si>
    <t>OT-I-P-002469</t>
  </si>
  <si>
    <t>OT-I-P-002495</t>
  </si>
  <si>
    <t>OT-I-P-002512</t>
  </si>
  <si>
    <t>OT-I-P-002552</t>
  </si>
  <si>
    <t>OT-I-P-002556</t>
  </si>
  <si>
    <t>OT-I-P-002380</t>
  </si>
  <si>
    <t>OT-I-P-002386</t>
  </si>
  <si>
    <t>OT-I-P-002412</t>
  </si>
  <si>
    <t>OT-I-P-002421</t>
  </si>
  <si>
    <t>OT-I-P-002422</t>
  </si>
  <si>
    <t>OT-I-P-002423</t>
  </si>
  <si>
    <t>OT-I-P-002451</t>
  </si>
  <si>
    <t>OT-I-P-002460</t>
  </si>
  <si>
    <t>OT-I-P-002482</t>
  </si>
  <si>
    <t>OT-I-P-002559</t>
  </si>
  <si>
    <t>OT-I-P-002562</t>
  </si>
  <si>
    <t>OT-I-P-002367</t>
  </si>
  <si>
    <t>OT-I-P-002383</t>
  </si>
  <si>
    <t>OT-I-P-002388</t>
  </si>
  <si>
    <t>OT-I-P-002389</t>
  </si>
  <si>
    <t>OT-I-P-002424</t>
  </si>
  <si>
    <t>OT-I-P-002447</t>
  </si>
  <si>
    <t>OT-I-P-002456</t>
  </si>
  <si>
    <t>OT-I-P-002465</t>
  </si>
  <si>
    <t>OT-I-P-002487</t>
  </si>
  <si>
    <t>OT-I-P-002491</t>
  </si>
  <si>
    <t>OT-I-P-002500</t>
  </si>
  <si>
    <t>OT-I-P-002504</t>
  </si>
  <si>
    <t>OT-I-P-002508</t>
  </si>
  <si>
    <t>OT-I-P-002538</t>
  </si>
  <si>
    <t>OT-I-P-002550</t>
  </si>
  <si>
    <t>OT-I-P-002567</t>
  </si>
  <si>
    <t>OT-I-P-002361</t>
  </si>
  <si>
    <t>OT-I-P-002432</t>
  </si>
  <si>
    <t>OT-I-P-002474</t>
  </si>
  <si>
    <t>OT-I-P-002521</t>
  </si>
  <si>
    <t>OT-I-P-002530</t>
  </si>
  <si>
    <t>OT-I-P-002534</t>
  </si>
  <si>
    <t>Semana 43</t>
  </si>
  <si>
    <t>OT-I-P-002365</t>
  </si>
  <si>
    <t>OT-I-P-002368</t>
  </si>
  <si>
    <t>OT-I-P-002371</t>
  </si>
  <si>
    <t>OT-I-P-002387</t>
  </si>
  <si>
    <t>OT-I-P-002542</t>
  </si>
  <si>
    <t>OT-I-P-002546</t>
  </si>
  <si>
    <t>OT-I-P-002425</t>
  </si>
  <si>
    <t>OT-I-P-002427</t>
  </si>
  <si>
    <t>OT-I-P-002428</t>
  </si>
  <si>
    <t>OT-I-P-002478</t>
  </si>
  <si>
    <t>OT-I-P-002517</t>
  </si>
  <si>
    <t>OT-I-P-002366</t>
  </si>
  <si>
    <t>OT-I-P-002426</t>
  </si>
  <si>
    <t>OT-I-P-002526</t>
  </si>
  <si>
    <t>OT-I-P-002470</t>
  </si>
  <si>
    <t>OT-I-P-002496</t>
  </si>
  <si>
    <t>OT-I-P-002513</t>
  </si>
  <si>
    <t>OT-I-P-002360</t>
  </si>
  <si>
    <t>OT-I-P-002452</t>
  </si>
  <si>
    <t>OT-I-P-002461</t>
  </si>
  <si>
    <t>OT-I-P-002483</t>
  </si>
  <si>
    <t>OT-I-P-002563</t>
  </si>
  <si>
    <t>OT-I-P-002375</t>
  </si>
  <si>
    <t>OT-I-P-002419</t>
  </si>
  <si>
    <t>OT-I-P-002448</t>
  </si>
  <si>
    <t>OT-I-P-002457</t>
  </si>
  <si>
    <t>OT-I-P-002466</t>
  </si>
  <si>
    <t>OT-I-P-002488</t>
  </si>
  <si>
    <t>OT-I-P-002492</t>
  </si>
  <si>
    <t>OT-I-P-002501</t>
  </si>
  <si>
    <t>OT-I-P-002505</t>
  </si>
  <si>
    <t>OT-I-P-002509</t>
  </si>
  <si>
    <t>OT-I-P-002539</t>
  </si>
  <si>
    <t>OT-I-P-002551</t>
  </si>
  <si>
    <t>OT-I-P-002568</t>
  </si>
  <si>
    <t>OT-I-P-002475</t>
  </si>
  <si>
    <t>OT-I-P-002522</t>
  </si>
  <si>
    <t>OT-I-P-002531</t>
  </si>
  <si>
    <t>OT-I-P-002535</t>
  </si>
  <si>
    <t>OT-I-P-002414</t>
  </si>
  <si>
    <t>OT-I-P-002415</t>
  </si>
  <si>
    <t>OT-I-P-002416</t>
  </si>
  <si>
    <t>OT-I-P-002543</t>
  </si>
  <si>
    <t>OT-I-P-002547</t>
  </si>
  <si>
    <t>OT-I-P-002437</t>
  </si>
  <si>
    <t>OT-I-P-002438</t>
  </si>
  <si>
    <t>OT-I-P-002439</t>
  </si>
  <si>
    <t>OT-I-P-002440</t>
  </si>
  <si>
    <t>OT-I-P-002441</t>
  </si>
  <si>
    <t>OT-I-P-002442</t>
  </si>
  <si>
    <t>OT-I-P-002443</t>
  </si>
  <si>
    <t>OT-I-P-002444</t>
  </si>
  <si>
    <t>OT-I-P-002479</t>
  </si>
  <si>
    <t>OT-I-P-002518</t>
  </si>
  <si>
    <t>OT-I-P-002398</t>
  </si>
  <si>
    <t>OT-I-P-002399</t>
  </si>
  <si>
    <t>OT-I-P-002429</t>
  </si>
  <si>
    <t>OT-I-P-002430</t>
  </si>
  <si>
    <t>OT-I-P-002527</t>
  </si>
  <si>
    <t>OT-I-P-002471</t>
  </si>
  <si>
    <t>OT-I-P-002497</t>
  </si>
  <si>
    <t>OT-I-P-002514</t>
  </si>
  <si>
    <t>OT-I-P-002453</t>
  </si>
  <si>
    <t>OT-I-P-002462</t>
  </si>
  <si>
    <t>OT-I-P-002484</t>
  </si>
  <si>
    <t>OT-I-P-002557</t>
  </si>
  <si>
    <t>OT-I-P-002564</t>
  </si>
  <si>
    <t>Semana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</si>
</sst>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 * #,##0.00_ ;_ * \-#,##0.00_ ;_ * &quot;-&quot;??_ ;_ @_ "/>
    <numFmt numFmtId="165" formatCode="&quot;MM-&quot;\ 0"/>
    <numFmt numFmtId="166" formatCode="[$-F400]h:mm:ss\ AM/PM"/>
  </numFmts>
  <fonts count="80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u/>
      <sz val="14"/>
      <color theme="1"/>
      <name val="Arial Narrow"/>
      <family val="2"/>
    </font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8"/>
      <color theme="3"/>
      <name val="Calibri Light"/>
      <family val="2"/>
      <scheme val="major"/>
    </font>
    <font>
      <sz val="11"/>
      <color indexed="8"/>
      <name val="Calibri"/>
      <family val="2"/>
    </font>
    <font>
      <sz val="10"/>
      <color theme="1"/>
      <name val="Calibri"/>
      <family val="2"/>
    </font>
    <font>
      <b/>
      <sz val="10"/>
      <color theme="1"/>
      <name val="Arial Narrow"/>
      <family val="2"/>
    </font>
    <font>
      <sz val="10"/>
      <color theme="0"/>
      <name val="Arial Narrow"/>
      <family val="2"/>
    </font>
    <font>
      <sz val="8"/>
      <name val="Calibri"/>
      <family val="2"/>
      <scheme val="minor"/>
    </font>
    <font>
      <u/>
      <sz val="10"/>
      <color theme="1"/>
      <name val="Arial Narrow"/>
      <family val="2"/>
    </font>
    <font>
      <sz val="10"/>
      <color theme="1"/>
      <name val="Trebuchet MS"/>
      <family val="2"/>
    </font>
    <font>
      <sz val="12"/>
      <color theme="1"/>
      <name val="Arial Narrow"/>
      <family val="2"/>
    </font>
    <font>
      <sz val="10"/>
      <color theme="1"/>
      <name val="Arial"/>
      <family val="2"/>
    </font>
    <font>
      <sz val="9"/>
      <name val="Arial"/>
      <family val="2"/>
    </font>
    <font>
      <sz val="11"/>
      <color theme="1"/>
      <name val="Trebuchet MS"/>
      <family val="2"/>
    </font>
    <font>
      <sz val="12"/>
      <color theme="1"/>
      <name val="Trebuchet MS"/>
      <family val="2"/>
    </font>
    <font>
      <b/>
      <sz val="11"/>
      <color theme="1"/>
      <name val="Trebuchet MS"/>
      <family val="2"/>
    </font>
    <font>
      <b/>
      <sz val="12"/>
      <color theme="0"/>
      <name val="Trebuchet MS"/>
      <family val="2"/>
    </font>
    <font>
      <sz val="12"/>
      <color theme="0"/>
      <name val="Trebuchet"/>
    </font>
    <font>
      <b/>
      <sz val="12"/>
      <color theme="0"/>
      <name val="Trebuchet "/>
    </font>
    <font>
      <b/>
      <sz val="10"/>
      <color theme="1"/>
      <name val="Trebuchet MS"/>
      <family val="2"/>
    </font>
    <font>
      <b/>
      <u/>
      <sz val="14"/>
      <color theme="1"/>
      <name val="Trebuchet MS"/>
      <family val="2"/>
    </font>
    <font>
      <b/>
      <sz val="11"/>
      <color theme="0"/>
      <name val="Trebuchet MS"/>
      <family val="2"/>
    </font>
    <font>
      <sz val="11"/>
      <color theme="0"/>
      <name val="Trebuchet MS"/>
      <family val="2"/>
    </font>
    <font>
      <u/>
      <sz val="10"/>
      <color theme="1"/>
      <name val="Trebuchet MS"/>
      <family val="2"/>
    </font>
    <font>
      <sz val="11"/>
      <name val="Trebuchet MS"/>
      <family val="2"/>
    </font>
    <font>
      <sz val="10"/>
      <name val="Trebuchet MS"/>
      <family val="2"/>
    </font>
    <font>
      <sz val="10"/>
      <color rgb="FFFF0000"/>
      <name val="Trebuchet MS"/>
      <family val="2"/>
    </font>
    <font>
      <sz val="11"/>
      <color rgb="FFFF0000"/>
      <name val="Trebuchet MS"/>
      <family val="2"/>
    </font>
    <font>
      <sz val="10"/>
      <color theme="5"/>
      <name val="Trebuchet MS"/>
      <family val="2"/>
    </font>
    <font>
      <sz val="11"/>
      <color rgb="FF000000"/>
      <name val="Arial"/>
      <family val="2"/>
    </font>
    <font>
      <sz val="10"/>
      <color theme="1"/>
      <name val="Trebuchet MS"/>
      <family val="2"/>
    </font>
    <font>
      <sz val="11"/>
      <color theme="1"/>
      <name val="Trebuchet MS"/>
      <family val="2"/>
    </font>
    <font>
      <sz val="11"/>
      <name val="Trebuchet MS"/>
      <family val="2"/>
    </font>
    <font>
      <i/>
      <sz val="10"/>
      <name val="Trebuchet MS"/>
      <family val="2"/>
    </font>
    <font>
      <i/>
      <sz val="11"/>
      <name val="Trebuchet MS"/>
      <family val="2"/>
    </font>
    <font>
      <sz val="10"/>
      <color rgb="FF000000"/>
      <name val="Calibri"/>
      <family val="2"/>
      <scheme val="minor"/>
    </font>
    <font>
      <sz val="10"/>
      <color rgb="FF000000"/>
      <name val="Trebuchet MS"/>
      <family val="2"/>
    </font>
    <font>
      <sz val="12"/>
      <color indexed="8"/>
      <name val="Calibri"/>
      <family val="2"/>
    </font>
    <font>
      <sz val="10"/>
      <color theme="1"/>
      <name val="Trebuchet MS"/>
      <family val="2"/>
    </font>
    <font>
      <sz val="11"/>
      <color theme="1"/>
      <name val="Trebuchet MS"/>
      <family val="2"/>
    </font>
    <font>
      <sz val="10"/>
      <color theme="1"/>
      <name val="Trebuchet MS"/>
      <family val="2"/>
    </font>
    <font>
      <sz val="11"/>
      <color theme="1"/>
      <name val="Trebuchet MS"/>
      <family val="2"/>
    </font>
    <font>
      <sz val="10"/>
      <color rgb="FF000000"/>
      <name val="Trebuchet MS"/>
      <family val="2"/>
    </font>
    <font>
      <sz val="10"/>
      <name val="Arial Narrow"/>
      <family val="2"/>
    </font>
    <font>
      <sz val="10"/>
      <color theme="1"/>
      <name val="Arial Narrow"/>
      <family val="2"/>
    </font>
    <font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Trebuchet MS"/>
      <family val="2"/>
    </font>
    <font>
      <sz val="10"/>
      <color theme="1"/>
      <name val="Trebuchet MS"/>
      <family val="2"/>
    </font>
    <font>
      <sz val="10"/>
      <color rgb="FF000000"/>
      <name val="Trebuchet MS"/>
      <family val="2"/>
    </font>
    <font>
      <sz val="12"/>
      <color theme="1"/>
      <name val="Trebuchet MS"/>
      <family val="2"/>
    </font>
    <font>
      <sz val="11"/>
      <color theme="1"/>
      <name val="Trebuchet MS"/>
      <family val="2"/>
    </font>
    <font>
      <b/>
      <sz val="14"/>
      <color theme="1"/>
      <name val="Trebuchet MS"/>
      <family val="2"/>
    </font>
    <font>
      <sz val="10"/>
      <color theme="1"/>
      <name val="Trebuchet MS"/>
      <family val="2"/>
    </font>
    <font>
      <sz val="11"/>
      <color theme="1"/>
      <name val="Trebuchet MS"/>
      <family val="2"/>
    </font>
    <font>
      <sz val="10"/>
      <color rgb="FF000000"/>
      <name val="Trebuchet MS"/>
      <family val="2"/>
    </font>
    <font>
      <sz val="12"/>
      <color theme="1"/>
      <name val="Trebuchet MS"/>
      <family val="2"/>
    </font>
  </fonts>
  <fills count="41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6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medium">
        <color theme="0" tint="-0.34998626667073579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medium">
        <color theme="0" tint="-0.34998626667073579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 style="medium">
        <color theme="0" tint="-0.249977111117893"/>
      </left>
      <right/>
      <top/>
      <bottom/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249977111117893"/>
      </left>
      <right style="thin">
        <color theme="2" tint="-0.499984740745262"/>
      </right>
      <top style="medium">
        <color theme="0" tint="-0.249977111117893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medium">
        <color theme="0" tint="-0.249977111117893"/>
      </top>
      <bottom style="thin">
        <color theme="2" tint="-0.499984740745262"/>
      </bottom>
      <diagonal/>
    </border>
    <border>
      <left style="thin">
        <color theme="2" tint="-0.499984740745262"/>
      </left>
      <right style="medium">
        <color theme="0" tint="-0.249977111117893"/>
      </right>
      <top style="medium">
        <color theme="0" tint="-0.249977111117893"/>
      </top>
      <bottom style="thin">
        <color theme="2" tint="-0.499984740745262"/>
      </bottom>
      <diagonal/>
    </border>
    <border>
      <left style="medium">
        <color theme="0" tint="-0.249977111117893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medium">
        <color theme="0" tint="-0.249977111117893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theme="0" tint="-0.249977111117893"/>
      </left>
      <right style="thin">
        <color theme="2" tint="-0.499984740745262"/>
      </right>
      <top style="thin">
        <color theme="2" tint="-0.499984740745262"/>
      </top>
      <bottom style="medium">
        <color theme="0" tint="-0.249977111117893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medium">
        <color theme="0" tint="-0.249977111117893"/>
      </bottom>
      <diagonal/>
    </border>
    <border>
      <left style="thin">
        <color theme="2" tint="-0.499984740745262"/>
      </left>
      <right style="medium">
        <color theme="0" tint="-0.249977111117893"/>
      </right>
      <top style="thin">
        <color theme="2" tint="-0.499984740745262"/>
      </top>
      <bottom style="medium">
        <color theme="0" tint="-0.249977111117893"/>
      </bottom>
      <diagonal/>
    </border>
    <border>
      <left style="thin">
        <color theme="2" tint="-0.499984740745262"/>
      </left>
      <right/>
      <top style="medium">
        <color theme="0" tint="-0.249977111117893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medium">
        <color theme="0" tint="-0.249977111117893"/>
      </bottom>
      <diagonal/>
    </border>
    <border>
      <left style="thin">
        <color indexed="64"/>
      </left>
      <right style="thin">
        <color theme="2" tint="-0.499984740745262"/>
      </right>
      <top style="medium">
        <color theme="0" tint="-0.34998626667073579"/>
      </top>
      <bottom style="thin">
        <color theme="2" tint="-0.499984740745262"/>
      </bottom>
      <diagonal/>
    </border>
    <border>
      <left style="thin">
        <color indexed="64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theme="2" tint="-0.499984740745262"/>
      </right>
      <top style="thin">
        <color theme="2" tint="-0.499984740745262"/>
      </top>
      <bottom style="medium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/>
      </left>
      <right/>
      <top/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3" fillId="0" borderId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  <xf numFmtId="0" fontId="13" fillId="6" borderId="4" applyNumberFormat="0" applyAlignment="0" applyProtection="0"/>
    <xf numFmtId="0" fontId="14" fillId="7" borderId="5" applyNumberFormat="0" applyAlignment="0" applyProtection="0"/>
    <xf numFmtId="0" fontId="15" fillId="7" borderId="4" applyNumberFormat="0" applyAlignment="0" applyProtection="0"/>
    <xf numFmtId="0" fontId="16" fillId="0" borderId="6" applyNumberFormat="0" applyFill="0" applyAlignment="0" applyProtection="0"/>
    <xf numFmtId="0" fontId="17" fillId="8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21" fillId="21" borderId="0" applyNumberFormat="0" applyBorder="0" applyAlignment="0" applyProtection="0"/>
    <xf numFmtId="0" fontId="21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21" fillId="33" borderId="0" applyNumberFormat="0" applyBorder="0" applyAlignment="0" applyProtection="0"/>
    <xf numFmtId="0" fontId="22" fillId="0" borderId="0"/>
    <xf numFmtId="0" fontId="25" fillId="0" borderId="0" applyNumberFormat="0" applyFill="0" applyBorder="0" applyAlignment="0" applyProtection="0"/>
    <xf numFmtId="0" fontId="3" fillId="0" borderId="0"/>
    <xf numFmtId="164" fontId="23" fillId="0" borderId="0" applyFont="0" applyFill="0" applyBorder="0" applyAlignment="0" applyProtection="0"/>
    <xf numFmtId="164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24" fillId="0" borderId="0">
      <alignment vertical="top"/>
    </xf>
    <xf numFmtId="0" fontId="24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/>
    <xf numFmtId="0" fontId="3" fillId="0" borderId="0"/>
    <xf numFmtId="0" fontId="24" fillId="0" borderId="0">
      <alignment vertical="top"/>
    </xf>
    <xf numFmtId="0" fontId="27" fillId="0" borderId="0"/>
    <xf numFmtId="0" fontId="23" fillId="0" borderId="0"/>
    <xf numFmtId="164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22" fillId="0" borderId="0"/>
    <xf numFmtId="0" fontId="34" fillId="0" borderId="0"/>
  </cellStyleXfs>
  <cellXfs count="249">
    <xf numFmtId="0" fontId="0" fillId="0" borderId="0" xfId="0"/>
    <xf numFmtId="0" fontId="1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1" fillId="35" borderId="13" xfId="0" applyFont="1" applyFill="1" applyBorder="1"/>
    <xf numFmtId="0" fontId="1" fillId="35" borderId="14" xfId="0" applyFont="1" applyFill="1" applyBorder="1"/>
    <xf numFmtId="0" fontId="2" fillId="35" borderId="15" xfId="0" applyFont="1" applyFill="1" applyBorder="1" applyAlignment="1">
      <alignment horizontal="left"/>
    </xf>
    <xf numFmtId="0" fontId="1" fillId="35" borderId="15" xfId="0" applyFont="1" applyFill="1" applyBorder="1"/>
    <xf numFmtId="0" fontId="1" fillId="35" borderId="16" xfId="0" applyFont="1" applyFill="1" applyBorder="1"/>
    <xf numFmtId="0" fontId="1" fillId="35" borderId="17" xfId="0" applyFont="1" applyFill="1" applyBorder="1"/>
    <xf numFmtId="0" fontId="4" fillId="0" borderId="0" xfId="0" applyFont="1" applyAlignment="1">
      <alignment horizontal="center" vertical="center"/>
    </xf>
    <xf numFmtId="0" fontId="4" fillId="0" borderId="0" xfId="0" applyFont="1"/>
    <xf numFmtId="0" fontId="32" fillId="0" borderId="0" xfId="1" applyFont="1" applyFill="1" applyBorder="1" applyAlignment="1">
      <alignment horizontal="center" vertical="center"/>
    </xf>
    <xf numFmtId="0" fontId="32" fillId="0" borderId="0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4" fillId="35" borderId="10" xfId="0" applyFont="1" applyFill="1" applyBorder="1" applyAlignment="1">
      <alignment horizontal="center" vertical="center"/>
    </xf>
    <xf numFmtId="0" fontId="4" fillId="35" borderId="11" xfId="0" applyFont="1" applyFill="1" applyBorder="1" applyAlignment="1">
      <alignment horizontal="center" vertical="center"/>
    </xf>
    <xf numFmtId="0" fontId="4" fillId="35" borderId="12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33" fillId="0" borderId="0" xfId="0" applyFont="1"/>
    <xf numFmtId="0" fontId="28" fillId="35" borderId="30" xfId="0" applyFont="1" applyFill="1" applyBorder="1" applyAlignment="1">
      <alignment horizontal="center" vertical="center"/>
    </xf>
    <xf numFmtId="0" fontId="2" fillId="35" borderId="0" xfId="0" applyFont="1" applyFill="1" applyAlignment="1">
      <alignment horizontal="left"/>
    </xf>
    <xf numFmtId="0" fontId="1" fillId="35" borderId="0" xfId="0" applyFont="1" applyFill="1"/>
    <xf numFmtId="0" fontId="28" fillId="35" borderId="31" xfId="0" applyFont="1" applyFill="1" applyBorder="1" applyAlignment="1">
      <alignment horizontal="center" vertical="center"/>
    </xf>
    <xf numFmtId="0" fontId="28" fillId="35" borderId="32" xfId="0" applyFont="1" applyFill="1" applyBorder="1" applyAlignment="1">
      <alignment horizontal="center" vertical="center"/>
    </xf>
    <xf numFmtId="0" fontId="29" fillId="34" borderId="0" xfId="0" applyFont="1" applyFill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0" fontId="31" fillId="0" borderId="0" xfId="0" applyFont="1"/>
    <xf numFmtId="0" fontId="4" fillId="0" borderId="0" xfId="0" applyFont="1" applyAlignment="1">
      <alignment wrapText="1"/>
    </xf>
    <xf numFmtId="0" fontId="35" fillId="36" borderId="33" xfId="0" applyFont="1" applyFill="1" applyBorder="1" applyAlignment="1">
      <alignment horizontal="center" vertical="center" wrapText="1"/>
    </xf>
    <xf numFmtId="0" fontId="35" fillId="0" borderId="33" xfId="0" applyFont="1" applyBorder="1" applyAlignment="1">
      <alignment horizontal="center" vertical="center" wrapText="1"/>
    </xf>
    <xf numFmtId="0" fontId="36" fillId="0" borderId="0" xfId="0" applyFont="1"/>
    <xf numFmtId="0" fontId="36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9" fillId="34" borderId="0" xfId="0" applyFont="1" applyFill="1" applyAlignment="1">
      <alignment horizontal="center" vertical="center" wrapText="1"/>
    </xf>
    <xf numFmtId="0" fontId="39" fillId="34" borderId="34" xfId="0" applyFont="1" applyFill="1" applyBorder="1" applyAlignment="1">
      <alignment horizontal="center" vertical="center" wrapText="1"/>
    </xf>
    <xf numFmtId="0" fontId="39" fillId="34" borderId="34" xfId="0" applyFont="1" applyFill="1" applyBorder="1" applyAlignment="1">
      <alignment horizontal="center" vertical="center"/>
    </xf>
    <xf numFmtId="0" fontId="40" fillId="34" borderId="34" xfId="0" applyFont="1" applyFill="1" applyBorder="1" applyAlignment="1">
      <alignment horizontal="center" vertical="center"/>
    </xf>
    <xf numFmtId="0" fontId="41" fillId="34" borderId="34" xfId="0" applyFont="1" applyFill="1" applyBorder="1" applyAlignment="1">
      <alignment horizontal="center" vertical="center" wrapText="1"/>
    </xf>
    <xf numFmtId="0" fontId="39" fillId="34" borderId="35" xfId="0" applyFont="1" applyFill="1" applyBorder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36" fillId="35" borderId="13" xfId="0" applyFont="1" applyFill="1" applyBorder="1"/>
    <xf numFmtId="0" fontId="36" fillId="35" borderId="14" xfId="0" applyFont="1" applyFill="1" applyBorder="1"/>
    <xf numFmtId="0" fontId="36" fillId="0" borderId="0" xfId="0" applyFont="1" applyBorder="1"/>
    <xf numFmtId="0" fontId="43" fillId="35" borderId="15" xfId="0" applyFont="1" applyFill="1" applyBorder="1" applyAlignment="1">
      <alignment horizontal="left"/>
    </xf>
    <xf numFmtId="0" fontId="43" fillId="35" borderId="0" xfId="0" applyFont="1" applyFill="1" applyBorder="1" applyAlignment="1">
      <alignment horizontal="left"/>
    </xf>
    <xf numFmtId="0" fontId="36" fillId="35" borderId="0" xfId="0" applyFont="1" applyFill="1" applyBorder="1"/>
    <xf numFmtId="0" fontId="36" fillId="35" borderId="15" xfId="0" applyFont="1" applyFill="1" applyBorder="1"/>
    <xf numFmtId="0" fontId="36" fillId="35" borderId="16" xfId="0" applyFont="1" applyFill="1" applyBorder="1"/>
    <xf numFmtId="0" fontId="36" fillId="35" borderId="17" xfId="0" applyFont="1" applyFill="1" applyBorder="1"/>
    <xf numFmtId="0" fontId="36" fillId="0" borderId="0" xfId="0" applyFont="1" applyBorder="1" applyAlignment="1">
      <alignment horizontal="center"/>
    </xf>
    <xf numFmtId="0" fontId="32" fillId="0" borderId="0" xfId="0" applyFont="1" applyFill="1" applyBorder="1" applyAlignment="1">
      <alignment horizontal="center" vertical="center" wrapText="1"/>
    </xf>
    <xf numFmtId="14" fontId="32" fillId="0" borderId="0" xfId="0" applyNumberFormat="1" applyFont="1" applyFill="1" applyBorder="1" applyAlignment="1">
      <alignment horizontal="center" vertical="center" wrapText="1"/>
    </xf>
    <xf numFmtId="0" fontId="42" fillId="35" borderId="19" xfId="0" applyFont="1" applyFill="1" applyBorder="1" applyAlignment="1">
      <alignment horizontal="center" vertical="center"/>
    </xf>
    <xf numFmtId="0" fontId="36" fillId="0" borderId="0" xfId="0" applyFont="1" applyFill="1" applyBorder="1"/>
    <xf numFmtId="0" fontId="42" fillId="35" borderId="22" xfId="0" applyFont="1" applyFill="1" applyBorder="1" applyAlignment="1">
      <alignment horizontal="center" vertical="center"/>
    </xf>
    <xf numFmtId="0" fontId="42" fillId="35" borderId="24" xfId="0" applyFont="1" applyFill="1" applyBorder="1" applyAlignment="1">
      <alignment horizontal="center" vertical="center"/>
    </xf>
    <xf numFmtId="14" fontId="36" fillId="0" borderId="0" xfId="0" applyNumberFormat="1" applyFont="1" applyBorder="1"/>
    <xf numFmtId="0" fontId="32" fillId="0" borderId="0" xfId="0" applyFont="1" applyAlignment="1">
      <alignment horizontal="center" vertical="center"/>
    </xf>
    <xf numFmtId="0" fontId="47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0" fontId="37" fillId="2" borderId="33" xfId="0" applyFont="1" applyFill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4" fontId="37" fillId="2" borderId="33" xfId="0" applyNumberFormat="1" applyFont="1" applyFill="1" applyBorder="1" applyAlignment="1">
      <alignment horizontal="center" vertical="center"/>
    </xf>
    <xf numFmtId="14" fontId="37" fillId="0" borderId="33" xfId="0" applyNumberFormat="1" applyFont="1" applyBorder="1" applyAlignment="1">
      <alignment horizontal="center" vertical="center"/>
    </xf>
    <xf numFmtId="14" fontId="37" fillId="0" borderId="33" xfId="0" applyNumberFormat="1" applyFont="1" applyBorder="1" applyAlignment="1">
      <alignment horizontal="center" vertical="center" shrinkToFit="1"/>
    </xf>
    <xf numFmtId="14" fontId="37" fillId="2" borderId="33" xfId="0" applyNumberFormat="1" applyFont="1" applyFill="1" applyBorder="1" applyAlignment="1">
      <alignment horizontal="center" vertical="center" shrinkToFit="1"/>
    </xf>
    <xf numFmtId="0" fontId="4" fillId="0" borderId="33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 wrapText="1"/>
    </xf>
    <xf numFmtId="49" fontId="4" fillId="0" borderId="33" xfId="0" applyNumberFormat="1" applyFont="1" applyBorder="1" applyAlignment="1">
      <alignment horizontal="center" vertical="center" wrapText="1"/>
    </xf>
    <xf numFmtId="49" fontId="4" fillId="0" borderId="33" xfId="0" applyNumberFormat="1" applyFont="1" applyBorder="1" applyAlignment="1">
      <alignment horizontal="center" vertical="center"/>
    </xf>
    <xf numFmtId="0" fontId="54" fillId="0" borderId="33" xfId="0" applyFont="1" applyBorder="1" applyAlignment="1">
      <alignment horizontal="center" vertical="center"/>
    </xf>
    <xf numFmtId="0" fontId="55" fillId="0" borderId="33" xfId="0" applyFont="1" applyBorder="1" applyAlignment="1">
      <alignment horizontal="center" vertical="center"/>
    </xf>
    <xf numFmtId="0" fontId="48" fillId="0" borderId="0" xfId="0" applyFont="1"/>
    <xf numFmtId="0" fontId="37" fillId="0" borderId="33" xfId="0" applyNumberFormat="1" applyFont="1" applyBorder="1" applyAlignment="1">
      <alignment horizontal="center" vertical="center"/>
    </xf>
    <xf numFmtId="14" fontId="0" fillId="0" borderId="33" xfId="0" applyNumberFormat="1" applyBorder="1" applyAlignment="1">
      <alignment horizontal="center" vertical="center" wrapText="1"/>
    </xf>
    <xf numFmtId="0" fontId="60" fillId="36" borderId="33" xfId="0" applyFont="1" applyFill="1" applyBorder="1" applyAlignment="1" applyProtection="1">
      <alignment horizontal="center" vertical="center" wrapText="1"/>
      <protection hidden="1"/>
    </xf>
    <xf numFmtId="14" fontId="54" fillId="0" borderId="33" xfId="0" applyNumberFormat="1" applyFont="1" applyBorder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45" fillId="0" borderId="0" xfId="0" applyFont="1" applyFill="1" applyBorder="1" applyAlignment="1">
      <alignment horizontal="center" vertical="center"/>
    </xf>
    <xf numFmtId="0" fontId="32" fillId="0" borderId="18" xfId="0" applyFont="1" applyFill="1" applyBorder="1" applyAlignment="1">
      <alignment horizontal="center" vertical="center" wrapText="1"/>
    </xf>
    <xf numFmtId="0" fontId="32" fillId="0" borderId="0" xfId="0" applyFont="1" applyFill="1" applyBorder="1"/>
    <xf numFmtId="0" fontId="46" fillId="0" borderId="0" xfId="0" applyFont="1" applyFill="1" applyBorder="1" applyAlignment="1">
      <alignment horizontal="center" vertical="center" wrapText="1"/>
    </xf>
    <xf numFmtId="0" fontId="46" fillId="0" borderId="0" xfId="0" applyNumberFormat="1" applyFont="1" applyFill="1" applyBorder="1" applyAlignment="1">
      <alignment horizontal="center" vertical="center" wrapText="1"/>
    </xf>
    <xf numFmtId="0" fontId="49" fillId="0" borderId="0" xfId="0" applyFont="1" applyFill="1" applyBorder="1" applyAlignment="1">
      <alignment horizontal="center" vertical="center" wrapText="1"/>
    </xf>
    <xf numFmtId="0" fontId="51" fillId="0" borderId="0" xfId="0" applyFont="1" applyFill="1" applyBorder="1" applyAlignment="1">
      <alignment horizontal="center" vertical="center" wrapText="1"/>
    </xf>
    <xf numFmtId="0" fontId="32" fillId="0" borderId="0" xfId="0" applyFont="1" applyBorder="1"/>
    <xf numFmtId="0" fontId="32" fillId="0" borderId="38" xfId="0" applyFont="1" applyFill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/>
    </xf>
    <xf numFmtId="0" fontId="54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52" fillId="0" borderId="0" xfId="0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center" vertical="center"/>
    </xf>
    <xf numFmtId="0" fontId="32" fillId="0" borderId="0" xfId="0" applyNumberFormat="1" applyFont="1" applyFill="1" applyBorder="1" applyAlignment="1">
      <alignment horizontal="center" vertical="center" wrapText="1"/>
    </xf>
    <xf numFmtId="14" fontId="58" fillId="0" borderId="0" xfId="0" applyNumberFormat="1" applyFont="1" applyFill="1" applyBorder="1" applyAlignment="1">
      <alignment horizontal="center" vertical="center" wrapText="1"/>
    </xf>
    <xf numFmtId="14" fontId="65" fillId="0" borderId="0" xfId="0" applyNumberFormat="1" applyFont="1" applyFill="1" applyBorder="1" applyAlignment="1">
      <alignment horizontal="center" vertical="center" wrapText="1"/>
    </xf>
    <xf numFmtId="0" fontId="63" fillId="0" borderId="0" xfId="0" applyFont="1" applyFill="1" applyBorder="1" applyAlignment="1">
      <alignment horizontal="center" vertical="center"/>
    </xf>
    <xf numFmtId="0" fontId="64" fillId="0" borderId="0" xfId="0" applyFont="1" applyFill="1" applyBorder="1" applyAlignment="1">
      <alignment horizontal="center" vertical="center" wrapText="1"/>
    </xf>
    <xf numFmtId="0" fontId="63" fillId="0" borderId="0" xfId="0" applyFont="1" applyFill="1" applyBorder="1" applyAlignment="1">
      <alignment horizontal="center" vertical="center" wrapText="1"/>
    </xf>
    <xf numFmtId="14" fontId="63" fillId="0" borderId="0" xfId="0" applyNumberFormat="1" applyFont="1" applyFill="1" applyBorder="1" applyAlignment="1">
      <alignment horizontal="center" vertical="center" wrapText="1"/>
    </xf>
    <xf numFmtId="0" fontId="63" fillId="0" borderId="0" xfId="0" applyNumberFormat="1" applyFont="1" applyFill="1" applyBorder="1" applyAlignment="1">
      <alignment horizontal="center" vertical="center" wrapText="1"/>
    </xf>
    <xf numFmtId="14" fontId="59" fillId="0" borderId="0" xfId="0" applyNumberFormat="1" applyFont="1" applyFill="1" applyBorder="1" applyAlignment="1">
      <alignment horizontal="center" vertical="center" wrapText="1"/>
    </xf>
    <xf numFmtId="0" fontId="53" fillId="0" borderId="0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horizontal="center" vertical="center" wrapText="1"/>
    </xf>
    <xf numFmtId="14" fontId="53" fillId="0" borderId="0" xfId="0" applyNumberFormat="1" applyFont="1" applyFill="1" applyBorder="1" applyAlignment="1">
      <alignment horizontal="center" vertical="center" wrapText="1"/>
    </xf>
    <xf numFmtId="0" fontId="53" fillId="0" borderId="0" xfId="0" applyNumberFormat="1" applyFont="1" applyFill="1" applyBorder="1" applyAlignment="1">
      <alignment horizontal="center" vertical="center" wrapText="1"/>
    </xf>
    <xf numFmtId="0" fontId="48" fillId="0" borderId="0" xfId="0" applyFont="1" applyFill="1" applyBorder="1"/>
    <xf numFmtId="0" fontId="56" fillId="0" borderId="0" xfId="0" applyFont="1" applyFill="1" applyBorder="1" applyAlignment="1">
      <alignment horizontal="center" vertical="center"/>
    </xf>
    <xf numFmtId="0" fontId="57" fillId="0" borderId="0" xfId="0" applyFont="1" applyFill="1" applyBorder="1" applyAlignment="1">
      <alignment horizontal="center" vertical="center" wrapText="1"/>
    </xf>
    <xf numFmtId="0" fontId="48" fillId="0" borderId="0" xfId="0" applyFont="1" applyFill="1" applyBorder="1" applyAlignment="1">
      <alignment horizontal="center" vertical="center" wrapText="1"/>
    </xf>
    <xf numFmtId="0" fontId="56" fillId="0" borderId="0" xfId="0" applyNumberFormat="1" applyFont="1" applyFill="1" applyBorder="1" applyAlignment="1">
      <alignment horizontal="center" vertical="center" wrapText="1"/>
    </xf>
    <xf numFmtId="0" fontId="32" fillId="0" borderId="0" xfId="0" quotePrefix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54" fillId="0" borderId="0" xfId="0" applyFont="1" applyFill="1" applyBorder="1" applyAlignment="1">
      <alignment horizontal="center" vertical="center" wrapText="1"/>
    </xf>
    <xf numFmtId="1" fontId="32" fillId="0" borderId="0" xfId="0" applyNumberFormat="1" applyFont="1" applyFill="1" applyBorder="1" applyAlignment="1">
      <alignment horizontal="center" vertical="center" wrapText="1"/>
    </xf>
    <xf numFmtId="14" fontId="61" fillId="0" borderId="0" xfId="0" applyNumberFormat="1" applyFont="1" applyFill="1" applyBorder="1" applyAlignment="1">
      <alignment horizontal="center" vertical="center" wrapText="1"/>
    </xf>
    <xf numFmtId="0" fontId="61" fillId="0" borderId="0" xfId="0" applyFont="1" applyFill="1" applyBorder="1" applyAlignment="1">
      <alignment horizontal="center" vertical="center"/>
    </xf>
    <xf numFmtId="0" fontId="62" fillId="0" borderId="0" xfId="0" applyFont="1" applyFill="1" applyBorder="1" applyAlignment="1">
      <alignment horizontal="center" vertical="center" wrapText="1"/>
    </xf>
    <xf numFmtId="0" fontId="61" fillId="0" borderId="0" xfId="0" applyFont="1" applyFill="1" applyBorder="1" applyAlignment="1">
      <alignment horizontal="center" vertical="center" wrapText="1"/>
    </xf>
    <xf numFmtId="0" fontId="61" fillId="0" borderId="0" xfId="0" applyNumberFormat="1" applyFont="1" applyFill="1" applyBorder="1" applyAlignment="1">
      <alignment horizontal="center" vertical="center" wrapText="1"/>
    </xf>
    <xf numFmtId="14" fontId="0" fillId="0" borderId="0" xfId="0" applyNumberFormat="1" applyFill="1" applyBorder="1" applyAlignment="1">
      <alignment horizontal="center" vertical="center" wrapText="1"/>
    </xf>
    <xf numFmtId="14" fontId="64" fillId="0" borderId="0" xfId="0" applyNumberFormat="1" applyFont="1" applyFill="1" applyBorder="1" applyAlignment="1">
      <alignment horizontal="center" vertical="center" wrapText="1"/>
    </xf>
    <xf numFmtId="14" fontId="32" fillId="0" borderId="0" xfId="0" applyNumberFormat="1" applyFont="1" applyFill="1" applyBorder="1" applyAlignment="1">
      <alignment horizontal="center" vertical="center"/>
    </xf>
    <xf numFmtId="14" fontId="63" fillId="0" borderId="0" xfId="0" applyNumberFormat="1" applyFont="1" applyFill="1" applyBorder="1" applyAlignment="1">
      <alignment horizontal="center" vertical="center"/>
    </xf>
    <xf numFmtId="0" fontId="49" fillId="0" borderId="0" xfId="0" applyFont="1" applyFill="1" applyBorder="1" applyAlignment="1">
      <alignment horizontal="center" vertical="center"/>
    </xf>
    <xf numFmtId="0" fontId="50" fillId="0" borderId="0" xfId="0" applyFont="1" applyFill="1" applyBorder="1" applyAlignment="1">
      <alignment horizontal="center" vertical="center" wrapText="1"/>
    </xf>
    <xf numFmtId="0" fontId="49" fillId="0" borderId="0" xfId="0" applyNumberFormat="1" applyFont="1" applyFill="1" applyBorder="1" applyAlignment="1">
      <alignment horizontal="center" vertical="center" wrapText="1"/>
    </xf>
    <xf numFmtId="0" fontId="32" fillId="0" borderId="0" xfId="0" applyFont="1" applyFill="1" applyBorder="1" applyAlignment="1">
      <alignment horizontal="center"/>
    </xf>
    <xf numFmtId="0" fontId="44" fillId="34" borderId="39" xfId="0" applyFont="1" applyFill="1" applyBorder="1" applyAlignment="1">
      <alignment horizontal="center" vertical="center"/>
    </xf>
    <xf numFmtId="0" fontId="44" fillId="34" borderId="36" xfId="0" applyFont="1" applyFill="1" applyBorder="1" applyAlignment="1">
      <alignment horizontal="center" vertical="center" wrapText="1"/>
    </xf>
    <xf numFmtId="0" fontId="44" fillId="34" borderId="36" xfId="0" applyFont="1" applyFill="1" applyBorder="1" applyAlignment="1">
      <alignment horizontal="center" vertical="center"/>
    </xf>
    <xf numFmtId="0" fontId="59" fillId="0" borderId="33" xfId="0" applyFont="1" applyBorder="1" applyAlignment="1">
      <alignment horizontal="center" vertical="center" wrapText="1"/>
    </xf>
    <xf numFmtId="0" fontId="59" fillId="0" borderId="37" xfId="0" applyFont="1" applyBorder="1" applyAlignment="1">
      <alignment horizontal="center" vertical="center" wrapText="1"/>
    </xf>
    <xf numFmtId="0" fontId="59" fillId="0" borderId="36" xfId="0" applyFont="1" applyBorder="1" applyAlignment="1">
      <alignment horizontal="center" vertical="center" wrapText="1"/>
    </xf>
    <xf numFmtId="0" fontId="44" fillId="34" borderId="40" xfId="0" applyFont="1" applyFill="1" applyBorder="1" applyAlignment="1">
      <alignment horizontal="center" vertical="center"/>
    </xf>
    <xf numFmtId="0" fontId="67" fillId="0" borderId="33" xfId="0" applyFont="1" applyBorder="1" applyAlignment="1" applyProtection="1">
      <alignment horizontal="center" vertical="center"/>
    </xf>
    <xf numFmtId="0" fontId="67" fillId="0" borderId="33" xfId="0" applyFont="1" applyBorder="1" applyAlignment="1" applyProtection="1">
      <alignment horizontal="center" vertical="center" wrapText="1"/>
    </xf>
    <xf numFmtId="49" fontId="67" fillId="0" borderId="33" xfId="0" applyNumberFormat="1" applyFont="1" applyBorder="1" applyAlignment="1" applyProtection="1">
      <alignment horizontal="center" vertical="center" wrapText="1"/>
    </xf>
    <xf numFmtId="49" fontId="67" fillId="0" borderId="33" xfId="0" applyNumberFormat="1" applyFont="1" applyBorder="1" applyAlignment="1" applyProtection="1">
      <alignment horizontal="center" vertical="center"/>
    </xf>
    <xf numFmtId="49" fontId="67" fillId="0" borderId="33" xfId="61" applyNumberFormat="1" applyFont="1" applyBorder="1" applyAlignment="1" applyProtection="1">
      <alignment horizontal="center" vertical="center" wrapText="1"/>
    </xf>
    <xf numFmtId="165" fontId="37" fillId="0" borderId="33" xfId="0" applyNumberFormat="1" applyFont="1" applyBorder="1" applyAlignment="1">
      <alignment horizontal="center" vertical="center"/>
    </xf>
    <xf numFmtId="0" fontId="66" fillId="0" borderId="33" xfId="0" applyFont="1" applyBorder="1" applyAlignment="1">
      <alignment horizontal="center" vertical="center" wrapText="1"/>
    </xf>
    <xf numFmtId="0" fontId="4" fillId="0" borderId="33" xfId="0" quotePrefix="1" applyFont="1" applyBorder="1" applyAlignment="1">
      <alignment horizontal="center" vertical="center" wrapText="1"/>
    </xf>
    <xf numFmtId="0" fontId="4" fillId="0" borderId="33" xfId="0" quotePrefix="1" applyFont="1" applyBorder="1" applyAlignment="1">
      <alignment horizontal="center" vertical="center"/>
    </xf>
    <xf numFmtId="0" fontId="68" fillId="36" borderId="33" xfId="0" applyFont="1" applyFill="1" applyBorder="1" applyAlignment="1" applyProtection="1">
      <alignment horizontal="center" vertical="center" wrapText="1"/>
      <protection hidden="1"/>
    </xf>
    <xf numFmtId="14" fontId="68" fillId="0" borderId="33" xfId="0" applyNumberFormat="1" applyFont="1" applyBorder="1" applyAlignment="1">
      <alignment horizontal="center" vertical="center" wrapText="1"/>
    </xf>
    <xf numFmtId="0" fontId="68" fillId="37" borderId="33" xfId="0" applyFont="1" applyFill="1" applyBorder="1" applyAlignment="1">
      <alignment horizontal="center" vertical="center" wrapText="1"/>
    </xf>
    <xf numFmtId="0" fontId="68" fillId="0" borderId="33" xfId="0" applyFont="1" applyBorder="1" applyAlignment="1">
      <alignment horizontal="center" vertical="center" wrapText="1"/>
    </xf>
    <xf numFmtId="14" fontId="68" fillId="37" borderId="33" xfId="0" applyNumberFormat="1" applyFont="1" applyFill="1" applyBorder="1" applyAlignment="1">
      <alignment horizontal="center" vertical="center" wrapText="1"/>
    </xf>
    <xf numFmtId="0" fontId="37" fillId="0" borderId="33" xfId="0" applyFont="1" applyFill="1" applyBorder="1" applyAlignment="1">
      <alignment horizontal="center" vertical="center"/>
    </xf>
    <xf numFmtId="0" fontId="68" fillId="0" borderId="33" xfId="0" applyFont="1" applyFill="1" applyBorder="1" applyAlignment="1" applyProtection="1">
      <alignment horizontal="center" vertical="center" wrapText="1"/>
      <protection hidden="1"/>
    </xf>
    <xf numFmtId="0" fontId="37" fillId="0" borderId="33" xfId="0" applyNumberFormat="1" applyFont="1" applyFill="1" applyBorder="1" applyAlignment="1">
      <alignment horizontal="center" vertical="center"/>
    </xf>
    <xf numFmtId="0" fontId="60" fillId="0" borderId="33" xfId="0" applyFont="1" applyFill="1" applyBorder="1" applyAlignment="1" applyProtection="1">
      <alignment horizontal="center" vertical="center" wrapText="1"/>
      <protection hidden="1"/>
    </xf>
    <xf numFmtId="0" fontId="4" fillId="0" borderId="33" xfId="0" applyFont="1" applyBorder="1" applyAlignment="1" applyProtection="1">
      <alignment horizontal="center" vertical="center"/>
    </xf>
    <xf numFmtId="0" fontId="4" fillId="0" borderId="33" xfId="0" applyFont="1" applyBorder="1" applyAlignment="1" applyProtection="1">
      <alignment horizontal="center" vertical="center" wrapText="1"/>
    </xf>
    <xf numFmtId="0" fontId="37" fillId="0" borderId="37" xfId="0" applyFont="1" applyBorder="1" applyAlignment="1">
      <alignment horizontal="center" vertical="center"/>
    </xf>
    <xf numFmtId="49" fontId="4" fillId="0" borderId="33" xfId="0" applyNumberFormat="1" applyFont="1" applyBorder="1" applyAlignment="1" applyProtection="1">
      <alignment horizontal="center" vertical="center"/>
    </xf>
    <xf numFmtId="0" fontId="4" fillId="0" borderId="37" xfId="0" applyFont="1" applyBorder="1" applyAlignment="1" applyProtection="1">
      <alignment horizontal="center" vertical="center" wrapText="1"/>
    </xf>
    <xf numFmtId="0" fontId="36" fillId="38" borderId="33" xfId="0" applyFont="1" applyFill="1" applyBorder="1" applyAlignment="1">
      <alignment horizontal="center" vertical="center" wrapText="1"/>
    </xf>
    <xf numFmtId="0" fontId="26" fillId="36" borderId="33" xfId="0" applyFont="1" applyFill="1" applyBorder="1" applyAlignment="1" applyProtection="1">
      <alignment horizontal="center" vertical="center" wrapText="1"/>
      <protection hidden="1"/>
    </xf>
    <xf numFmtId="0" fontId="0" fillId="36" borderId="33" xfId="0" applyFill="1" applyBorder="1" applyAlignment="1" applyProtection="1">
      <alignment horizontal="center" vertical="center" wrapText="1"/>
      <protection hidden="1"/>
    </xf>
    <xf numFmtId="0" fontId="69" fillId="36" borderId="33" xfId="0" applyFont="1" applyFill="1" applyBorder="1" applyAlignment="1" applyProtection="1">
      <alignment horizontal="center" vertical="center" wrapText="1"/>
      <protection hidden="1"/>
    </xf>
    <xf numFmtId="0" fontId="0" fillId="0" borderId="33" xfId="0" applyFont="1" applyBorder="1" applyAlignment="1">
      <alignment horizontal="center" vertical="center"/>
    </xf>
    <xf numFmtId="0" fontId="0" fillId="2" borderId="33" xfId="0" applyFont="1" applyFill="1" applyBorder="1" applyAlignment="1">
      <alignment horizontal="center" vertical="center"/>
    </xf>
    <xf numFmtId="0" fontId="0" fillId="0" borderId="33" xfId="0" applyNumberFormat="1" applyFont="1" applyBorder="1" applyAlignment="1">
      <alignment horizontal="center" vertical="center"/>
    </xf>
    <xf numFmtId="0" fontId="44" fillId="34" borderId="39" xfId="0" applyFont="1" applyFill="1" applyBorder="1" applyAlignment="1">
      <alignment horizontal="center" vertical="center" wrapText="1"/>
    </xf>
    <xf numFmtId="14" fontId="32" fillId="0" borderId="18" xfId="0" applyNumberFormat="1" applyFont="1" applyFill="1" applyBorder="1" applyAlignment="1">
      <alignment horizontal="center" vertical="center" wrapText="1"/>
    </xf>
    <xf numFmtId="14" fontId="32" fillId="0" borderId="38" xfId="0" applyNumberFormat="1" applyFont="1" applyFill="1" applyBorder="1" applyAlignment="1">
      <alignment horizontal="center" vertical="center" wrapText="1"/>
    </xf>
    <xf numFmtId="14" fontId="32" fillId="0" borderId="33" xfId="0" applyNumberFormat="1" applyFont="1" applyFill="1" applyBorder="1" applyAlignment="1">
      <alignment horizontal="center" vertical="center" wrapText="1"/>
    </xf>
    <xf numFmtId="14" fontId="32" fillId="0" borderId="37" xfId="0" applyNumberFormat="1" applyFont="1" applyFill="1" applyBorder="1" applyAlignment="1">
      <alignment horizontal="center" vertical="center" wrapText="1"/>
    </xf>
    <xf numFmtId="14" fontId="32" fillId="0" borderId="33" xfId="0" quotePrefix="1" applyNumberFormat="1" applyFont="1" applyFill="1" applyBorder="1" applyAlignment="1">
      <alignment horizontal="center" vertical="center" wrapText="1"/>
    </xf>
    <xf numFmtId="14" fontId="32" fillId="0" borderId="33" xfId="0" applyNumberFormat="1" applyFont="1" applyFill="1" applyBorder="1" applyAlignment="1">
      <alignment horizontal="center" vertical="center"/>
    </xf>
    <xf numFmtId="166" fontId="59" fillId="0" borderId="33" xfId="0" applyNumberFormat="1" applyFont="1" applyFill="1" applyBorder="1" applyAlignment="1">
      <alignment horizontal="center" vertical="center" wrapText="1"/>
    </xf>
    <xf numFmtId="166" fontId="59" fillId="0" borderId="37" xfId="0" applyNumberFormat="1" applyFont="1" applyFill="1" applyBorder="1" applyAlignment="1">
      <alignment horizontal="center" vertical="center" wrapText="1"/>
    </xf>
    <xf numFmtId="14" fontId="37" fillId="0" borderId="33" xfId="0" applyNumberFormat="1" applyFont="1" applyFill="1" applyBorder="1" applyAlignment="1">
      <alignment horizontal="center" vertical="center"/>
    </xf>
    <xf numFmtId="14" fontId="32" fillId="0" borderId="37" xfId="0" applyNumberFormat="1" applyFont="1" applyFill="1" applyBorder="1" applyAlignment="1">
      <alignment horizontal="center" vertical="center"/>
    </xf>
    <xf numFmtId="0" fontId="44" fillId="34" borderId="40" xfId="0" applyFont="1" applyFill="1" applyBorder="1" applyAlignment="1">
      <alignment horizontal="center" vertical="center" wrapText="1"/>
    </xf>
    <xf numFmtId="166" fontId="70" fillId="0" borderId="33" xfId="0" applyNumberFormat="1" applyFont="1" applyFill="1" applyBorder="1" applyAlignment="1">
      <alignment horizontal="center" vertical="center" wrapText="1"/>
    </xf>
    <xf numFmtId="0" fontId="32" fillId="0" borderId="42" xfId="0" applyNumberFormat="1" applyFont="1" applyFill="1" applyBorder="1" applyAlignment="1">
      <alignment horizontal="center" vertical="center" wrapText="1"/>
    </xf>
    <xf numFmtId="14" fontId="70" fillId="0" borderId="33" xfId="0" applyNumberFormat="1" applyFont="1" applyFill="1" applyBorder="1" applyAlignment="1">
      <alignment horizontal="center" vertical="center" wrapText="1"/>
    </xf>
    <xf numFmtId="0" fontId="32" fillId="0" borderId="41" xfId="0" applyNumberFormat="1" applyFont="1" applyFill="1" applyBorder="1" applyAlignment="1">
      <alignment horizontal="center" vertical="center" wrapText="1"/>
    </xf>
    <xf numFmtId="14" fontId="70" fillId="0" borderId="37" xfId="0" applyNumberFormat="1" applyFont="1" applyFill="1" applyBorder="1" applyAlignment="1">
      <alignment horizontal="center" vertical="center" wrapText="1"/>
    </xf>
    <xf numFmtId="166" fontId="70" fillId="0" borderId="37" xfId="0" applyNumberFormat="1" applyFont="1" applyFill="1" applyBorder="1" applyAlignment="1">
      <alignment horizontal="center" vertical="center" wrapText="1"/>
    </xf>
    <xf numFmtId="14" fontId="32" fillId="0" borderId="42" xfId="0" applyNumberFormat="1" applyFont="1" applyFill="1" applyBorder="1" applyAlignment="1">
      <alignment horizontal="center" vertical="center" wrapText="1"/>
    </xf>
    <xf numFmtId="14" fontId="72" fillId="0" borderId="33" xfId="0" applyNumberFormat="1" applyFont="1" applyFill="1" applyBorder="1" applyAlignment="1">
      <alignment horizontal="center" vertical="center" wrapText="1"/>
    </xf>
    <xf numFmtId="14" fontId="32" fillId="0" borderId="41" xfId="0" applyNumberFormat="1" applyFont="1" applyFill="1" applyBorder="1" applyAlignment="1">
      <alignment horizontal="center" vertical="center" wrapText="1"/>
    </xf>
    <xf numFmtId="14" fontId="72" fillId="0" borderId="37" xfId="0" applyNumberFormat="1" applyFont="1" applyFill="1" applyBorder="1" applyAlignment="1">
      <alignment horizontal="center" vertical="center" wrapText="1"/>
    </xf>
    <xf numFmtId="0" fontId="73" fillId="0" borderId="33" xfId="0" applyNumberFormat="1" applyFont="1" applyBorder="1" applyAlignment="1">
      <alignment horizontal="center" vertical="center"/>
    </xf>
    <xf numFmtId="14" fontId="73" fillId="0" borderId="33" xfId="0" applyNumberFormat="1" applyFont="1" applyBorder="1" applyAlignment="1">
      <alignment horizontal="center" vertical="center" shrinkToFit="1"/>
    </xf>
    <xf numFmtId="0" fontId="73" fillId="0" borderId="33" xfId="0" applyFont="1" applyBorder="1" applyAlignment="1">
      <alignment horizontal="center" vertical="center"/>
    </xf>
    <xf numFmtId="165" fontId="73" fillId="0" borderId="33" xfId="0" applyNumberFormat="1" applyFont="1" applyBorder="1" applyAlignment="1">
      <alignment horizontal="center" vertical="center"/>
    </xf>
    <xf numFmtId="0" fontId="32" fillId="0" borderId="42" xfId="0" applyFont="1" applyFill="1" applyBorder="1" applyAlignment="1">
      <alignment horizontal="center" vertical="center" wrapText="1"/>
    </xf>
    <xf numFmtId="0" fontId="32" fillId="0" borderId="41" xfId="0" applyFont="1" applyFill="1" applyBorder="1" applyAlignment="1">
      <alignment horizontal="center" vertical="center" wrapText="1"/>
    </xf>
    <xf numFmtId="0" fontId="75" fillId="39" borderId="33" xfId="0" applyFont="1" applyFill="1" applyBorder="1" applyAlignment="1">
      <alignment horizontal="center" vertical="center"/>
    </xf>
    <xf numFmtId="0" fontId="73" fillId="0" borderId="37" xfId="0" applyFont="1" applyBorder="1" applyAlignment="1">
      <alignment horizontal="center" vertical="center"/>
    </xf>
    <xf numFmtId="0" fontId="73" fillId="0" borderId="37" xfId="0" applyNumberFormat="1" applyFont="1" applyBorder="1" applyAlignment="1">
      <alignment horizontal="center" vertical="center"/>
    </xf>
    <xf numFmtId="14" fontId="73" fillId="0" borderId="37" xfId="0" applyNumberFormat="1" applyFont="1" applyBorder="1" applyAlignment="1">
      <alignment horizontal="center" vertical="center" shrinkToFit="1"/>
    </xf>
    <xf numFmtId="165" fontId="73" fillId="0" borderId="37" xfId="0" applyNumberFormat="1" applyFont="1" applyBorder="1" applyAlignment="1">
      <alignment horizontal="center" vertical="center"/>
    </xf>
    <xf numFmtId="0" fontId="0" fillId="0" borderId="33" xfId="0" applyFont="1" applyFill="1" applyBorder="1" applyAlignment="1" applyProtection="1">
      <alignment horizontal="center" vertical="center" wrapText="1"/>
      <protection hidden="1"/>
    </xf>
    <xf numFmtId="0" fontId="0" fillId="39" borderId="33" xfId="0" applyFont="1" applyFill="1" applyBorder="1" applyAlignment="1" applyProtection="1">
      <alignment horizontal="center" vertical="center" wrapText="1"/>
      <protection hidden="1"/>
    </xf>
    <xf numFmtId="0" fontId="26" fillId="0" borderId="33" xfId="0" applyFont="1" applyFill="1" applyBorder="1" applyAlignment="1" applyProtection="1">
      <alignment horizontal="center" vertical="center" wrapText="1"/>
      <protection hidden="1"/>
    </xf>
    <xf numFmtId="0" fontId="71" fillId="0" borderId="42" xfId="0" applyFont="1" applyFill="1" applyBorder="1" applyAlignment="1">
      <alignment horizontal="center" vertical="center" wrapText="1"/>
    </xf>
    <xf numFmtId="0" fontId="71" fillId="0" borderId="42" xfId="0" applyNumberFormat="1" applyFont="1" applyFill="1" applyBorder="1" applyAlignment="1">
      <alignment horizontal="center" vertical="center" wrapText="1"/>
    </xf>
    <xf numFmtId="14" fontId="71" fillId="0" borderId="18" xfId="0" applyNumberFormat="1" applyFont="1" applyFill="1" applyBorder="1" applyAlignment="1">
      <alignment horizontal="center" vertical="center" wrapText="1"/>
    </xf>
    <xf numFmtId="14" fontId="54" fillId="0" borderId="33" xfId="0" applyNumberFormat="1" applyFont="1" applyFill="1" applyBorder="1" applyAlignment="1">
      <alignment horizontal="center" vertical="center"/>
    </xf>
    <xf numFmtId="14" fontId="55" fillId="0" borderId="33" xfId="0" applyNumberFormat="1" applyFont="1" applyFill="1" applyBorder="1" applyAlignment="1">
      <alignment horizontal="center" vertical="center"/>
    </xf>
    <xf numFmtId="14" fontId="0" fillId="0" borderId="33" xfId="0" applyNumberFormat="1" applyFill="1" applyBorder="1" applyAlignment="1">
      <alignment horizontal="center" vertical="center" wrapText="1"/>
    </xf>
    <xf numFmtId="14" fontId="54" fillId="0" borderId="37" xfId="0" applyNumberFormat="1" applyFont="1" applyFill="1" applyBorder="1" applyAlignment="1">
      <alignment horizontal="center" vertical="center"/>
    </xf>
    <xf numFmtId="166" fontId="72" fillId="0" borderId="33" xfId="0" applyNumberFormat="1" applyFont="1" applyFill="1" applyBorder="1" applyAlignment="1">
      <alignment horizontal="center" vertical="center" wrapText="1"/>
    </xf>
    <xf numFmtId="166" fontId="72" fillId="0" borderId="37" xfId="0" applyNumberFormat="1" applyFont="1" applyFill="1" applyBorder="1" applyAlignment="1">
      <alignment horizontal="center" vertical="center" wrapText="1"/>
    </xf>
    <xf numFmtId="14" fontId="71" fillId="0" borderId="33" xfId="0" applyNumberFormat="1" applyFont="1" applyFill="1" applyBorder="1" applyAlignment="1">
      <alignment horizontal="center" vertical="center"/>
    </xf>
    <xf numFmtId="14" fontId="71" fillId="0" borderId="37" xfId="0" applyNumberFormat="1" applyFont="1" applyFill="1" applyBorder="1" applyAlignment="1">
      <alignment horizontal="center" vertical="center"/>
    </xf>
    <xf numFmtId="14" fontId="74" fillId="0" borderId="37" xfId="0" applyNumberFormat="1" applyFont="1" applyFill="1" applyBorder="1" applyAlignment="1">
      <alignment horizontal="center" vertical="center"/>
    </xf>
    <xf numFmtId="14" fontId="74" fillId="0" borderId="33" xfId="0" applyNumberFormat="1" applyFont="1" applyFill="1" applyBorder="1" applyAlignment="1">
      <alignment horizontal="center" vertical="center"/>
    </xf>
    <xf numFmtId="0" fontId="37" fillId="0" borderId="33" xfId="0" applyFont="1" applyBorder="1" applyAlignment="1">
      <alignment horizontal="center" vertical="center" wrapText="1"/>
    </xf>
    <xf numFmtId="0" fontId="73" fillId="0" borderId="37" xfId="0" applyNumberFormat="1" applyFont="1" applyBorder="1" applyAlignment="1">
      <alignment horizontal="center" vertical="center" wrapText="1"/>
    </xf>
    <xf numFmtId="0" fontId="76" fillId="0" borderId="42" xfId="0" applyFont="1" applyFill="1" applyBorder="1" applyAlignment="1">
      <alignment horizontal="center" vertical="center" wrapText="1"/>
    </xf>
    <xf numFmtId="0" fontId="76" fillId="0" borderId="42" xfId="0" applyNumberFormat="1" applyFont="1" applyFill="1" applyBorder="1" applyAlignment="1">
      <alignment horizontal="center" vertical="center" wrapText="1"/>
    </xf>
    <xf numFmtId="14" fontId="76" fillId="0" borderId="18" xfId="0" applyNumberFormat="1" applyFont="1" applyFill="1" applyBorder="1" applyAlignment="1">
      <alignment horizontal="center" vertical="center" wrapText="1"/>
    </xf>
    <xf numFmtId="14" fontId="77" fillId="0" borderId="33" xfId="0" applyNumberFormat="1" applyFont="1" applyFill="1" applyBorder="1" applyAlignment="1">
      <alignment horizontal="center" vertical="center"/>
    </xf>
    <xf numFmtId="166" fontId="78" fillId="0" borderId="33" xfId="0" applyNumberFormat="1" applyFont="1" applyFill="1" applyBorder="1" applyAlignment="1">
      <alignment horizontal="center" vertical="center" wrapText="1"/>
    </xf>
    <xf numFmtId="0" fontId="76" fillId="0" borderId="41" xfId="0" applyFont="1" applyFill="1" applyBorder="1" applyAlignment="1">
      <alignment horizontal="center" vertical="center" wrapText="1"/>
    </xf>
    <xf numFmtId="0" fontId="76" fillId="0" borderId="41" xfId="0" applyNumberFormat="1" applyFont="1" applyFill="1" applyBorder="1" applyAlignment="1">
      <alignment horizontal="center" vertical="center" wrapText="1"/>
    </xf>
    <xf numFmtId="14" fontId="76" fillId="0" borderId="38" xfId="0" applyNumberFormat="1" applyFont="1" applyFill="1" applyBorder="1" applyAlignment="1">
      <alignment horizontal="center" vertical="center" wrapText="1"/>
    </xf>
    <xf numFmtId="14" fontId="77" fillId="0" borderId="37" xfId="0" applyNumberFormat="1" applyFont="1" applyFill="1" applyBorder="1" applyAlignment="1">
      <alignment horizontal="center" vertical="center"/>
    </xf>
    <xf numFmtId="166" fontId="78" fillId="0" borderId="37" xfId="0" applyNumberFormat="1" applyFont="1" applyFill="1" applyBorder="1" applyAlignment="1">
      <alignment horizontal="center" vertical="center" wrapText="1"/>
    </xf>
    <xf numFmtId="165" fontId="37" fillId="0" borderId="37" xfId="0" applyNumberFormat="1" applyFont="1" applyBorder="1" applyAlignment="1">
      <alignment horizontal="center" vertical="center"/>
    </xf>
    <xf numFmtId="0" fontId="79" fillId="0" borderId="33" xfId="0" applyFont="1" applyBorder="1" applyAlignment="1">
      <alignment horizontal="center" vertical="center"/>
    </xf>
    <xf numFmtId="0" fontId="79" fillId="0" borderId="33" xfId="0" applyNumberFormat="1" applyFont="1" applyBorder="1" applyAlignment="1">
      <alignment horizontal="center" vertical="center"/>
    </xf>
    <xf numFmtId="14" fontId="79" fillId="0" borderId="33" xfId="0" applyNumberFormat="1" applyFont="1" applyBorder="1" applyAlignment="1">
      <alignment horizontal="center" vertical="center" shrinkToFit="1"/>
    </xf>
    <xf numFmtId="165" fontId="79" fillId="0" borderId="33" xfId="0" applyNumberFormat="1" applyFont="1" applyBorder="1" applyAlignment="1">
      <alignment horizontal="center" vertical="center"/>
    </xf>
    <xf numFmtId="0" fontId="79" fillId="0" borderId="33" xfId="0" applyNumberFormat="1" applyFont="1" applyFill="1" applyBorder="1" applyAlignment="1" applyProtection="1">
      <alignment horizontal="center" vertical="center"/>
      <protection hidden="1"/>
    </xf>
    <xf numFmtId="14" fontId="36" fillId="0" borderId="33" xfId="0" applyNumberFormat="1" applyFont="1" applyFill="1" applyBorder="1" applyAlignment="1">
      <alignment horizontal="center" vertical="center"/>
    </xf>
    <xf numFmtId="14" fontId="36" fillId="0" borderId="37" xfId="0" applyNumberFormat="1" applyFont="1" applyFill="1" applyBorder="1" applyAlignment="1">
      <alignment horizontal="center" vertical="center"/>
    </xf>
    <xf numFmtId="0" fontId="0" fillId="40" borderId="0" xfId="0" applyFill="1"/>
    <xf numFmtId="0" fontId="37" fillId="0" borderId="37" xfId="0" applyNumberFormat="1" applyFont="1" applyBorder="1" applyAlignment="1">
      <alignment horizontal="center" vertical="center" wrapText="1"/>
    </xf>
    <xf numFmtId="0" fontId="32" fillId="35" borderId="20" xfId="0" applyFont="1" applyFill="1" applyBorder="1" applyAlignment="1">
      <alignment horizontal="center" vertical="center"/>
    </xf>
    <xf numFmtId="0" fontId="32" fillId="35" borderId="27" xfId="0" applyFont="1" applyFill="1" applyBorder="1" applyAlignment="1">
      <alignment horizontal="center" vertical="center"/>
    </xf>
    <xf numFmtId="0" fontId="32" fillId="35" borderId="21" xfId="0" applyFont="1" applyFill="1" applyBorder="1" applyAlignment="1">
      <alignment horizontal="center" vertical="center"/>
    </xf>
    <xf numFmtId="0" fontId="32" fillId="35" borderId="10" xfId="0" applyFont="1" applyFill="1" applyBorder="1" applyAlignment="1">
      <alignment horizontal="center" vertical="center"/>
    </xf>
    <xf numFmtId="0" fontId="32" fillId="35" borderId="28" xfId="0" applyFont="1" applyFill="1" applyBorder="1" applyAlignment="1">
      <alignment horizontal="center" vertical="center"/>
    </xf>
    <xf numFmtId="0" fontId="32" fillId="35" borderId="23" xfId="0" applyFont="1" applyFill="1" applyBorder="1" applyAlignment="1">
      <alignment horizontal="center" vertical="center"/>
    </xf>
    <xf numFmtId="0" fontId="32" fillId="35" borderId="25" xfId="0" applyFont="1" applyFill="1" applyBorder="1" applyAlignment="1">
      <alignment horizontal="center" vertical="center"/>
    </xf>
    <xf numFmtId="0" fontId="32" fillId="35" borderId="29" xfId="0" applyFont="1" applyFill="1" applyBorder="1" applyAlignment="1">
      <alignment horizontal="center" vertical="center"/>
    </xf>
    <xf numFmtId="0" fontId="32" fillId="35" borderId="26" xfId="0" applyFont="1" applyFill="1" applyBorder="1" applyAlignment="1">
      <alignment horizontal="center" vertical="center"/>
    </xf>
  </cellXfs>
  <cellStyles count="62">
    <cellStyle name="20% - Énfasis1" xfId="18" builtinId="30" customBuiltin="1"/>
    <cellStyle name="20% - Énfasis2" xfId="22" builtinId="34" customBuiltin="1"/>
    <cellStyle name="20% - Énfasis3" xfId="26" builtinId="38" customBuiltin="1"/>
    <cellStyle name="20% - Énfasis4" xfId="30" builtinId="42" customBuiltin="1"/>
    <cellStyle name="20% - Énfasis5" xfId="34" builtinId="46" customBuiltin="1"/>
    <cellStyle name="20% - Énfasis6" xfId="38" builtinId="50" customBuiltin="1"/>
    <cellStyle name="40% - Énfasis1" xfId="19" builtinId="31" customBuiltin="1"/>
    <cellStyle name="40% - Énfasis2" xfId="23" builtinId="35" customBuiltin="1"/>
    <cellStyle name="40% - Énfasis3" xfId="27" builtinId="39" customBuiltin="1"/>
    <cellStyle name="40% - Énfasis4" xfId="31" builtinId="43" customBuiltin="1"/>
    <cellStyle name="40% - Énfasis5" xfId="35" builtinId="47" customBuiltin="1"/>
    <cellStyle name="40% - Énfasis6" xfId="39" builtinId="51" customBuiltin="1"/>
    <cellStyle name="60% - Énfasis1" xfId="20" builtinId="32" customBuiltin="1"/>
    <cellStyle name="60% - Énfasis2" xfId="24" builtinId="36" customBuiltin="1"/>
    <cellStyle name="60% - Énfasis3" xfId="28" builtinId="40" customBuiltin="1"/>
    <cellStyle name="60% - Énfasis4" xfId="32" builtinId="44" customBuiltin="1"/>
    <cellStyle name="60% - Énfasis5" xfId="36" builtinId="48" customBuiltin="1"/>
    <cellStyle name="60% - Énfasis6" xfId="40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7" builtinId="29" customBuiltin="1"/>
    <cellStyle name="Énfasis2" xfId="21" builtinId="33" customBuiltin="1"/>
    <cellStyle name="Énfasis3" xfId="25" builtinId="37" customBuiltin="1"/>
    <cellStyle name="Énfasis4" xfId="29" builtinId="41" customBuiltin="1"/>
    <cellStyle name="Énfasis5" xfId="33" builtinId="45" customBuiltin="1"/>
    <cellStyle name="Énfasis6" xfId="37" builtinId="49" customBuiltin="1"/>
    <cellStyle name="Entrada" xfId="9" builtinId="20" customBuiltin="1"/>
    <cellStyle name="Incorrecto" xfId="7" builtinId="27" customBuiltin="1"/>
    <cellStyle name="Millares 2" xfId="44" xr:uid="{00000000-0005-0000-0000-000020000000}"/>
    <cellStyle name="Millares 2 2" xfId="45" xr:uid="{00000000-0005-0000-0000-000021000000}"/>
    <cellStyle name="Millares 2 3" xfId="46" xr:uid="{00000000-0005-0000-0000-000022000000}"/>
    <cellStyle name="Millares 3" xfId="47" xr:uid="{00000000-0005-0000-0000-000023000000}"/>
    <cellStyle name="Millares 4" xfId="48" xr:uid="{00000000-0005-0000-0000-000024000000}"/>
    <cellStyle name="Millares 5" xfId="58" xr:uid="{00000000-0005-0000-0000-000025000000}"/>
    <cellStyle name="Neutral" xfId="8" builtinId="28" customBuiltin="1"/>
    <cellStyle name="Normal" xfId="0" builtinId="0"/>
    <cellStyle name="Normal 10" xfId="60" xr:uid="{00000000-0005-0000-0000-000028000000}"/>
    <cellStyle name="Normal 2" xfId="1" xr:uid="{00000000-0005-0000-0000-000029000000}"/>
    <cellStyle name="Normal 2 2" xfId="50" xr:uid="{00000000-0005-0000-0000-00002A000000}"/>
    <cellStyle name="Normal 2 3" xfId="49" xr:uid="{00000000-0005-0000-0000-00002B000000}"/>
    <cellStyle name="Normal 3" xfId="51" xr:uid="{00000000-0005-0000-0000-00002C000000}"/>
    <cellStyle name="Normal 3 2" xfId="52" xr:uid="{00000000-0005-0000-0000-00002D000000}"/>
    <cellStyle name="Normal 3 3" xfId="53" xr:uid="{00000000-0005-0000-0000-00002E000000}"/>
    <cellStyle name="Normal 3 4" xfId="61" xr:uid="{00000000-0005-0000-0000-00002F000000}"/>
    <cellStyle name="Normal 4" xfId="54" xr:uid="{00000000-0005-0000-0000-000030000000}"/>
    <cellStyle name="Normal 5" xfId="55" xr:uid="{00000000-0005-0000-0000-000031000000}"/>
    <cellStyle name="Normal 6" xfId="56" xr:uid="{00000000-0005-0000-0000-000032000000}"/>
    <cellStyle name="Normal 7" xfId="57" xr:uid="{00000000-0005-0000-0000-000033000000}"/>
    <cellStyle name="Normal 8" xfId="43" xr:uid="{00000000-0005-0000-0000-000034000000}"/>
    <cellStyle name="Normal 9" xfId="41" xr:uid="{00000000-0005-0000-0000-000035000000}"/>
    <cellStyle name="Notas 2" xfId="59" xr:uid="{00000000-0005-0000-0000-000036000000}"/>
    <cellStyle name="Salida" xfId="10" builtinId="21" customBuiltin="1"/>
    <cellStyle name="Texto de advertencia" xfId="14" builtinId="11" customBuiltin="1"/>
    <cellStyle name="Texto explicativo" xfId="15" builtinId="53" customBuiltin="1"/>
    <cellStyle name="Título 2" xfId="3" builtinId="17" customBuiltin="1"/>
    <cellStyle name="Título 3" xfId="4" builtinId="18" customBuiltin="1"/>
    <cellStyle name="Título 4" xfId="42" xr:uid="{00000000-0005-0000-0000-00003C000000}"/>
    <cellStyle name="Total" xfId="16" builtinId="25" customBuiltin="1"/>
  </cellStyles>
  <dxfs count="5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 Narrow"/>
        <scheme val="none"/>
      </font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0"/>
        <name val="Arial Narrow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Trebuchet MS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Trebuchet MS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Trebuchet MS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Trebuchet MS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Trebuchet MS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Trebuchet MS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Trebuchet MS"/>
        <scheme val="none"/>
      </font>
      <alignment horizontal="center" vertical="center" textRotation="0" wrapText="1" indent="0" justifyLastLine="0" shrinkToFit="0" readingOrder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Trebuchet MS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rgb="FF000000"/>
        <name val="Trebuchet MS"/>
        <scheme val="none"/>
      </font>
      <numFmt numFmtId="166" formatCode="[$-F400]h:mm:ss\ AM/PM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Trebuchet MS"/>
        <scheme val="none"/>
      </font>
      <numFmt numFmtId="166" formatCode="[$-F400]h:mm:ss\ AM/PM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Trebuchet MS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Trebuchet MS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Trebuchet MS"/>
        <scheme val="none"/>
      </font>
      <fill>
        <patternFill patternType="solid">
          <fgColor indexed="64"/>
          <bgColor theme="3" tint="-0.49998474074526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165" formatCode="&quot;MM-&quot;\ 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165" formatCode="&quot;MM-&quot;\ 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19" formatCode="d/mm/yyyy"/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12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fill>
        <patternFill patternType="solid">
          <fgColor theme="6" tint="0.79998168889431442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rebuchet MS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font>
        <b val="0"/>
        <strike val="0"/>
        <outline val="0"/>
        <shadow val="0"/>
        <u val="none"/>
        <vertAlign val="baseline"/>
        <sz val="12"/>
        <name val="Trebuchet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rebuchet MS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</dxfs>
  <tableStyles count="0" defaultTableStyle="TableStyleMedium2" defaultPivotStyle="PivotStyleLight16"/>
  <colors>
    <mruColors>
      <color rgb="FF00FF99"/>
      <color rgb="FFCCFF66"/>
      <color rgb="FF0099CC"/>
      <color rgb="FF00CC66"/>
      <color rgb="FF40DE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266701</xdr:colOff>
      <xdr:row>0</xdr:row>
      <xdr:rowOff>0</xdr:rowOff>
    </xdr:from>
    <xdr:ext cx="2963092" cy="1626326"/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7D032B35-6E8A-4A13-A200-5CAB2ABCB197}"/>
            </a:ext>
          </a:extLst>
        </xdr:cNvPr>
        <xdr:cNvSpPr txBox="1"/>
      </xdr:nvSpPr>
      <xdr:spPr>
        <a:xfrm>
          <a:off x="27685094" y="54428"/>
          <a:ext cx="2963092" cy="16263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PE" sz="1400" b="1" i="1" u="sng" strike="noStrike">
              <a:solidFill>
                <a:srgbClr val="FF0000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GRUPOS DE TRABAJO</a:t>
          </a:r>
        </a:p>
        <a:p>
          <a:pPr algn="ctr"/>
          <a:endParaRPr lang="es-PE" sz="1400" b="1" i="1" u="sng">
            <a:solidFill>
              <a:srgbClr val="FF0000"/>
            </a:solidFill>
            <a:latin typeface="Arial Narrow" panose="020B0606020202030204" pitchFamily="34" charset="0"/>
          </a:endParaRPr>
        </a:p>
        <a:p>
          <a:r>
            <a:rPr lang="es-PE" sz="14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G1: Luis Chú / Angel</a:t>
          </a:r>
          <a:r>
            <a:rPr lang="es-PE" sz="1400" b="0" i="0" u="none" strike="noStrike" baseline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Terrones</a:t>
          </a:r>
          <a:endParaRPr lang="es-PE" sz="1400" b="0" i="0" u="none" strike="noStrike">
            <a:solidFill>
              <a:schemeClr val="tx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r>
            <a:rPr lang="es-PE" sz="14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G2: Carlos Chanamé / Yehude Saavedra</a:t>
          </a:r>
        </a:p>
        <a:p>
          <a:r>
            <a:rPr lang="es-PE" sz="14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G3: Jorge Medina / Yomar Chavez </a:t>
          </a:r>
        </a:p>
        <a:p>
          <a:r>
            <a:rPr lang="es-PE" sz="14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G4: </a:t>
          </a:r>
          <a:r>
            <a:rPr lang="es-PE" sz="1400" b="0">
              <a:latin typeface="Arial Narrow" panose="020B0606020202030204" pitchFamily="34" charset="0"/>
            </a:rPr>
            <a:t>Richard Zapata / Deysi Ramírez</a:t>
          </a:r>
        </a:p>
        <a:p>
          <a:r>
            <a:rPr lang="es-PE" sz="14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G5: </a:t>
          </a:r>
          <a:r>
            <a:rPr lang="es-PE" sz="1400" b="0">
              <a:solidFill>
                <a:schemeClr val="tx1"/>
              </a:solidFill>
              <a:latin typeface="Arial Narrow" panose="020B0606020202030204" pitchFamily="34" charset="0"/>
              <a:ea typeface="+mn-ea"/>
              <a:cs typeface="+mn-cs"/>
            </a:rPr>
            <a:t>Ricardo Cáceres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1110343</xdr:colOff>
      <xdr:row>1</xdr:row>
      <xdr:rowOff>161166</xdr:rowOff>
    </xdr:from>
    <xdr:to>
      <xdr:col>12</xdr:col>
      <xdr:colOff>101600</xdr:colOff>
      <xdr:row>6</xdr:row>
      <xdr:rowOff>38099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CB3EE96-1971-4418-982F-9AAAD7D3833A}"/>
            </a:ext>
          </a:extLst>
        </xdr:cNvPr>
        <xdr:cNvSpPr txBox="1"/>
      </xdr:nvSpPr>
      <xdr:spPr>
        <a:xfrm>
          <a:off x="5270863" y="351666"/>
          <a:ext cx="9575437" cy="84467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2400" b="1">
              <a:latin typeface="Arial Narrow" panose="020B0606020202030204" pitchFamily="34" charset="0"/>
            </a:rPr>
            <a:t>TÍTULO: CIERRE DE AVISOS DE MANTENIMIENTO CORRECTIVO</a:t>
          </a:r>
        </a:p>
        <a:p>
          <a:pPr algn="ctr"/>
          <a:r>
            <a:rPr lang="es-PE" sz="1600">
              <a:latin typeface="Arial Narrow" panose="020B0606020202030204" pitchFamily="34" charset="0"/>
            </a:rPr>
            <a:t>Departamento</a:t>
          </a:r>
          <a:r>
            <a:rPr lang="es-PE" sz="1600" baseline="0">
              <a:latin typeface="Arial Narrow" panose="020B0606020202030204" pitchFamily="34" charset="0"/>
            </a:rPr>
            <a:t> de Energía Eléctrica e Instrumentación</a:t>
          </a:r>
          <a:endParaRPr lang="es-PE" sz="1600"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1</xdr:col>
      <xdr:colOff>381000</xdr:colOff>
      <xdr:row>2</xdr:row>
      <xdr:rowOff>31750</xdr:rowOff>
    </xdr:from>
    <xdr:to>
      <xdr:col>3</xdr:col>
      <xdr:colOff>907176</xdr:colOff>
      <xdr:row>4</xdr:row>
      <xdr:rowOff>63501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FE786A2-163A-4093-AD8E-2997AE798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47" t="33045" r="5113" b="10941"/>
        <a:stretch/>
      </xdr:blipFill>
      <xdr:spPr>
        <a:xfrm>
          <a:off x="594360" y="405130"/>
          <a:ext cx="2400696" cy="443231"/>
        </a:xfrm>
        <a:prstGeom prst="rect">
          <a:avLst/>
        </a:prstGeom>
      </xdr:spPr>
    </xdr:pic>
    <xdr:clientData/>
  </xdr:twoCellAnchor>
  <xdr:oneCellAnchor>
    <xdr:from>
      <xdr:col>17</xdr:col>
      <xdr:colOff>258716</xdr:colOff>
      <xdr:row>0</xdr:row>
      <xdr:rowOff>35158</xdr:rowOff>
    </xdr:from>
    <xdr:ext cx="2274093" cy="1264724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6A556E56-A2AB-4459-97BC-4C9997643947}"/>
            </a:ext>
          </a:extLst>
        </xdr:cNvPr>
        <xdr:cNvSpPr txBox="1"/>
      </xdr:nvSpPr>
      <xdr:spPr>
        <a:xfrm>
          <a:off x="22097636" y="35158"/>
          <a:ext cx="2274093" cy="12647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PE" sz="1100" b="1" i="1" u="sng" strike="noStrike">
              <a:solidFill>
                <a:srgbClr val="FF0000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GRUPOS DE TRABAJO</a:t>
          </a:r>
        </a:p>
        <a:p>
          <a:pPr algn="ctr"/>
          <a:endParaRPr lang="es-PE" b="1" i="1" u="sng">
            <a:solidFill>
              <a:srgbClr val="FF0000"/>
            </a:solidFill>
            <a:latin typeface="Arial Narrow" panose="020B0606020202030204" pitchFamily="34" charset="0"/>
          </a:endParaRP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G1: Jorge Medina / Yomar Chavez</a:t>
          </a:r>
          <a:r>
            <a:rPr lang="es-PE" b="0">
              <a:latin typeface="Arial Narrow" panose="020B0606020202030204" pitchFamily="34" charset="0"/>
            </a:rPr>
            <a:t> </a:t>
          </a: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G2: Carlos Chanamé </a:t>
          </a: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G3: Luis Chú / Ricardo Effio</a:t>
          </a: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G4: </a:t>
          </a:r>
          <a:r>
            <a:rPr lang="es-PE" b="0">
              <a:latin typeface="Arial Narrow" panose="020B0606020202030204" pitchFamily="34" charset="0"/>
            </a:rPr>
            <a:t>Richard Zapata / Angel Terrones</a:t>
          </a: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G5: </a:t>
          </a:r>
          <a:r>
            <a:rPr lang="es-PE" sz="1100" b="0">
              <a:solidFill>
                <a:schemeClr val="tx1"/>
              </a:solidFill>
              <a:latin typeface="Arial Narrow" panose="020B0606020202030204" pitchFamily="34" charset="0"/>
              <a:ea typeface="+mn-ea"/>
              <a:cs typeface="+mn-cs"/>
            </a:rPr>
            <a:t>Ricardo Cáceres 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455023</xdr:colOff>
      <xdr:row>1</xdr:row>
      <xdr:rowOff>145926</xdr:rowOff>
    </xdr:from>
    <xdr:to>
      <xdr:col>12</xdr:col>
      <xdr:colOff>1493520</xdr:colOff>
      <xdr:row>6</xdr:row>
      <xdr:rowOff>22859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AB8B4583-D18A-4268-A3BE-96FEF930F730}"/>
            </a:ext>
          </a:extLst>
        </xdr:cNvPr>
        <xdr:cNvSpPr txBox="1"/>
      </xdr:nvSpPr>
      <xdr:spPr>
        <a:xfrm>
          <a:off x="4646023" y="344046"/>
          <a:ext cx="10898777" cy="85229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2400" b="1">
              <a:latin typeface="Arial Narrow" panose="020B0606020202030204" pitchFamily="34" charset="0"/>
            </a:rPr>
            <a:t>TÍTULO: COSTO</a:t>
          </a:r>
          <a:r>
            <a:rPr lang="es-PE" sz="2400" b="1" baseline="0">
              <a:latin typeface="Arial Narrow" panose="020B0606020202030204" pitchFamily="34" charset="0"/>
            </a:rPr>
            <a:t> MATERIAL</a:t>
          </a:r>
          <a:r>
            <a:rPr lang="es-PE" sz="2400" b="1">
              <a:latin typeface="Arial Narrow" panose="020B0606020202030204" pitchFamily="34" charset="0"/>
            </a:rPr>
            <a:t> DE AVISOS DE MANTENIMIENTO CORRECTIVO</a:t>
          </a:r>
        </a:p>
        <a:p>
          <a:pPr algn="ctr"/>
          <a:r>
            <a:rPr lang="es-PE" sz="1600">
              <a:latin typeface="Arial Narrow" panose="020B0606020202030204" pitchFamily="34" charset="0"/>
            </a:rPr>
            <a:t>Departamento</a:t>
          </a:r>
          <a:r>
            <a:rPr lang="es-PE" sz="1600" baseline="0">
              <a:latin typeface="Arial Narrow" panose="020B0606020202030204" pitchFamily="34" charset="0"/>
            </a:rPr>
            <a:t> de Energía Eléctrica e Instrumentación</a:t>
          </a:r>
          <a:endParaRPr lang="es-PE" sz="1600"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1</xdr:col>
      <xdr:colOff>381000</xdr:colOff>
      <xdr:row>2</xdr:row>
      <xdr:rowOff>31750</xdr:rowOff>
    </xdr:from>
    <xdr:to>
      <xdr:col>3</xdr:col>
      <xdr:colOff>907176</xdr:colOff>
      <xdr:row>4</xdr:row>
      <xdr:rowOff>63501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811B0CA-AB9F-4ED1-BD20-1E6ED5E6FE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47" t="33045" r="5113" b="10941"/>
        <a:stretch/>
      </xdr:blipFill>
      <xdr:spPr>
        <a:xfrm>
          <a:off x="594360" y="405130"/>
          <a:ext cx="2400696" cy="443231"/>
        </a:xfrm>
        <a:prstGeom prst="rect">
          <a:avLst/>
        </a:prstGeom>
      </xdr:spPr>
    </xdr:pic>
    <xdr:clientData/>
  </xdr:twoCellAnchor>
  <xdr:oneCellAnchor>
    <xdr:from>
      <xdr:col>17</xdr:col>
      <xdr:colOff>258716</xdr:colOff>
      <xdr:row>0</xdr:row>
      <xdr:rowOff>35158</xdr:rowOff>
    </xdr:from>
    <xdr:ext cx="2274093" cy="1264724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56B9F610-61E9-46E9-92FC-CC396943FEAC}"/>
            </a:ext>
          </a:extLst>
        </xdr:cNvPr>
        <xdr:cNvSpPr txBox="1"/>
      </xdr:nvSpPr>
      <xdr:spPr>
        <a:xfrm>
          <a:off x="22524356" y="35158"/>
          <a:ext cx="2274093" cy="12647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PE" sz="1100" b="1" i="1" u="sng" strike="noStrike">
              <a:solidFill>
                <a:srgbClr val="FF0000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GRUPOS DE TRABAJO</a:t>
          </a:r>
        </a:p>
        <a:p>
          <a:pPr algn="ctr"/>
          <a:endParaRPr lang="es-PE" b="1" i="1" u="sng">
            <a:solidFill>
              <a:srgbClr val="FF0000"/>
            </a:solidFill>
            <a:latin typeface="Arial Narrow" panose="020B0606020202030204" pitchFamily="34" charset="0"/>
          </a:endParaRP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G1: Jorge Medina / Yomar Chavez</a:t>
          </a:r>
          <a:r>
            <a:rPr lang="es-PE" b="0">
              <a:latin typeface="Arial Narrow" panose="020B0606020202030204" pitchFamily="34" charset="0"/>
            </a:rPr>
            <a:t> </a:t>
          </a: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G2: Carlos Chanamé </a:t>
          </a: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G3: Luis Chú / Ricardo Effio</a:t>
          </a: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G4: </a:t>
          </a:r>
          <a:r>
            <a:rPr lang="es-PE" b="0">
              <a:latin typeface="Arial Narrow" panose="020B0606020202030204" pitchFamily="34" charset="0"/>
            </a:rPr>
            <a:t>Richard Zapata / Angel Terrones</a:t>
          </a:r>
        </a:p>
        <a:p>
          <a:r>
            <a:rPr lang="es-PE" sz="1100" b="0" i="0" u="none" strike="noStrike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G5: </a:t>
          </a:r>
          <a:r>
            <a:rPr lang="es-PE" sz="1100" b="0">
              <a:solidFill>
                <a:schemeClr val="tx1"/>
              </a:solidFill>
              <a:latin typeface="Arial Narrow" panose="020B0606020202030204" pitchFamily="34" charset="0"/>
              <a:ea typeface="+mn-ea"/>
              <a:cs typeface="+mn-cs"/>
            </a:rPr>
            <a:t>Ricardo Cáceres 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391976</xdr:colOff>
      <xdr:row>2</xdr:row>
      <xdr:rowOff>136406</xdr:rowOff>
    </xdr:from>
    <xdr:to>
      <xdr:col>8</xdr:col>
      <xdr:colOff>1160247</xdr:colOff>
      <xdr:row>7</xdr:row>
      <xdr:rowOff>31358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049576" y="542806"/>
          <a:ext cx="18014871" cy="89825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2800" b="1">
              <a:latin typeface="Arial Narrow" panose="020B0606020202030204" pitchFamily="34" charset="0"/>
            </a:rPr>
            <a:t>TÍTULO: BASE DE DATOS</a:t>
          </a:r>
          <a:r>
            <a:rPr lang="es-PE" sz="2800" b="1" baseline="0">
              <a:latin typeface="Arial Narrow" panose="020B0606020202030204" pitchFamily="34" charset="0"/>
            </a:rPr>
            <a:t> DE EQUIPOS</a:t>
          </a:r>
          <a:endParaRPr lang="es-PE" sz="2800" b="1">
            <a:latin typeface="Arial Narrow" panose="020B0606020202030204" pitchFamily="34" charset="0"/>
          </a:endParaRPr>
        </a:p>
        <a:p>
          <a:pPr algn="ctr"/>
          <a:r>
            <a:rPr lang="es-PE" sz="1600">
              <a:latin typeface="Arial Narrow" panose="020B0606020202030204" pitchFamily="34" charset="0"/>
            </a:rPr>
            <a:t>Departamento</a:t>
          </a:r>
          <a:r>
            <a:rPr lang="es-PE" sz="1600" baseline="0">
              <a:latin typeface="Arial Narrow" panose="020B0606020202030204" pitchFamily="34" charset="0"/>
            </a:rPr>
            <a:t> de Energía Eléctrica e Instrumentación</a:t>
          </a:r>
          <a:endParaRPr lang="es-PE" sz="1600"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1</xdr:col>
      <xdr:colOff>381000</xdr:colOff>
      <xdr:row>3</xdr:row>
      <xdr:rowOff>94466</xdr:rowOff>
    </xdr:from>
    <xdr:to>
      <xdr:col>3</xdr:col>
      <xdr:colOff>694847</xdr:colOff>
      <xdr:row>5</xdr:row>
      <xdr:rowOff>76210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47" t="33045" r="5113" b="10941"/>
        <a:stretch/>
      </xdr:blipFill>
      <xdr:spPr>
        <a:xfrm>
          <a:off x="495300" y="691366"/>
          <a:ext cx="2320447" cy="40084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MP_registro" displayName="MP_registro" ref="A1:O1278" totalsRowShown="0" headerRowDxfId="52" dataDxfId="51" tableBorderDxfId="50">
  <autoFilter ref="A1:O1278" xr:uid="{00000000-0009-0000-0100-000006000000}"/>
  <tableColumns count="15">
    <tableColumn id="1" xr3:uid="{00000000-0010-0000-0000-000001000000}" name="#" dataDxfId="49"/>
    <tableColumn id="3" xr3:uid="{00000000-0010-0000-0000-000003000000}" name="MES" dataDxfId="48"/>
    <tableColumn id="16" xr3:uid="{00000000-0010-0000-0000-000010000000}" name="SEMANA" dataDxfId="47"/>
    <tableColumn id="4" xr3:uid="{00000000-0010-0000-0000-000004000000}" name="OT" dataDxfId="46"/>
    <tableColumn id="5" xr3:uid="{00000000-0010-0000-0000-000005000000}" name="TAG" dataDxfId="45"/>
    <tableColumn id="2" xr3:uid="{00000000-0010-0000-0000-000002000000}" name="SERVICIO" dataDxfId="44">
      <calculatedColumnFormula>VLOOKUP(MP_registro[[#This Row],[TAG]],'DB-EQUIPOS GEN'!$C$11:$H$833,2,0)</calculatedColumnFormula>
    </tableColumn>
    <tableColumn id="6" xr3:uid="{00000000-0010-0000-0000-000006000000}" name="DEPARTAMENTO" dataDxfId="43">
      <calculatedColumnFormula>VLOOKUP(MP_registro[[#This Row],[TAG]],'DB-EQUIPOS GEN'!$C$11:$H$833,3,0)</calculatedColumnFormula>
    </tableColumn>
    <tableColumn id="7" xr3:uid="{00000000-0010-0000-0000-000007000000}" name="ETAPA" dataDxfId="42">
      <calculatedColumnFormula>VLOOKUP(MP_registro[[#This Row],[TAG]],'DB-EQUIPOS GEN'!$C$11:$H$833,4,0)</calculatedColumnFormula>
    </tableColumn>
    <tableColumn id="8" xr3:uid="{00000000-0010-0000-0000-000008000000}" name="DENOMINACION" dataDxfId="41">
      <calculatedColumnFormula>VLOOKUP(MP_registro[[#This Row],[TAG]],'DB-EQUIPOS GEN'!$C$11:$H$833,5,0)</calculatedColumnFormula>
    </tableColumn>
    <tableColumn id="9" xr3:uid="{00000000-0010-0000-0000-000009000000}" name="EQUIPO" dataDxfId="40">
      <calculatedColumnFormula>VLOOKUP(MP_registro[[#This Row],[TAG]],'DB-EQUIPOS GEN'!$C$11:$H$833,6,0)</calculatedColumnFormula>
    </tableColumn>
    <tableColumn id="10" xr3:uid="{00000000-0010-0000-0000-00000A000000}" name="FECHA PROGRAMADA" dataDxfId="39"/>
    <tableColumn id="12" xr3:uid="{00000000-0010-0000-0000-00000C000000}" name="TURNO" dataDxfId="38"/>
    <tableColumn id="13" xr3:uid="{00000000-0010-0000-0000-00000D000000}" name="PERSONAL" dataDxfId="37"/>
    <tableColumn id="15" xr3:uid="{00000000-0010-0000-0000-00000F000000}" name="STATUS" dataDxfId="36"/>
    <tableColumn id="14" xr3:uid="{00000000-0010-0000-0000-00000E000000}" name="PROGRAMADO" dataDxfId="35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1000000}" name="MP_cierre" displayName="MP_cierre" ref="G9:M941" totalsRowShown="0" headerRowDxfId="34" dataDxfId="32" headerRowBorderDxfId="33" tableBorderDxfId="31" totalsRowBorderDxfId="30">
  <autoFilter ref="G9:M941" xr:uid="{00000000-0009-0000-0100-000013000000}"/>
  <tableColumns count="7">
    <tableColumn id="1" xr3:uid="{00000000-0010-0000-0100-000001000000}" name="Nº" dataDxfId="29"/>
    <tableColumn id="2" xr3:uid="{00000000-0010-0000-0100-000002000000}" name="OT" dataDxfId="28"/>
    <tableColumn id="4" xr3:uid="{00000000-0010-0000-0100-000004000000}" name="GRUPO" dataDxfId="27">
      <calculatedColumnFormula>VLOOKUP(MP_cierre[[#This Row],[OT]],MP_registro[[#All],[OT]:[PROGRAMADO]],9,FALSE)</calculatedColumnFormula>
    </tableColumn>
    <tableColumn id="3" xr3:uid="{00000000-0010-0000-0100-000003000000}" name="FECHA _x000a_PROGRAMADA" dataDxfId="26"/>
    <tableColumn id="24" xr3:uid="{00000000-0010-0000-0100-000018000000}" name="FECHA _x000a_DE EJECUCIÓN" dataDxfId="25"/>
    <tableColumn id="13" xr3:uid="{00000000-0010-0000-0100-00000D000000}" name="HORA INICIAL" dataDxfId="24"/>
    <tableColumn id="16" xr3:uid="{00000000-0010-0000-0100-000010000000}" name="HORA FINAL" dataDxfId="23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2000000}" name="MP_costo" displayName="MP_costo" ref="F13:L35" totalsRowShown="0" headerRowDxfId="22" dataDxfId="20" headerRowBorderDxfId="21" tableBorderDxfId="19" totalsRowBorderDxfId="18">
  <autoFilter ref="F13:L35" xr:uid="{00000000-0009-0000-0100-000016000000}"/>
  <tableColumns count="7">
    <tableColumn id="1" xr3:uid="{00000000-0010-0000-0200-000001000000}" name="Nº" dataDxfId="17"/>
    <tableColumn id="24" xr3:uid="{00000000-0010-0000-0200-000018000000}" name="OT" dataDxfId="16"/>
    <tableColumn id="12" xr3:uid="{00000000-0010-0000-0200-00000C000000}" name="MATERIAL_x000a_CODIGO SAP" dataDxfId="15"/>
    <tableColumn id="13" xr3:uid="{00000000-0010-0000-0200-00000D000000}" name="CECO" dataDxfId="14"/>
    <tableColumn id="15" xr3:uid="{00000000-0010-0000-0200-00000F000000}" name="CANTIDAD" dataDxfId="13"/>
    <tableColumn id="19" xr3:uid="{00000000-0010-0000-0200-000013000000}" name="PRECIO _x000a_UNIDAD" dataDxfId="12"/>
    <tableColumn id="20" xr3:uid="{00000000-0010-0000-0200-000014000000}" name="PRECIO TOTAL" dataDxfId="11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DB_EQUIPOS_GEN" displayName="DB_EQUIPOS_GEN" ref="B11:H833" totalsRowShown="0" headerRowDxfId="10" dataDxfId="9">
  <autoFilter ref="B11:H833" xr:uid="{00000000-0009-0000-0100-000004000000}"/>
  <tableColumns count="7">
    <tableColumn id="1" xr3:uid="{00000000-0010-0000-0300-000001000000}" name="ITEM" dataDxfId="8"/>
    <tableColumn id="2" xr3:uid="{00000000-0010-0000-0300-000002000000}" name="TAG NAME." dataDxfId="7"/>
    <tableColumn id="3" xr3:uid="{00000000-0010-0000-0300-000003000000}" name="SERVICIO" dataDxfId="6"/>
    <tableColumn id="5" xr3:uid="{00000000-0010-0000-0300-000005000000}" name="DEPARTAMENTO" dataDxfId="5"/>
    <tableColumn id="6" xr3:uid="{00000000-0010-0000-0300-000006000000}" name="ETAPA" dataDxfId="4"/>
    <tableColumn id="7" xr3:uid="{00000000-0010-0000-0300-000007000000}" name="DENOMINACIÓN" dataDxfId="3"/>
    <tableColumn id="11" xr3:uid="{00000000-0010-0000-0300-00000B000000}" name="EQUIPO" dataDxfId="2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1">
    <pageSetUpPr fitToPage="1"/>
  </sheetPr>
  <dimension ref="A1:Q1278"/>
  <sheetViews>
    <sheetView showGridLines="0" tabSelected="1" topLeftCell="A64" zoomScale="70" zoomScaleNormal="70" workbookViewId="0">
      <pane xSplit="4" topLeftCell="E1" activePane="topRight" state="frozen"/>
      <selection activeCell="G178" sqref="G178"/>
      <selection pane="topRight" sqref="A1:A1048576"/>
    </sheetView>
  </sheetViews>
  <sheetFormatPr baseColWidth="10" defaultColWidth="10.85546875" defaultRowHeight="15"/>
  <cols>
    <col min="1" max="1" width="9.28515625" bestFit="1" customWidth="1"/>
    <col min="2" max="2" width="15.7109375" bestFit="1" customWidth="1"/>
    <col min="3" max="3" width="21.140625" bestFit="1" customWidth="1"/>
    <col min="4" max="4" width="24.42578125" customWidth="1"/>
    <col min="5" max="5" width="29.42578125" bestFit="1" customWidth="1"/>
    <col min="6" max="6" width="55.42578125" bestFit="1" customWidth="1"/>
    <col min="7" max="7" width="32.42578125" bestFit="1" customWidth="1"/>
    <col min="8" max="8" width="54.7109375" bestFit="1" customWidth="1"/>
    <col min="9" max="9" width="47.5703125" bestFit="1" customWidth="1"/>
    <col min="10" max="10" width="20.140625" bestFit="1" customWidth="1"/>
    <col min="11" max="11" width="23.85546875" customWidth="1"/>
    <col min="12" max="12" width="17.28515625" customWidth="1"/>
    <col min="13" max="13" width="48.5703125" bestFit="1" customWidth="1"/>
    <col min="14" max="14" width="24" bestFit="1" customWidth="1"/>
    <col min="15" max="15" width="33.42578125" bestFit="1" customWidth="1"/>
    <col min="16" max="16" width="78.5703125" bestFit="1" customWidth="1"/>
    <col min="17" max="17" width="23.28515625" customWidth="1"/>
    <col min="18" max="18" width="7.28515625" customWidth="1"/>
    <col min="19" max="19" width="22" customWidth="1"/>
  </cols>
  <sheetData>
    <row r="1" spans="1:15" s="42" customFormat="1" ht="35.25" customHeight="1">
      <c r="A1" s="36" t="s">
        <v>1371</v>
      </c>
      <c r="B1" s="37" t="s">
        <v>250</v>
      </c>
      <c r="C1" s="37" t="s">
        <v>1381</v>
      </c>
      <c r="D1" s="38" t="s">
        <v>2425</v>
      </c>
      <c r="E1" s="38" t="s">
        <v>251</v>
      </c>
      <c r="F1" s="38" t="s">
        <v>267</v>
      </c>
      <c r="G1" s="38" t="s">
        <v>1927</v>
      </c>
      <c r="H1" s="38" t="s">
        <v>2</v>
      </c>
      <c r="I1" s="38" t="s">
        <v>1929</v>
      </c>
      <c r="J1" s="39" t="s">
        <v>0</v>
      </c>
      <c r="K1" s="37" t="s">
        <v>15</v>
      </c>
      <c r="L1" s="40" t="s">
        <v>1372</v>
      </c>
      <c r="M1" s="40" t="s">
        <v>262</v>
      </c>
      <c r="N1" s="41" t="s">
        <v>1</v>
      </c>
      <c r="O1" s="41" t="s">
        <v>1696</v>
      </c>
    </row>
    <row r="2" spans="1:15" s="42" customFormat="1" ht="35.25" customHeight="1">
      <c r="A2" s="64">
        <v>1</v>
      </c>
      <c r="B2" s="64" t="s">
        <v>1373</v>
      </c>
      <c r="C2" s="64" t="s">
        <v>1375</v>
      </c>
      <c r="D2" s="65" t="s">
        <v>1382</v>
      </c>
      <c r="E2" s="65" t="s">
        <v>288</v>
      </c>
      <c r="F2" s="166" t="str">
        <f>VLOOKUP(MP_registro[[#This Row],[TAG]],'DB-EQUIPOS GEN'!$C$11:$H$833,2,0)</f>
        <v>Nivel de jugo del tanque flash</v>
      </c>
      <c r="G2" s="166" t="str">
        <f>VLOOKUP(MP_registro[[#This Row],[TAG]],'DB-EQUIPOS GEN'!$C$11:$H$833,3,0)</f>
        <v>PRODUCCION</v>
      </c>
      <c r="H2" s="166" t="str">
        <f>VLOOKUP(MP_registro[[#This Row],[TAG]],'DB-EQUIPOS GEN'!$C$11:$H$833,4,0)</f>
        <v>CLARIFICACION DE JUGO</v>
      </c>
      <c r="I2" s="166" t="str">
        <f>VLOOKUP(MP_registro[[#This Row],[TAG]],'DB-EQUIPOS GEN'!$C$11:$H$833,5,0)</f>
        <v>TANQUE FLASH</v>
      </c>
      <c r="J2" s="166" t="str">
        <f>VLOOKUP(MP_registro[[#This Row],[TAG]],'DB-EQUIPOS GEN'!$C$11:$H$833,6,0)</f>
        <v>0305TK270</v>
      </c>
      <c r="K2" s="66">
        <v>44653</v>
      </c>
      <c r="L2" s="64" t="s">
        <v>249</v>
      </c>
      <c r="M2" s="64" t="s">
        <v>2403</v>
      </c>
      <c r="N2" s="64" t="s">
        <v>1664</v>
      </c>
      <c r="O2" s="64" t="s">
        <v>1696</v>
      </c>
    </row>
    <row r="3" spans="1:15" s="42" customFormat="1" ht="35.25" customHeight="1">
      <c r="A3" s="65">
        <v>2</v>
      </c>
      <c r="B3" s="64" t="s">
        <v>1373</v>
      </c>
      <c r="C3" s="64" t="s">
        <v>1375</v>
      </c>
      <c r="D3" s="65" t="s">
        <v>1383</v>
      </c>
      <c r="E3" s="65" t="s">
        <v>344</v>
      </c>
      <c r="F3" s="166" t="str">
        <f>VLOOKUP(MP_registro[[#This Row],[TAG]],'DB-EQUIPOS GEN'!$C$11:$H$833,2,0)</f>
        <v>Nivel de bagazo de chute donelly de molino secador</v>
      </c>
      <c r="G3" s="167" t="str">
        <f>VLOOKUP(MP_registro[[#This Row],[TAG]],'DB-EQUIPOS GEN'!$C$11:$H$833,3,0)</f>
        <v>EXTRACCION</v>
      </c>
      <c r="H3" s="166" t="str">
        <f>VLOOKUP(MP_registro[[#This Row],[TAG]],'DB-EQUIPOS GEN'!$C$11:$H$833,4,0)</f>
        <v>MOLINOS</v>
      </c>
      <c r="I3" s="166" t="str">
        <f>VLOOKUP(MP_registro[[#This Row],[TAG]],'DB-EQUIPOS GEN'!$C$11:$H$833,5,0)</f>
        <v xml:space="preserve">MOLINO SECADOR </v>
      </c>
      <c r="J3" s="166" t="str">
        <f>VLOOKUP(MP_registro[[#This Row],[TAG]],'DB-EQUIPOS GEN'!$C$11:$H$833,6,0)</f>
        <v>0210MM090</v>
      </c>
      <c r="K3" s="67">
        <v>44655</v>
      </c>
      <c r="L3" s="65" t="s">
        <v>247</v>
      </c>
      <c r="M3" s="65" t="s">
        <v>2404</v>
      </c>
      <c r="N3" s="64" t="s">
        <v>1664</v>
      </c>
      <c r="O3" s="64" t="s">
        <v>1696</v>
      </c>
    </row>
    <row r="4" spans="1:15" s="42" customFormat="1" ht="35.25" customHeight="1">
      <c r="A4" s="64">
        <v>3</v>
      </c>
      <c r="B4" s="64" t="s">
        <v>1373</v>
      </c>
      <c r="C4" s="64" t="s">
        <v>1375</v>
      </c>
      <c r="D4" s="65" t="s">
        <v>1384</v>
      </c>
      <c r="E4" s="65" t="s">
        <v>338</v>
      </c>
      <c r="F4" s="166" t="str">
        <f>VLOOKUP(MP_registro[[#This Row],[TAG]],'DB-EQUIPOS GEN'!$C$11:$H$833,2,0)</f>
        <v>Flotacion de masa lado motor</v>
      </c>
      <c r="G4" s="167" t="str">
        <f>VLOOKUP(MP_registro[[#This Row],[TAG]],'DB-EQUIPOS GEN'!$C$11:$H$833,3,0)</f>
        <v>EXTRACCION</v>
      </c>
      <c r="H4" s="167" t="str">
        <f>VLOOKUP(MP_registro[[#This Row],[TAG]],'DB-EQUIPOS GEN'!$C$11:$H$833,4,0)</f>
        <v>MOLINOS</v>
      </c>
      <c r="I4" s="167" t="str">
        <f>VLOOKUP(MP_registro[[#This Row],[TAG]],'DB-EQUIPOS GEN'!$C$11:$H$833,5,0)</f>
        <v xml:space="preserve">MOLINO SECADOR </v>
      </c>
      <c r="J4" s="167" t="str">
        <f>VLOOKUP(MP_registro[[#This Row],[TAG]],'DB-EQUIPOS GEN'!$C$11:$H$833,6,0)</f>
        <v>0210MM090</v>
      </c>
      <c r="K4" s="66">
        <v>44656</v>
      </c>
      <c r="L4" s="65" t="s">
        <v>247</v>
      </c>
      <c r="M4" s="65" t="s">
        <v>2404</v>
      </c>
      <c r="N4" s="64" t="s">
        <v>1664</v>
      </c>
      <c r="O4" s="64" t="s">
        <v>1696</v>
      </c>
    </row>
    <row r="5" spans="1:15" s="42" customFormat="1" ht="35.25" customHeight="1">
      <c r="A5" s="65">
        <v>4</v>
      </c>
      <c r="B5" s="64" t="s">
        <v>1373</v>
      </c>
      <c r="C5" s="64" t="s">
        <v>1375</v>
      </c>
      <c r="D5" s="65" t="s">
        <v>1385</v>
      </c>
      <c r="E5" s="65" t="s">
        <v>339</v>
      </c>
      <c r="F5" s="166" t="str">
        <f>VLOOKUP(MP_registro[[#This Row],[TAG]],'DB-EQUIPOS GEN'!$C$11:$H$833,2,0)</f>
        <v>Flotacion de masa lado libre</v>
      </c>
      <c r="G5" s="167" t="str">
        <f>VLOOKUP(MP_registro[[#This Row],[TAG]],'DB-EQUIPOS GEN'!$C$11:$H$833,3,0)</f>
        <v>EXTRACCION</v>
      </c>
      <c r="H5" s="166" t="str">
        <f>VLOOKUP(MP_registro[[#This Row],[TAG]],'DB-EQUIPOS GEN'!$C$11:$H$833,4,0)</f>
        <v>MOLINOS</v>
      </c>
      <c r="I5" s="166" t="str">
        <f>VLOOKUP(MP_registro[[#This Row],[TAG]],'DB-EQUIPOS GEN'!$C$11:$H$833,5,0)</f>
        <v xml:space="preserve">MOLINO SECADOR </v>
      </c>
      <c r="J5" s="166" t="str">
        <f>VLOOKUP(MP_registro[[#This Row],[TAG]],'DB-EQUIPOS GEN'!$C$11:$H$833,6,0)</f>
        <v>0210MM090</v>
      </c>
      <c r="K5" s="67">
        <v>44656</v>
      </c>
      <c r="L5" s="65" t="s">
        <v>245</v>
      </c>
      <c r="M5" s="65" t="s">
        <v>2396</v>
      </c>
      <c r="N5" s="64" t="s">
        <v>1664</v>
      </c>
      <c r="O5" s="64" t="s">
        <v>1696</v>
      </c>
    </row>
    <row r="6" spans="1:15" s="42" customFormat="1" ht="35.25" customHeight="1">
      <c r="A6" s="64">
        <v>5</v>
      </c>
      <c r="B6" s="64" t="s">
        <v>1373</v>
      </c>
      <c r="C6" s="64" t="s">
        <v>1375</v>
      </c>
      <c r="D6" s="65" t="s">
        <v>1386</v>
      </c>
      <c r="E6" s="65" t="s">
        <v>383</v>
      </c>
      <c r="F6" s="166" t="str">
        <f>VLOOKUP(MP_registro[[#This Row],[TAG]],'DB-EQUIPOS GEN'!$C$11:$H$833,2,0)</f>
        <v>Temperatura de ingreso jugo a DCH-5</v>
      </c>
      <c r="G6" s="167" t="str">
        <f>VLOOKUP(MP_registro[[#This Row],[TAG]],'DB-EQUIPOS GEN'!$C$11:$H$833,3,0)</f>
        <v>EXTRACCION</v>
      </c>
      <c r="H6" s="167" t="str">
        <f>VLOOKUP(MP_registro[[#This Row],[TAG]],'DB-EQUIPOS GEN'!$C$11:$H$833,4,0)</f>
        <v>DIFUSOR</v>
      </c>
      <c r="I6" s="167" t="str">
        <f>VLOOKUP(MP_registro[[#This Row],[TAG]],'DB-EQUIPOS GEN'!$C$11:$H$833,5,0)</f>
        <v xml:space="preserve">CALENTADOR DE JUGO 5 </v>
      </c>
      <c r="J6" s="167" t="str">
        <f>VLOOKUP(MP_registro[[#This Row],[TAG]],'DB-EQUIPOS GEN'!$C$11:$H$833,6,0)</f>
        <v>0205HX260</v>
      </c>
      <c r="K6" s="66">
        <v>44652</v>
      </c>
      <c r="L6" s="65" t="s">
        <v>247</v>
      </c>
      <c r="M6" s="65" t="s">
        <v>2404</v>
      </c>
      <c r="N6" s="64" t="s">
        <v>1664</v>
      </c>
      <c r="O6" s="64" t="s">
        <v>1696</v>
      </c>
    </row>
    <row r="7" spans="1:15" s="42" customFormat="1" ht="35.25" customHeight="1">
      <c r="A7" s="65">
        <v>6</v>
      </c>
      <c r="B7" s="64" t="s">
        <v>1373</v>
      </c>
      <c r="C7" s="64" t="s">
        <v>1375</v>
      </c>
      <c r="D7" s="65" t="s">
        <v>1387</v>
      </c>
      <c r="E7" s="65" t="s">
        <v>385</v>
      </c>
      <c r="F7" s="166" t="str">
        <f>VLOOKUP(MP_registro[[#This Row],[TAG]],'DB-EQUIPOS GEN'!$C$11:$H$833,2,0)</f>
        <v>Temperatura de salida del DCH-5</v>
      </c>
      <c r="G7" s="167" t="str">
        <f>VLOOKUP(MP_registro[[#This Row],[TAG]],'DB-EQUIPOS GEN'!$C$11:$H$833,3,0)</f>
        <v>EXTRACCION</v>
      </c>
      <c r="H7" s="166" t="str">
        <f>VLOOKUP(MP_registro[[#This Row],[TAG]],'DB-EQUIPOS GEN'!$C$11:$H$833,4,0)</f>
        <v>DIFUSOR</v>
      </c>
      <c r="I7" s="166" t="str">
        <f>VLOOKUP(MP_registro[[#This Row],[TAG]],'DB-EQUIPOS GEN'!$C$11:$H$833,5,0)</f>
        <v xml:space="preserve">CALENTADOR DE JUGO 5 </v>
      </c>
      <c r="J7" s="166" t="str">
        <f>VLOOKUP(MP_registro[[#This Row],[TAG]],'DB-EQUIPOS GEN'!$C$11:$H$833,6,0)</f>
        <v>0205HX260</v>
      </c>
      <c r="K7" s="67">
        <v>44653</v>
      </c>
      <c r="L7" s="65" t="s">
        <v>245</v>
      </c>
      <c r="M7" s="65" t="s">
        <v>2396</v>
      </c>
      <c r="N7" s="64" t="s">
        <v>1664</v>
      </c>
      <c r="O7" s="64" t="s">
        <v>1696</v>
      </c>
    </row>
    <row r="8" spans="1:15" s="42" customFormat="1" ht="35.25" customHeight="1">
      <c r="A8" s="64">
        <v>7</v>
      </c>
      <c r="B8" s="64" t="s">
        <v>1373</v>
      </c>
      <c r="C8" s="64" t="s">
        <v>1375</v>
      </c>
      <c r="D8" s="65" t="s">
        <v>1388</v>
      </c>
      <c r="E8" s="65" t="s">
        <v>1153</v>
      </c>
      <c r="F8" s="166" t="str">
        <f>VLOOKUP(MP_registro[[#This Row],[TAG]],'DB-EQUIPOS GEN'!$C$11:$H$833,2,0)</f>
        <v>Valvula ingreso de vapor a DCH - 5</v>
      </c>
      <c r="G8" s="167" t="str">
        <f>VLOOKUP(MP_registro[[#This Row],[TAG]],'DB-EQUIPOS GEN'!$C$11:$H$833,3,0)</f>
        <v>EXTRACCION</v>
      </c>
      <c r="H8" s="167" t="str">
        <f>VLOOKUP(MP_registro[[#This Row],[TAG]],'DB-EQUIPOS GEN'!$C$11:$H$833,4,0)</f>
        <v>DIFUSOR</v>
      </c>
      <c r="I8" s="167" t="str">
        <f>VLOOKUP(MP_registro[[#This Row],[TAG]],'DB-EQUIPOS GEN'!$C$11:$H$833,5,0)</f>
        <v>CALENTADOR DCH 5</v>
      </c>
      <c r="J8" s="167" t="str">
        <f>VLOOKUP(MP_registro[[#This Row],[TAG]],'DB-EQUIPOS GEN'!$C$11:$H$833,6,0)</f>
        <v>0205HX260</v>
      </c>
      <c r="K8" s="66">
        <v>44654</v>
      </c>
      <c r="L8" s="65" t="s">
        <v>247</v>
      </c>
      <c r="M8" s="65" t="s">
        <v>2404</v>
      </c>
      <c r="N8" s="64" t="s">
        <v>1664</v>
      </c>
      <c r="O8" s="64" t="s">
        <v>1696</v>
      </c>
    </row>
    <row r="9" spans="1:15" s="42" customFormat="1" ht="35.25" customHeight="1">
      <c r="A9" s="65">
        <v>8</v>
      </c>
      <c r="B9" s="64" t="s">
        <v>1373</v>
      </c>
      <c r="C9" s="64" t="s">
        <v>1375</v>
      </c>
      <c r="D9" s="65" t="s">
        <v>1389</v>
      </c>
      <c r="E9" s="65" t="s">
        <v>391</v>
      </c>
      <c r="F9" s="166" t="str">
        <f>VLOOKUP(MP_registro[[#This Row],[TAG]],'DB-EQUIPOS GEN'!$C$11:$H$833,2,0)</f>
        <v>Temperatura de salida del DCH-6</v>
      </c>
      <c r="G9" s="167" t="str">
        <f>VLOOKUP(MP_registro[[#This Row],[TAG]],'DB-EQUIPOS GEN'!$C$11:$H$833,3,0)</f>
        <v>EXTRACCION</v>
      </c>
      <c r="H9" s="166" t="str">
        <f>VLOOKUP(MP_registro[[#This Row],[TAG]],'DB-EQUIPOS GEN'!$C$11:$H$833,4,0)</f>
        <v>DIFUSOR</v>
      </c>
      <c r="I9" s="166" t="str">
        <f>VLOOKUP(MP_registro[[#This Row],[TAG]],'DB-EQUIPOS GEN'!$C$11:$H$833,5,0)</f>
        <v xml:space="preserve">CALENTADOR DE JUGO 6 </v>
      </c>
      <c r="J9" s="166" t="str">
        <f>VLOOKUP(MP_registro[[#This Row],[TAG]],'DB-EQUIPOS GEN'!$C$11:$H$833,6,0)</f>
        <v>0205HX270</v>
      </c>
      <c r="K9" s="67">
        <v>44655</v>
      </c>
      <c r="L9" s="64" t="s">
        <v>249</v>
      </c>
      <c r="M9" s="64" t="s">
        <v>2403</v>
      </c>
      <c r="N9" s="64" t="s">
        <v>1664</v>
      </c>
      <c r="O9" s="64" t="s">
        <v>1696</v>
      </c>
    </row>
    <row r="10" spans="1:15" s="42" customFormat="1" ht="35.25" customHeight="1">
      <c r="A10" s="64">
        <v>9</v>
      </c>
      <c r="B10" s="64" t="s">
        <v>1373</v>
      </c>
      <c r="C10" s="64" t="s">
        <v>1375</v>
      </c>
      <c r="D10" s="65" t="s">
        <v>1390</v>
      </c>
      <c r="E10" s="65" t="s">
        <v>1154</v>
      </c>
      <c r="F10" s="166" t="str">
        <f>VLOOKUP(MP_registro[[#This Row],[TAG]],'DB-EQUIPOS GEN'!$C$11:$H$833,2,0)</f>
        <v>Valvula ingreso de vapor a DCH - 6</v>
      </c>
      <c r="G10" s="167" t="str">
        <f>VLOOKUP(MP_registro[[#This Row],[TAG]],'DB-EQUIPOS GEN'!$C$11:$H$833,3,0)</f>
        <v>EXTRACCION</v>
      </c>
      <c r="H10" s="167" t="str">
        <f>VLOOKUP(MP_registro[[#This Row],[TAG]],'DB-EQUIPOS GEN'!$C$11:$H$833,4,0)</f>
        <v>DIFUSOR</v>
      </c>
      <c r="I10" s="167" t="str">
        <f>VLOOKUP(MP_registro[[#This Row],[TAG]],'DB-EQUIPOS GEN'!$C$11:$H$833,5,0)</f>
        <v>CALENTADOR DCH 6</v>
      </c>
      <c r="J10" s="167" t="str">
        <f>VLOOKUP(MP_registro[[#This Row],[TAG]],'DB-EQUIPOS GEN'!$C$11:$H$833,6,0)</f>
        <v>0205HX270</v>
      </c>
      <c r="K10" s="66">
        <v>44656</v>
      </c>
      <c r="L10" s="65" t="s">
        <v>245</v>
      </c>
      <c r="M10" s="64" t="s">
        <v>2396</v>
      </c>
      <c r="N10" s="64" t="s">
        <v>1664</v>
      </c>
      <c r="O10" s="64" t="s">
        <v>1696</v>
      </c>
    </row>
    <row r="11" spans="1:15" s="42" customFormat="1" ht="35.25" customHeight="1">
      <c r="A11" s="65">
        <v>10</v>
      </c>
      <c r="B11" s="64" t="s">
        <v>1373</v>
      </c>
      <c r="C11" s="64" t="s">
        <v>1375</v>
      </c>
      <c r="D11" s="65" t="s">
        <v>1391</v>
      </c>
      <c r="E11" s="65" t="s">
        <v>483</v>
      </c>
      <c r="F11" s="166" t="str">
        <f>VLOOKUP(MP_registro[[#This Row],[TAG]],'DB-EQUIPOS GEN'!$C$11:$H$833,2,0)</f>
        <v>Presion del jugo de recirculacion</v>
      </c>
      <c r="G11" s="167" t="str">
        <f>VLOOKUP(MP_registro[[#This Row],[TAG]],'DB-EQUIPOS GEN'!$C$11:$H$833,3,0)</f>
        <v>PRODUCCION</v>
      </c>
      <c r="H11" s="166" t="str">
        <f>VLOOKUP(MP_registro[[#This Row],[TAG]],'DB-EQUIPOS GEN'!$C$11:$H$833,4,0)</f>
        <v>EVAPORACION DE JUGO</v>
      </c>
      <c r="I11" s="166" t="str">
        <f>VLOOKUP(MP_registro[[#This Row],[TAG]],'DB-EQUIPOS GEN'!$C$11:$H$833,5,0)</f>
        <v xml:space="preserve">FFE 1 </v>
      </c>
      <c r="J11" s="166" t="str">
        <f>VLOOKUP(MP_registro[[#This Row],[TAG]],'DB-EQUIPOS GEN'!$C$11:$H$833,6,0)</f>
        <v xml:space="preserve"> 0320EV010</v>
      </c>
      <c r="K11" s="67">
        <v>44657</v>
      </c>
      <c r="L11" s="65" t="s">
        <v>245</v>
      </c>
      <c r="M11" s="65" t="s">
        <v>2396</v>
      </c>
      <c r="N11" s="64" t="s">
        <v>1664</v>
      </c>
      <c r="O11" s="64" t="s">
        <v>1696</v>
      </c>
    </row>
    <row r="12" spans="1:15" s="42" customFormat="1" ht="35.25" customHeight="1">
      <c r="A12" s="64">
        <v>11</v>
      </c>
      <c r="B12" s="64" t="s">
        <v>1373</v>
      </c>
      <c r="C12" s="64" t="s">
        <v>1375</v>
      </c>
      <c r="D12" s="65" t="s">
        <v>1392</v>
      </c>
      <c r="E12" s="65" t="s">
        <v>502</v>
      </c>
      <c r="F12" s="166" t="str">
        <f>VLOOKUP(MP_registro[[#This Row],[TAG]],'DB-EQUIPOS GEN'!$C$11:$H$833,2,0)</f>
        <v>Temperatura de jugo Evap.3</v>
      </c>
      <c r="G12" s="167" t="str">
        <f>VLOOKUP(MP_registro[[#This Row],[TAG]],'DB-EQUIPOS GEN'!$C$11:$H$833,3,0)</f>
        <v>PRODUCCION</v>
      </c>
      <c r="H12" s="167" t="str">
        <f>VLOOKUP(MP_registro[[#This Row],[TAG]],'DB-EQUIPOS GEN'!$C$11:$H$833,4,0)</f>
        <v>EVAPORACION DE JUGO</v>
      </c>
      <c r="I12" s="167" t="str">
        <f>VLOOKUP(MP_registro[[#This Row],[TAG]],'DB-EQUIPOS GEN'!$C$11:$H$833,5,0)</f>
        <v>FFE 3</v>
      </c>
      <c r="J12" s="167" t="str">
        <f>VLOOKUP(MP_registro[[#This Row],[TAG]],'DB-EQUIPOS GEN'!$C$11:$H$833,6,0)</f>
        <v xml:space="preserve"> 0320EV040</v>
      </c>
      <c r="K12" s="66">
        <v>44658</v>
      </c>
      <c r="L12" s="65" t="s">
        <v>247</v>
      </c>
      <c r="M12" s="65" t="s">
        <v>2404</v>
      </c>
      <c r="N12" s="64" t="s">
        <v>1664</v>
      </c>
      <c r="O12" s="64" t="s">
        <v>1696</v>
      </c>
    </row>
    <row r="13" spans="1:15" s="42" customFormat="1" ht="35.25" customHeight="1">
      <c r="A13" s="65">
        <v>12</v>
      </c>
      <c r="B13" s="64" t="s">
        <v>1373</v>
      </c>
      <c r="C13" s="64" t="s">
        <v>1375</v>
      </c>
      <c r="D13" s="65" t="s">
        <v>1393</v>
      </c>
      <c r="E13" s="65" t="s">
        <v>508</v>
      </c>
      <c r="F13" s="166" t="str">
        <f>VLOOKUP(MP_registro[[#This Row],[TAG]],'DB-EQUIPOS GEN'!$C$11:$H$833,2,0)</f>
        <v>Presion de vapor de salida Evap.3</v>
      </c>
      <c r="G13" s="167" t="str">
        <f>VLOOKUP(MP_registro[[#This Row],[TAG]],'DB-EQUIPOS GEN'!$C$11:$H$833,3,0)</f>
        <v>PRODUCCION</v>
      </c>
      <c r="H13" s="166" t="str">
        <f>VLOOKUP(MP_registro[[#This Row],[TAG]],'DB-EQUIPOS GEN'!$C$11:$H$833,4,0)</f>
        <v>EVAPORACION DE JUGO</v>
      </c>
      <c r="I13" s="166" t="str">
        <f>VLOOKUP(MP_registro[[#This Row],[TAG]],'DB-EQUIPOS GEN'!$C$11:$H$833,5,0)</f>
        <v>FFE 3</v>
      </c>
      <c r="J13" s="166" t="str">
        <f>VLOOKUP(MP_registro[[#This Row],[TAG]],'DB-EQUIPOS GEN'!$C$11:$H$833,6,0)</f>
        <v xml:space="preserve"> 0320EV040</v>
      </c>
      <c r="K13" s="67">
        <v>44659</v>
      </c>
      <c r="L13" s="64" t="s">
        <v>249</v>
      </c>
      <c r="M13" s="64" t="s">
        <v>2403</v>
      </c>
      <c r="N13" s="64" t="s">
        <v>1664</v>
      </c>
      <c r="O13" s="64" t="s">
        <v>1696</v>
      </c>
    </row>
    <row r="14" spans="1:15" s="42" customFormat="1" ht="35.25" customHeight="1">
      <c r="A14" s="64">
        <v>13</v>
      </c>
      <c r="B14" s="64" t="s">
        <v>1373</v>
      </c>
      <c r="C14" s="64" t="s">
        <v>1375</v>
      </c>
      <c r="D14" s="65" t="s">
        <v>1394</v>
      </c>
      <c r="E14" s="65" t="s">
        <v>506</v>
      </c>
      <c r="F14" s="166" t="str">
        <f>VLOOKUP(MP_registro[[#This Row],[TAG]],'DB-EQUIPOS GEN'!$C$11:$H$833,2,0)</f>
        <v>Temperatura del salida de vapor</v>
      </c>
      <c r="G14" s="167" t="str">
        <f>VLOOKUP(MP_registro[[#This Row],[TAG]],'DB-EQUIPOS GEN'!$C$11:$H$833,3,0)</f>
        <v>PRODUCCION</v>
      </c>
      <c r="H14" s="167" t="str">
        <f>VLOOKUP(MP_registro[[#This Row],[TAG]],'DB-EQUIPOS GEN'!$C$11:$H$833,4,0)</f>
        <v>EVAPORACION DE JUGO</v>
      </c>
      <c r="I14" s="167" t="str">
        <f>VLOOKUP(MP_registro[[#This Row],[TAG]],'DB-EQUIPOS GEN'!$C$11:$H$833,5,0)</f>
        <v>FFE 3</v>
      </c>
      <c r="J14" s="167" t="str">
        <f>VLOOKUP(MP_registro[[#This Row],[TAG]],'DB-EQUIPOS GEN'!$C$11:$H$833,6,0)</f>
        <v xml:space="preserve"> 0320EV040</v>
      </c>
      <c r="K14" s="66">
        <v>44660</v>
      </c>
      <c r="L14" s="65" t="s">
        <v>245</v>
      </c>
      <c r="M14" s="64" t="s">
        <v>2396</v>
      </c>
      <c r="N14" s="64" t="s">
        <v>1664</v>
      </c>
      <c r="O14" s="64" t="s">
        <v>1696</v>
      </c>
    </row>
    <row r="15" spans="1:15" s="42" customFormat="1" ht="35.25" customHeight="1">
      <c r="A15" s="65">
        <v>14</v>
      </c>
      <c r="B15" s="64" t="s">
        <v>1373</v>
      </c>
      <c r="C15" s="64" t="s">
        <v>1375</v>
      </c>
      <c r="D15" s="65" t="s">
        <v>1395</v>
      </c>
      <c r="E15" s="65" t="s">
        <v>510</v>
      </c>
      <c r="F15" s="166" t="str">
        <f>VLOOKUP(MP_registro[[#This Row],[TAG]],'DB-EQUIPOS GEN'!$C$11:$H$833,2,0)</f>
        <v>Temperatura de jugo Evap.4A</v>
      </c>
      <c r="G15" s="167" t="str">
        <f>VLOOKUP(MP_registro[[#This Row],[TAG]],'DB-EQUIPOS GEN'!$C$11:$H$833,3,0)</f>
        <v>PRODUCCION</v>
      </c>
      <c r="H15" s="166" t="str">
        <f>VLOOKUP(MP_registro[[#This Row],[TAG]],'DB-EQUIPOS GEN'!$C$11:$H$833,4,0)</f>
        <v>EVAPORACION DE JUGO</v>
      </c>
      <c r="I15" s="166" t="str">
        <f>VLOOKUP(MP_registro[[#This Row],[TAG]],'DB-EQUIPOS GEN'!$C$11:$H$833,5,0)</f>
        <v>FFE 4A</v>
      </c>
      <c r="J15" s="166" t="str">
        <f>VLOOKUP(MP_registro[[#This Row],[TAG]],'DB-EQUIPOS GEN'!$C$11:$H$833,6,0)</f>
        <v xml:space="preserve"> 0320EV050</v>
      </c>
      <c r="K15" s="67">
        <v>44661</v>
      </c>
      <c r="L15" s="64" t="s">
        <v>249</v>
      </c>
      <c r="M15" s="64" t="s">
        <v>2403</v>
      </c>
      <c r="N15" s="64" t="s">
        <v>1664</v>
      </c>
      <c r="O15" s="64" t="s">
        <v>1696</v>
      </c>
    </row>
    <row r="16" spans="1:15" s="42" customFormat="1" ht="35.25" customHeight="1">
      <c r="A16" s="64">
        <v>15</v>
      </c>
      <c r="B16" s="64" t="s">
        <v>1373</v>
      </c>
      <c r="C16" s="64" t="s">
        <v>1375</v>
      </c>
      <c r="D16" s="65" t="s">
        <v>1396</v>
      </c>
      <c r="E16" s="65" t="s">
        <v>1179</v>
      </c>
      <c r="F16" s="166" t="str">
        <f>VLOOKUP(MP_registro[[#This Row],[TAG]],'DB-EQUIPOS GEN'!$C$11:$H$833,2,0)</f>
        <v>Valvula control de nivel FFE - 5A</v>
      </c>
      <c r="G16" s="167" t="str">
        <f>VLOOKUP(MP_registro[[#This Row],[TAG]],'DB-EQUIPOS GEN'!$C$11:$H$833,3,0)</f>
        <v>PRODUCCION</v>
      </c>
      <c r="H16" s="167" t="str">
        <f>VLOOKUP(MP_registro[[#This Row],[TAG]],'DB-EQUIPOS GEN'!$C$11:$H$833,4,0)</f>
        <v>EVAPORACION DE JUGO</v>
      </c>
      <c r="I16" s="167" t="str">
        <f>VLOOKUP(MP_registro[[#This Row],[TAG]],'DB-EQUIPOS GEN'!$C$11:$H$833,5,0)</f>
        <v>EVAPORADOR FFE 5A</v>
      </c>
      <c r="J16" s="167" t="str">
        <f>VLOOKUP(MP_registro[[#This Row],[TAG]],'DB-EQUIPOS GEN'!$C$11:$H$833,6,0)</f>
        <v>0320EV060</v>
      </c>
      <c r="K16" s="66">
        <v>44655</v>
      </c>
      <c r="L16" s="64" t="s">
        <v>249</v>
      </c>
      <c r="M16" s="64" t="s">
        <v>2403</v>
      </c>
      <c r="N16" s="64" t="s">
        <v>1664</v>
      </c>
      <c r="O16" s="64" t="s">
        <v>1696</v>
      </c>
    </row>
    <row r="17" spans="1:15" s="42" customFormat="1" ht="35.25" customHeight="1">
      <c r="A17" s="65">
        <v>16</v>
      </c>
      <c r="B17" s="64" t="s">
        <v>1373</v>
      </c>
      <c r="C17" s="64" t="s">
        <v>1375</v>
      </c>
      <c r="D17" s="65" t="s">
        <v>1397</v>
      </c>
      <c r="E17" s="65" t="s">
        <v>1178</v>
      </c>
      <c r="F17" s="166" t="str">
        <f>VLOOKUP(MP_registro[[#This Row],[TAG]],'DB-EQUIPOS GEN'!$C$11:$H$833,2,0)</f>
        <v>Valvula control de nivel FFE - 4B</v>
      </c>
      <c r="G17" s="167" t="str">
        <f>VLOOKUP(MP_registro[[#This Row],[TAG]],'DB-EQUIPOS GEN'!$C$11:$H$833,3,0)</f>
        <v>PRODUCCION</v>
      </c>
      <c r="H17" s="166" t="str">
        <f>VLOOKUP(MP_registro[[#This Row],[TAG]],'DB-EQUIPOS GEN'!$C$11:$H$833,4,0)</f>
        <v>EVAPORACION DE JUGO</v>
      </c>
      <c r="I17" s="166" t="str">
        <f>VLOOKUP(MP_registro[[#This Row],[TAG]],'DB-EQUIPOS GEN'!$C$11:$H$833,5,0)</f>
        <v>EVAPORADOR FFE 4B</v>
      </c>
      <c r="J17" s="166" t="str">
        <f>VLOOKUP(MP_registro[[#This Row],[TAG]],'DB-EQUIPOS GEN'!$C$11:$H$833,6,0)</f>
        <v>0320EV070</v>
      </c>
      <c r="K17" s="67">
        <v>44655</v>
      </c>
      <c r="L17" s="65" t="s">
        <v>247</v>
      </c>
      <c r="M17" s="65" t="s">
        <v>2404</v>
      </c>
      <c r="N17" s="64" t="s">
        <v>1664</v>
      </c>
      <c r="O17" s="64" t="s">
        <v>1696</v>
      </c>
    </row>
    <row r="18" spans="1:15" s="42" customFormat="1" ht="35.25" customHeight="1">
      <c r="A18" s="64">
        <v>17</v>
      </c>
      <c r="B18" s="64" t="s">
        <v>1373</v>
      </c>
      <c r="C18" s="64" t="s">
        <v>1375</v>
      </c>
      <c r="D18" s="65" t="s">
        <v>1398</v>
      </c>
      <c r="E18" s="65" t="s">
        <v>1061</v>
      </c>
      <c r="F18" s="166" t="str">
        <f>VLOOKUP(MP_registro[[#This Row],[TAG]],'DB-EQUIPOS GEN'!$C$11:$H$833,2,0)</f>
        <v>Valvula reductora 1</v>
      </c>
      <c r="G18" s="167" t="str">
        <f>VLOOKUP(MP_registro[[#This Row],[TAG]],'DB-EQUIPOS GEN'!$C$11:$H$833,3,0)</f>
        <v>E. TERMICA</v>
      </c>
      <c r="H18" s="167" t="str">
        <f>VLOOKUP(MP_registro[[#This Row],[TAG]],'DB-EQUIPOS GEN'!$C$11:$H$833,4,0)</f>
        <v>DISTRIBUCION DE VAPOR</v>
      </c>
      <c r="I18" s="167" t="str">
        <f>VLOOKUP(MP_registro[[#This Row],[TAG]],'DB-EQUIPOS GEN'!$C$11:$H$833,5,0)</f>
        <v>REDUCTOR DE DESPACHO DE VAPOR 1</v>
      </c>
      <c r="J18" s="167" t="str">
        <f>VLOOKUP(MP_registro[[#This Row],[TAG]],'DB-EQUIPOS GEN'!$C$11:$H$833,6,0)</f>
        <v>0405RE010</v>
      </c>
      <c r="K18" s="66">
        <v>44655</v>
      </c>
      <c r="L18" s="65" t="s">
        <v>245</v>
      </c>
      <c r="M18" s="64" t="s">
        <v>2396</v>
      </c>
      <c r="N18" s="64" t="s">
        <v>1664</v>
      </c>
      <c r="O18" s="64" t="s">
        <v>1696</v>
      </c>
    </row>
    <row r="19" spans="1:15" s="42" customFormat="1" ht="35.25" customHeight="1">
      <c r="A19" s="65">
        <v>18</v>
      </c>
      <c r="B19" s="64" t="s">
        <v>1373</v>
      </c>
      <c r="C19" s="64" t="s">
        <v>1375</v>
      </c>
      <c r="D19" s="65" t="s">
        <v>1399</v>
      </c>
      <c r="E19" s="65" t="s">
        <v>252</v>
      </c>
      <c r="F19" s="166" t="str">
        <f>VLOOKUP(MP_registro[[#This Row],[TAG]],'DB-EQUIPOS GEN'!$C$11:$H$833,2,0)</f>
        <v>Valvula reductora 2</v>
      </c>
      <c r="G19" s="167" t="str">
        <f>VLOOKUP(MP_registro[[#This Row],[TAG]],'DB-EQUIPOS GEN'!$C$11:$H$833,3,0)</f>
        <v>E. TERMICA</v>
      </c>
      <c r="H19" s="166" t="str">
        <f>VLOOKUP(MP_registro[[#This Row],[TAG]],'DB-EQUIPOS GEN'!$C$11:$H$833,4,0)</f>
        <v>DISTRIBUCION DE VAPOR</v>
      </c>
      <c r="I19" s="166" t="str">
        <f>VLOOKUP(MP_registro[[#This Row],[TAG]],'DB-EQUIPOS GEN'!$C$11:$H$833,5,0)</f>
        <v>REDUCTOR DE DESPACHO DE VAPOR 2</v>
      </c>
      <c r="J19" s="166" t="str">
        <f>VLOOKUP(MP_registro[[#This Row],[TAG]],'DB-EQUIPOS GEN'!$C$11:$H$833,6,0)</f>
        <v>0405RE020</v>
      </c>
      <c r="K19" s="67">
        <v>44655</v>
      </c>
      <c r="L19" s="64" t="s">
        <v>249</v>
      </c>
      <c r="M19" s="64" t="s">
        <v>2403</v>
      </c>
      <c r="N19" s="64" t="s">
        <v>1664</v>
      </c>
      <c r="O19" s="64" t="s">
        <v>1696</v>
      </c>
    </row>
    <row r="20" spans="1:15" s="42" customFormat="1" ht="35.25" customHeight="1">
      <c r="A20" s="64">
        <v>19</v>
      </c>
      <c r="B20" s="64" t="s">
        <v>1373</v>
      </c>
      <c r="C20" s="64" t="s">
        <v>1375</v>
      </c>
      <c r="D20" s="65" t="s">
        <v>1400</v>
      </c>
      <c r="E20" s="65" t="s">
        <v>754</v>
      </c>
      <c r="F20" s="166" t="str">
        <f>VLOOKUP(MP_registro[[#This Row],[TAG]],'DB-EQUIPOS GEN'!$C$11:$H$833,2,0)</f>
        <v>Brix de masa B - Celda 3</v>
      </c>
      <c r="G20" s="167" t="str">
        <f>VLOOKUP(MP_registro[[#This Row],[TAG]],'DB-EQUIPOS GEN'!$C$11:$H$833,3,0)</f>
        <v>PRODUCCION</v>
      </c>
      <c r="H20" s="167" t="str">
        <f>VLOOKUP(MP_registro[[#This Row],[TAG]],'DB-EQUIPOS GEN'!$C$11:$H$833,4,0)</f>
        <v>CRISTALIZACION POR COCCION</v>
      </c>
      <c r="I20" s="167" t="str">
        <f>VLOOKUP(MP_registro[[#This Row],[TAG]],'DB-EQUIPOS GEN'!$C$11:$H$833,5,0)</f>
        <v xml:space="preserve">TACHO CONTINUO B </v>
      </c>
      <c r="J20" s="167" t="str">
        <f>VLOOKUP(MP_registro[[#This Row],[TAG]],'DB-EQUIPOS GEN'!$C$11:$H$833,6,0)</f>
        <v xml:space="preserve"> 0335HX230</v>
      </c>
      <c r="K20" s="66">
        <v>44653</v>
      </c>
      <c r="L20" s="65" t="s">
        <v>245</v>
      </c>
      <c r="M20" s="64" t="s">
        <v>2396</v>
      </c>
      <c r="N20" s="64" t="s">
        <v>1664</v>
      </c>
      <c r="O20" s="64" t="s">
        <v>1696</v>
      </c>
    </row>
    <row r="21" spans="1:15" s="42" customFormat="1" ht="35.25" customHeight="1">
      <c r="A21" s="65">
        <v>20</v>
      </c>
      <c r="B21" s="64" t="s">
        <v>1373</v>
      </c>
      <c r="C21" s="64" t="s">
        <v>1375</v>
      </c>
      <c r="D21" s="65" t="s">
        <v>1401</v>
      </c>
      <c r="E21" s="65" t="s">
        <v>756</v>
      </c>
      <c r="F21" s="166" t="str">
        <f>VLOOKUP(MP_registro[[#This Row],[TAG]],'DB-EQUIPOS GEN'!$C$11:$H$833,2,0)</f>
        <v>Brix de masa B - Celda 4</v>
      </c>
      <c r="G21" s="167" t="str">
        <f>VLOOKUP(MP_registro[[#This Row],[TAG]],'DB-EQUIPOS GEN'!$C$11:$H$833,3,0)</f>
        <v>PRODUCCION</v>
      </c>
      <c r="H21" s="166" t="str">
        <f>VLOOKUP(MP_registro[[#This Row],[TAG]],'DB-EQUIPOS GEN'!$C$11:$H$833,4,0)</f>
        <v>CRISTALIZACION POR COCCION</v>
      </c>
      <c r="I21" s="166" t="str">
        <f>VLOOKUP(MP_registro[[#This Row],[TAG]],'DB-EQUIPOS GEN'!$C$11:$H$833,5,0)</f>
        <v xml:space="preserve">TACHO CONTINUO B </v>
      </c>
      <c r="J21" s="166" t="str">
        <f>VLOOKUP(MP_registro[[#This Row],[TAG]],'DB-EQUIPOS GEN'!$C$11:$H$833,6,0)</f>
        <v xml:space="preserve"> 0335HX230</v>
      </c>
      <c r="K21" s="67">
        <v>44654</v>
      </c>
      <c r="L21" s="65" t="s">
        <v>245</v>
      </c>
      <c r="M21" s="65" t="s">
        <v>2396</v>
      </c>
      <c r="N21" s="64" t="s">
        <v>1664</v>
      </c>
      <c r="O21" s="64" t="s">
        <v>1696</v>
      </c>
    </row>
    <row r="22" spans="1:15" s="42" customFormat="1" ht="35.25" customHeight="1">
      <c r="A22" s="64">
        <v>21</v>
      </c>
      <c r="B22" s="64" t="s">
        <v>1373</v>
      </c>
      <c r="C22" s="64" t="s">
        <v>1375</v>
      </c>
      <c r="D22" s="65" t="s">
        <v>1402</v>
      </c>
      <c r="E22" s="65" t="s">
        <v>758</v>
      </c>
      <c r="F22" s="166" t="str">
        <f>VLOOKUP(MP_registro[[#This Row],[TAG]],'DB-EQUIPOS GEN'!$C$11:$H$833,2,0)</f>
        <v>Brix de masa B - Celda 5</v>
      </c>
      <c r="G22" s="167" t="str">
        <f>VLOOKUP(MP_registro[[#This Row],[TAG]],'DB-EQUIPOS GEN'!$C$11:$H$833,3,0)</f>
        <v>PRODUCCION</v>
      </c>
      <c r="H22" s="167" t="str">
        <f>VLOOKUP(MP_registro[[#This Row],[TAG]],'DB-EQUIPOS GEN'!$C$11:$H$833,4,0)</f>
        <v>CRISTALIZACION POR COCCION</v>
      </c>
      <c r="I22" s="167" t="str">
        <f>VLOOKUP(MP_registro[[#This Row],[TAG]],'DB-EQUIPOS GEN'!$C$11:$H$833,5,0)</f>
        <v xml:space="preserve">TACHO CONTINUO B </v>
      </c>
      <c r="J22" s="167" t="str">
        <f>VLOOKUP(MP_registro[[#This Row],[TAG]],'DB-EQUIPOS GEN'!$C$11:$H$833,6,0)</f>
        <v xml:space="preserve"> 0335HX230</v>
      </c>
      <c r="K22" s="66">
        <v>44655</v>
      </c>
      <c r="L22" s="65" t="s">
        <v>245</v>
      </c>
      <c r="M22" s="64" t="s">
        <v>2396</v>
      </c>
      <c r="N22" s="64" t="s">
        <v>1664</v>
      </c>
      <c r="O22" s="64" t="s">
        <v>1696</v>
      </c>
    </row>
    <row r="23" spans="1:15" s="42" customFormat="1" ht="35.25" customHeight="1">
      <c r="A23" s="65">
        <v>22</v>
      </c>
      <c r="B23" s="64" t="s">
        <v>1373</v>
      </c>
      <c r="C23" s="64" t="s">
        <v>1375</v>
      </c>
      <c r="D23" s="65" t="s">
        <v>1403</v>
      </c>
      <c r="E23" s="65" t="s">
        <v>760</v>
      </c>
      <c r="F23" s="166" t="str">
        <f>VLOOKUP(MP_registro[[#This Row],[TAG]],'DB-EQUIPOS GEN'!$C$11:$H$833,2,0)</f>
        <v>Brix de masa B - Celda 6</v>
      </c>
      <c r="G23" s="167" t="str">
        <f>VLOOKUP(MP_registro[[#This Row],[TAG]],'DB-EQUIPOS GEN'!$C$11:$H$833,3,0)</f>
        <v>PRODUCCION</v>
      </c>
      <c r="H23" s="166" t="str">
        <f>VLOOKUP(MP_registro[[#This Row],[TAG]],'DB-EQUIPOS GEN'!$C$11:$H$833,4,0)</f>
        <v>CRISTALIZACION POR COCCION</v>
      </c>
      <c r="I23" s="166" t="str">
        <f>VLOOKUP(MP_registro[[#This Row],[TAG]],'DB-EQUIPOS GEN'!$C$11:$H$833,5,0)</f>
        <v xml:space="preserve">TACHO CONTINUO B </v>
      </c>
      <c r="J23" s="166" t="str">
        <f>VLOOKUP(MP_registro[[#This Row],[TAG]],'DB-EQUIPOS GEN'!$C$11:$H$833,6,0)</f>
        <v xml:space="preserve"> 0335HX230</v>
      </c>
      <c r="K23" s="67">
        <v>44656</v>
      </c>
      <c r="L23" s="64" t="s">
        <v>249</v>
      </c>
      <c r="M23" s="64" t="s">
        <v>2403</v>
      </c>
      <c r="N23" s="64" t="s">
        <v>1664</v>
      </c>
      <c r="O23" s="64" t="s">
        <v>1696</v>
      </c>
    </row>
    <row r="24" spans="1:15" s="42" customFormat="1" ht="35.25" customHeight="1">
      <c r="A24" s="64">
        <v>23</v>
      </c>
      <c r="B24" s="64" t="s">
        <v>1373</v>
      </c>
      <c r="C24" s="64" t="s">
        <v>1375</v>
      </c>
      <c r="D24" s="65" t="s">
        <v>1404</v>
      </c>
      <c r="E24" s="65" t="s">
        <v>762</v>
      </c>
      <c r="F24" s="166" t="str">
        <f>VLOOKUP(MP_registro[[#This Row],[TAG]],'DB-EQUIPOS GEN'!$C$11:$H$833,2,0)</f>
        <v>Brix de masa B - Celda 7</v>
      </c>
      <c r="G24" s="167" t="str">
        <f>VLOOKUP(MP_registro[[#This Row],[TAG]],'DB-EQUIPOS GEN'!$C$11:$H$833,3,0)</f>
        <v>PRODUCCION</v>
      </c>
      <c r="H24" s="167" t="str">
        <f>VLOOKUP(MP_registro[[#This Row],[TAG]],'DB-EQUIPOS GEN'!$C$11:$H$833,4,0)</f>
        <v>CRISTALIZACION POR COCCION</v>
      </c>
      <c r="I24" s="167" t="str">
        <f>VLOOKUP(MP_registro[[#This Row],[TAG]],'DB-EQUIPOS GEN'!$C$11:$H$833,5,0)</f>
        <v xml:space="preserve">TACHO CONTINUO B </v>
      </c>
      <c r="J24" s="167" t="str">
        <f>VLOOKUP(MP_registro[[#This Row],[TAG]],'DB-EQUIPOS GEN'!$C$11:$H$833,6,0)</f>
        <v xml:space="preserve"> 0335HX230</v>
      </c>
      <c r="K24" s="66">
        <v>44657</v>
      </c>
      <c r="L24" s="64" t="s">
        <v>249</v>
      </c>
      <c r="M24" s="64" t="s">
        <v>2403</v>
      </c>
      <c r="N24" s="64" t="s">
        <v>1664</v>
      </c>
      <c r="O24" s="64" t="s">
        <v>1696</v>
      </c>
    </row>
    <row r="25" spans="1:15" s="42" customFormat="1" ht="35.25" customHeight="1">
      <c r="A25" s="65">
        <v>24</v>
      </c>
      <c r="B25" s="64" t="s">
        <v>1373</v>
      </c>
      <c r="C25" s="64" t="s">
        <v>1375</v>
      </c>
      <c r="D25" s="65" t="s">
        <v>1405</v>
      </c>
      <c r="E25" s="65" t="s">
        <v>764</v>
      </c>
      <c r="F25" s="166" t="str">
        <f>VLOOKUP(MP_registro[[#This Row],[TAG]],'DB-EQUIPOS GEN'!$C$11:$H$833,2,0)</f>
        <v>Brix de masa B - Celda 8</v>
      </c>
      <c r="G25" s="167" t="str">
        <f>VLOOKUP(MP_registro[[#This Row],[TAG]],'DB-EQUIPOS GEN'!$C$11:$H$833,3,0)</f>
        <v>PRODUCCION</v>
      </c>
      <c r="H25" s="166" t="str">
        <f>VLOOKUP(MP_registro[[#This Row],[TAG]],'DB-EQUIPOS GEN'!$C$11:$H$833,4,0)</f>
        <v>CRISTALIZACION POR COCCION</v>
      </c>
      <c r="I25" s="166" t="str">
        <f>VLOOKUP(MP_registro[[#This Row],[TAG]],'DB-EQUIPOS GEN'!$C$11:$H$833,5,0)</f>
        <v xml:space="preserve">TACHO CONTINUO B </v>
      </c>
      <c r="J25" s="166" t="str">
        <f>VLOOKUP(MP_registro[[#This Row],[TAG]],'DB-EQUIPOS GEN'!$C$11:$H$833,6,0)</f>
        <v xml:space="preserve"> 0335HX230</v>
      </c>
      <c r="K25" s="67">
        <v>44658</v>
      </c>
      <c r="L25" s="64" t="s">
        <v>249</v>
      </c>
      <c r="M25" s="64" t="s">
        <v>2403</v>
      </c>
      <c r="N25" s="64" t="s">
        <v>1664</v>
      </c>
      <c r="O25" s="64" t="s">
        <v>1696</v>
      </c>
    </row>
    <row r="26" spans="1:15" s="42" customFormat="1" ht="35.25" customHeight="1">
      <c r="A26" s="64">
        <v>25</v>
      </c>
      <c r="B26" s="64" t="s">
        <v>1373</v>
      </c>
      <c r="C26" s="64" t="s">
        <v>1375</v>
      </c>
      <c r="D26" s="65" t="s">
        <v>1406</v>
      </c>
      <c r="E26" s="65" t="s">
        <v>766</v>
      </c>
      <c r="F26" s="166" t="str">
        <f>VLOOKUP(MP_registro[[#This Row],[TAG]],'DB-EQUIPOS GEN'!$C$11:$H$833,2,0)</f>
        <v>Brix de masa C - Celda 1</v>
      </c>
      <c r="G26" s="167" t="str">
        <f>VLOOKUP(MP_registro[[#This Row],[TAG]],'DB-EQUIPOS GEN'!$C$11:$H$833,3,0)</f>
        <v>PRODUCCION</v>
      </c>
      <c r="H26" s="167" t="str">
        <f>VLOOKUP(MP_registro[[#This Row],[TAG]],'DB-EQUIPOS GEN'!$C$11:$H$833,4,0)</f>
        <v>CRISTALIZACION POR COCCION</v>
      </c>
      <c r="I26" s="167" t="str">
        <f>VLOOKUP(MP_registro[[#This Row],[TAG]],'DB-EQUIPOS GEN'!$C$11:$H$833,5,0)</f>
        <v xml:space="preserve">TACHO CONTINUO C </v>
      </c>
      <c r="J26" s="167" t="str">
        <f>VLOOKUP(MP_registro[[#This Row],[TAG]],'DB-EQUIPOS GEN'!$C$11:$H$833,6,0)</f>
        <v xml:space="preserve"> 0335HX260</v>
      </c>
      <c r="K26" s="66">
        <v>44659</v>
      </c>
      <c r="L26" s="65" t="s">
        <v>247</v>
      </c>
      <c r="M26" s="65" t="s">
        <v>2404</v>
      </c>
      <c r="N26" s="64" t="s">
        <v>1664</v>
      </c>
      <c r="O26" s="64" t="s">
        <v>1696</v>
      </c>
    </row>
    <row r="27" spans="1:15" s="42" customFormat="1" ht="35.25" customHeight="1">
      <c r="A27" s="65">
        <v>26</v>
      </c>
      <c r="B27" s="64" t="s">
        <v>1373</v>
      </c>
      <c r="C27" s="64" t="s">
        <v>1375</v>
      </c>
      <c r="D27" s="65" t="s">
        <v>1407</v>
      </c>
      <c r="E27" s="65" t="s">
        <v>768</v>
      </c>
      <c r="F27" s="166" t="str">
        <f>VLOOKUP(MP_registro[[#This Row],[TAG]],'DB-EQUIPOS GEN'!$C$11:$H$833,2,0)</f>
        <v>Brix de masa C - Celda 2</v>
      </c>
      <c r="G27" s="167" t="str">
        <f>VLOOKUP(MP_registro[[#This Row],[TAG]],'DB-EQUIPOS GEN'!$C$11:$H$833,3,0)</f>
        <v>PRODUCCION</v>
      </c>
      <c r="H27" s="166" t="str">
        <f>VLOOKUP(MP_registro[[#This Row],[TAG]],'DB-EQUIPOS GEN'!$C$11:$H$833,4,0)</f>
        <v>CRISTALIZACION POR COCCION</v>
      </c>
      <c r="I27" s="166" t="str">
        <f>VLOOKUP(MP_registro[[#This Row],[TAG]],'DB-EQUIPOS GEN'!$C$11:$H$833,5,0)</f>
        <v xml:space="preserve">TACHO CONTINUO C </v>
      </c>
      <c r="J27" s="166" t="str">
        <f>VLOOKUP(MP_registro[[#This Row],[TAG]],'DB-EQUIPOS GEN'!$C$11:$H$833,6,0)</f>
        <v xml:space="preserve"> 0335HX260</v>
      </c>
      <c r="K27" s="67">
        <v>44660</v>
      </c>
      <c r="L27" s="65" t="s">
        <v>247</v>
      </c>
      <c r="M27" s="65" t="s">
        <v>2404</v>
      </c>
      <c r="N27" s="64" t="s">
        <v>1664</v>
      </c>
      <c r="O27" s="64" t="s">
        <v>1696</v>
      </c>
    </row>
    <row r="28" spans="1:15" s="42" customFormat="1" ht="35.25" customHeight="1">
      <c r="A28" s="64">
        <v>27</v>
      </c>
      <c r="B28" s="64" t="s">
        <v>1373</v>
      </c>
      <c r="C28" s="64" t="s">
        <v>1375</v>
      </c>
      <c r="D28" s="65" t="s">
        <v>1408</v>
      </c>
      <c r="E28" s="65" t="s">
        <v>770</v>
      </c>
      <c r="F28" s="166" t="str">
        <f>VLOOKUP(MP_registro[[#This Row],[TAG]],'DB-EQUIPOS GEN'!$C$11:$H$833,2,0)</f>
        <v>Brix de masa C - Celda 3</v>
      </c>
      <c r="G28" s="167" t="str">
        <f>VLOOKUP(MP_registro[[#This Row],[TAG]],'DB-EQUIPOS GEN'!$C$11:$H$833,3,0)</f>
        <v>PRODUCCION</v>
      </c>
      <c r="H28" s="167" t="str">
        <f>VLOOKUP(MP_registro[[#This Row],[TAG]],'DB-EQUIPOS GEN'!$C$11:$H$833,4,0)</f>
        <v>CRISTALIZACION POR COCCION</v>
      </c>
      <c r="I28" s="167" t="str">
        <f>VLOOKUP(MP_registro[[#This Row],[TAG]],'DB-EQUIPOS GEN'!$C$11:$H$833,5,0)</f>
        <v xml:space="preserve">TACHO CONTINUO C </v>
      </c>
      <c r="J28" s="167" t="str">
        <f>VLOOKUP(MP_registro[[#This Row],[TAG]],'DB-EQUIPOS GEN'!$C$11:$H$833,6,0)</f>
        <v xml:space="preserve"> 0335HX260</v>
      </c>
      <c r="K28" s="66">
        <v>44661</v>
      </c>
      <c r="L28" s="65" t="s">
        <v>247</v>
      </c>
      <c r="M28" s="65" t="s">
        <v>2404</v>
      </c>
      <c r="N28" s="64" t="s">
        <v>1664</v>
      </c>
      <c r="O28" s="64" t="s">
        <v>1696</v>
      </c>
    </row>
    <row r="29" spans="1:15" s="42" customFormat="1" ht="35.25" customHeight="1">
      <c r="A29" s="65">
        <v>28</v>
      </c>
      <c r="B29" s="64" t="s">
        <v>1373</v>
      </c>
      <c r="C29" s="64" t="s">
        <v>1375</v>
      </c>
      <c r="D29" s="65" t="s">
        <v>1409</v>
      </c>
      <c r="E29" s="153" t="s">
        <v>1750</v>
      </c>
      <c r="F29" s="166" t="str">
        <f>VLOOKUP(MP_registro[[#This Row],[TAG]],'DB-EQUIPOS GEN'!$C$11:$H$833,2,0)</f>
        <v>Aire Instrumentacion p/ Caldera</v>
      </c>
      <c r="G29" s="167" t="str">
        <f>VLOOKUP(MP_registro[[#This Row],[TAG]],'DB-EQUIPOS GEN'!$C$11:$H$833,3,0)</f>
        <v>E. ELECTRICA</v>
      </c>
      <c r="H29" s="166" t="str">
        <f>VLOOKUP(MP_registro[[#This Row],[TAG]],'DB-EQUIPOS GEN'!$C$11:$H$833,4,0)</f>
        <v>GENERACION ENERG. ELEC. TURBO GENERADOR</v>
      </c>
      <c r="I29" s="166" t="str">
        <f>VLOOKUP(MP_registro[[#This Row],[TAG]],'DB-EQUIPOS GEN'!$C$11:$H$833,5,0)</f>
        <v/>
      </c>
      <c r="J29" s="166" t="str">
        <f>VLOOKUP(MP_registro[[#This Row],[TAG]],'DB-EQUIPOS GEN'!$C$11:$H$833,6,0)</f>
        <v/>
      </c>
      <c r="K29" s="67">
        <v>44655</v>
      </c>
      <c r="L29" s="65" t="s">
        <v>247</v>
      </c>
      <c r="M29" s="65" t="s">
        <v>2404</v>
      </c>
      <c r="N29" s="64" t="s">
        <v>1664</v>
      </c>
      <c r="O29" s="64" t="s">
        <v>1696</v>
      </c>
    </row>
    <row r="30" spans="1:15" s="42" customFormat="1" ht="35.25" customHeight="1">
      <c r="A30" s="64">
        <v>29</v>
      </c>
      <c r="B30" s="64" t="s">
        <v>1373</v>
      </c>
      <c r="C30" s="64" t="s">
        <v>1375</v>
      </c>
      <c r="D30" s="65" t="s">
        <v>1410</v>
      </c>
      <c r="E30" s="153" t="s">
        <v>1694</v>
      </c>
      <c r="F30" s="166" t="str">
        <f>VLOOKUP(MP_registro[[#This Row],[TAG]],'DB-EQUIPOS GEN'!$C$11:$H$833,2,0)</f>
        <v>Aire Instrumentacion p/ Caldera</v>
      </c>
      <c r="G30" s="167" t="str">
        <f>VLOOKUP(MP_registro[[#This Row],[TAG]],'DB-EQUIPOS GEN'!$C$11:$H$833,3,0)</f>
        <v>E. ELECTRICA</v>
      </c>
      <c r="H30" s="167" t="str">
        <f>VLOOKUP(MP_registro[[#This Row],[TAG]],'DB-EQUIPOS GEN'!$C$11:$H$833,4,0)</f>
        <v>GENERACION ENERG. ELEC. TURBO GENERADOR</v>
      </c>
      <c r="I30" s="167" t="str">
        <f>VLOOKUP(MP_registro[[#This Row],[TAG]],'DB-EQUIPOS GEN'!$C$11:$H$833,5,0)</f>
        <v/>
      </c>
      <c r="J30" s="167" t="str">
        <f>VLOOKUP(MP_registro[[#This Row],[TAG]],'DB-EQUIPOS GEN'!$C$11:$H$833,6,0)</f>
        <v/>
      </c>
      <c r="K30" s="66">
        <v>44654</v>
      </c>
      <c r="L30" s="65" t="s">
        <v>245</v>
      </c>
      <c r="M30" s="64" t="s">
        <v>2396</v>
      </c>
      <c r="N30" s="64" t="s">
        <v>1664</v>
      </c>
      <c r="O30" s="64" t="s">
        <v>1696</v>
      </c>
    </row>
    <row r="31" spans="1:15" s="42" customFormat="1" ht="35.25" customHeight="1">
      <c r="A31" s="65">
        <v>30</v>
      </c>
      <c r="B31" s="64" t="s">
        <v>1373</v>
      </c>
      <c r="C31" s="64" t="s">
        <v>1375</v>
      </c>
      <c r="D31" s="65" t="s">
        <v>1411</v>
      </c>
      <c r="E31" s="65" t="s">
        <v>1328</v>
      </c>
      <c r="F31" s="166" t="str">
        <f>VLOOKUP(MP_registro[[#This Row],[TAG]],'DB-EQUIPOS GEN'!$C$11:$H$833,2,0)</f>
        <v xml:space="preserve">Estacion de Ingenieria </v>
      </c>
      <c r="G31" s="167" t="str">
        <f>VLOOKUP(MP_registro[[#This Row],[TAG]],'DB-EQUIPOS GEN'!$C$11:$H$833,3,0)</f>
        <v>E. ELECTRICA</v>
      </c>
      <c r="H31" s="166" t="str">
        <f>VLOOKUP(MP_registro[[#This Row],[TAG]],'DB-EQUIPOS GEN'!$C$11:$H$833,4,0)</f>
        <v>SISTEMA DE CONTROL DISTRIBUIDO</v>
      </c>
      <c r="I31" s="166" t="str">
        <f>VLOOKUP(MP_registro[[#This Row],[TAG]],'DB-EQUIPOS GEN'!$C$11:$H$833,5,0)</f>
        <v>SISTEMA DE CONTROL DISTRIBUIDO</v>
      </c>
      <c r="J31" s="166" t="str">
        <f>VLOOKUP(MP_registro[[#This Row],[TAG]],'DB-EQUIPOS GEN'!$C$11:$H$833,6,0)</f>
        <v>DCS</v>
      </c>
      <c r="K31" s="67">
        <v>44652</v>
      </c>
      <c r="L31" s="65" t="s">
        <v>248</v>
      </c>
      <c r="M31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1" s="64" t="s">
        <v>1664</v>
      </c>
      <c r="O31" s="64" t="s">
        <v>1696</v>
      </c>
    </row>
    <row r="32" spans="1:15" s="42" customFormat="1" ht="35.25" customHeight="1">
      <c r="A32" s="64">
        <v>31</v>
      </c>
      <c r="B32" s="64" t="s">
        <v>1373</v>
      </c>
      <c r="C32" s="64" t="s">
        <v>1375</v>
      </c>
      <c r="D32" s="65" t="s">
        <v>1412</v>
      </c>
      <c r="E32" s="65" t="s">
        <v>254</v>
      </c>
      <c r="F32" s="166" t="str">
        <f>VLOOKUP(MP_registro[[#This Row],[TAG]],'DB-EQUIPOS GEN'!$C$11:$H$833,2,0)</f>
        <v>Tablero de periferia en Asset Caldera</v>
      </c>
      <c r="G32" s="167" t="str">
        <f>VLOOKUP(MP_registro[[#This Row],[TAG]],'DB-EQUIPOS GEN'!$C$11:$H$833,3,0)</f>
        <v>E. TERMICA</v>
      </c>
      <c r="H32" s="167" t="str">
        <f>VLOOKUP(MP_registro[[#This Row],[TAG]],'DB-EQUIPOS GEN'!$C$11:$H$833,4,0)</f>
        <v>GENERACION DE VAPOR</v>
      </c>
      <c r="I32" s="167" t="str">
        <f>VLOOKUP(MP_registro[[#This Row],[TAG]],'DB-EQUIPOS GEN'!$C$11:$H$833,5,0)</f>
        <v>CALDERA</v>
      </c>
      <c r="J32" s="167" t="str">
        <f>VLOOKUP(MP_registro[[#This Row],[TAG]],'DB-EQUIPOS GEN'!$C$11:$H$833,6,0)</f>
        <v>0405BR010</v>
      </c>
      <c r="K32" s="66">
        <v>44658</v>
      </c>
      <c r="L32" s="65" t="s">
        <v>248</v>
      </c>
      <c r="M32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2" s="64" t="s">
        <v>1664</v>
      </c>
      <c r="O32" s="64" t="s">
        <v>1696</v>
      </c>
    </row>
    <row r="33" spans="1:15" s="42" customFormat="1" ht="35.25" customHeight="1">
      <c r="A33" s="65">
        <v>32</v>
      </c>
      <c r="B33" s="64" t="s">
        <v>1373</v>
      </c>
      <c r="C33" s="64" t="s">
        <v>1375</v>
      </c>
      <c r="D33" s="65" t="s">
        <v>1413</v>
      </c>
      <c r="E33" s="65" t="s">
        <v>259</v>
      </c>
      <c r="F33" s="166" t="str">
        <f>VLOOKUP(MP_registro[[#This Row],[TAG]],'DB-EQUIPOS GEN'!$C$11:$H$833,2,0)</f>
        <v>Tablero de periferia en Asset PH &amp; Cpan</v>
      </c>
      <c r="G33" s="167" t="str">
        <f>VLOOKUP(MP_registro[[#This Row],[TAG]],'DB-EQUIPOS GEN'!$C$11:$H$833,3,0)</f>
        <v>PRODUCCION</v>
      </c>
      <c r="H33" s="166" t="str">
        <f>VLOOKUP(MP_registro[[#This Row],[TAG]],'DB-EQUIPOS GEN'!$C$11:$H$833,4,0)</f>
        <v>CRISTALIZACION POR COCCION</v>
      </c>
      <c r="I33" s="166" t="str">
        <f>VLOOKUP(MP_registro[[#This Row],[TAG]],'DB-EQUIPOS GEN'!$C$11:$H$833,5,0)</f>
        <v>TACHO CONTINUO - A</v>
      </c>
      <c r="J33" s="166" t="str">
        <f>VLOOKUP(MP_registro[[#This Row],[TAG]],'DB-EQUIPOS GEN'!$C$11:$H$833,6,0)</f>
        <v>0335HX200</v>
      </c>
      <c r="K33" s="67">
        <v>44661</v>
      </c>
      <c r="L33" s="65" t="s">
        <v>248</v>
      </c>
      <c r="M33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3" s="64" t="s">
        <v>1664</v>
      </c>
      <c r="O33" s="64" t="s">
        <v>1696</v>
      </c>
    </row>
    <row r="34" spans="1:15" s="42" customFormat="1" ht="35.25" customHeight="1">
      <c r="A34" s="64">
        <v>33</v>
      </c>
      <c r="B34" s="64" t="s">
        <v>1373</v>
      </c>
      <c r="C34" s="64" t="s">
        <v>1375</v>
      </c>
      <c r="D34" s="65" t="s">
        <v>1414</v>
      </c>
      <c r="E34" s="65" t="s">
        <v>1340</v>
      </c>
      <c r="F34" s="166" t="str">
        <f>VLOOKUP(MP_registro[[#This Row],[TAG]],'DB-EQUIPOS GEN'!$C$11:$H$833,2,0)</f>
        <v>Controlador C300 en Asset Caldera</v>
      </c>
      <c r="G34" s="167" t="str">
        <f>VLOOKUP(MP_registro[[#This Row],[TAG]],'DB-EQUIPOS GEN'!$C$11:$H$833,3,0)</f>
        <v>E. TERMICA</v>
      </c>
      <c r="H34" s="167" t="str">
        <f>VLOOKUP(MP_registro[[#This Row],[TAG]],'DB-EQUIPOS GEN'!$C$11:$H$833,4,0)</f>
        <v>GENERACION DE VAPOR</v>
      </c>
      <c r="I34" s="167" t="str">
        <f>VLOOKUP(MP_registro[[#This Row],[TAG]],'DB-EQUIPOS GEN'!$C$11:$H$833,5,0)</f>
        <v>CALDERA</v>
      </c>
      <c r="J34" s="167" t="str">
        <f>VLOOKUP(MP_registro[[#This Row],[TAG]],'DB-EQUIPOS GEN'!$C$11:$H$833,6,0)</f>
        <v>0405BR010</v>
      </c>
      <c r="K34" s="66">
        <v>44661</v>
      </c>
      <c r="L34" s="65" t="s">
        <v>248</v>
      </c>
      <c r="M34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4" s="64" t="s">
        <v>1664</v>
      </c>
      <c r="O34" s="64" t="s">
        <v>1696</v>
      </c>
    </row>
    <row r="35" spans="1:15" s="42" customFormat="1" ht="35.25" customHeight="1">
      <c r="A35" s="65">
        <v>34</v>
      </c>
      <c r="B35" s="64" t="s">
        <v>1373</v>
      </c>
      <c r="C35" s="64" t="s">
        <v>1375</v>
      </c>
      <c r="D35" s="65" t="s">
        <v>1415</v>
      </c>
      <c r="E35" s="162" t="s">
        <v>2416</v>
      </c>
      <c r="F35" s="166" t="str">
        <f>VLOOKUP(MP_registro[[#This Row],[TAG]],'DB-EQUIPOS GEN'!$C$11:$H$833,2,0)</f>
        <v>Vista Conductor Auxiliar - Superior</v>
      </c>
      <c r="G35" s="167" t="str">
        <f>VLOOKUP(MP_registro[[#This Row],[TAG]],'DB-EQUIPOS GEN'!$C$11:$H$833,3,0)</f>
        <v>EXTRACCION</v>
      </c>
      <c r="H35" s="166" t="str">
        <f>VLOOKUP(MP_registro[[#This Row],[TAG]],'DB-EQUIPOS GEN'!$C$11:$H$833,4,0)</f>
        <v>PREPARACIÓN DE CAÑA</v>
      </c>
      <c r="I35" s="166" t="str">
        <f>VLOOKUP(MP_registro[[#This Row],[TAG]],'DB-EQUIPOS GEN'!$C$11:$H$833,5,0)</f>
        <v>CONDUCTOR AUXILIAR DE CAÑA</v>
      </c>
      <c r="J35" s="166" t="str">
        <f>VLOOKUP(MP_registro[[#This Row],[TAG]],'DB-EQUIPOS GEN'!$C$11:$H$833,6,0)</f>
        <v>0115CV010</v>
      </c>
      <c r="K35" s="67">
        <v>44652</v>
      </c>
      <c r="L35" s="65" t="s">
        <v>247</v>
      </c>
      <c r="M35" s="65" t="s">
        <v>2404</v>
      </c>
      <c r="N35" s="64" t="s">
        <v>1664</v>
      </c>
      <c r="O35" s="64" t="s">
        <v>1696</v>
      </c>
    </row>
    <row r="36" spans="1:15" s="42" customFormat="1" ht="35.25" customHeight="1">
      <c r="A36" s="64">
        <v>35</v>
      </c>
      <c r="B36" s="64" t="s">
        <v>1373</v>
      </c>
      <c r="C36" s="64" t="s">
        <v>1375</v>
      </c>
      <c r="D36" s="65" t="s">
        <v>1416</v>
      </c>
      <c r="E36" s="162" t="s">
        <v>2416</v>
      </c>
      <c r="F36" s="166" t="str">
        <f>VLOOKUP(MP_registro[[#This Row],[TAG]],'DB-EQUIPOS GEN'!$C$11:$H$833,2,0)</f>
        <v>Vista Conductor Auxiliar - Superior</v>
      </c>
      <c r="G36" s="167" t="str">
        <f>VLOOKUP(MP_registro[[#This Row],[TAG]],'DB-EQUIPOS GEN'!$C$11:$H$833,3,0)</f>
        <v>EXTRACCION</v>
      </c>
      <c r="H36" s="167" t="str">
        <f>VLOOKUP(MP_registro[[#This Row],[TAG]],'DB-EQUIPOS GEN'!$C$11:$H$833,4,0)</f>
        <v>PREPARACIÓN DE CAÑA</v>
      </c>
      <c r="I36" s="167" t="str">
        <f>VLOOKUP(MP_registro[[#This Row],[TAG]],'DB-EQUIPOS GEN'!$C$11:$H$833,5,0)</f>
        <v>CONDUCTOR AUXILIAR DE CAÑA</v>
      </c>
      <c r="J36" s="167" t="str">
        <f>VLOOKUP(MP_registro[[#This Row],[TAG]],'DB-EQUIPOS GEN'!$C$11:$H$833,6,0)</f>
        <v>0115CV010</v>
      </c>
      <c r="K36" s="66">
        <v>44659</v>
      </c>
      <c r="L36" s="65" t="s">
        <v>245</v>
      </c>
      <c r="M36" s="64" t="s">
        <v>2396</v>
      </c>
      <c r="N36" s="64" t="s">
        <v>1664</v>
      </c>
      <c r="O36" s="64" t="s">
        <v>1696</v>
      </c>
    </row>
    <row r="37" spans="1:15" s="42" customFormat="1" ht="35.25" customHeight="1">
      <c r="A37" s="65">
        <v>36</v>
      </c>
      <c r="B37" s="64" t="s">
        <v>1373</v>
      </c>
      <c r="C37" s="64" t="s">
        <v>1375</v>
      </c>
      <c r="D37" s="65" t="s">
        <v>1417</v>
      </c>
      <c r="E37" s="162" t="s">
        <v>2407</v>
      </c>
      <c r="F37" s="166" t="str">
        <f>VLOOKUP(MP_registro[[#This Row],[TAG]],'DB-EQUIPOS GEN'!$C$11:$H$833,2,0)</f>
        <v>Vista Molino Secador - Conductor Intermedio</v>
      </c>
      <c r="G37" s="167" t="str">
        <f>VLOOKUP(MP_registro[[#This Row],[TAG]],'DB-EQUIPOS GEN'!$C$11:$H$833,3,0)</f>
        <v>EXTRACCION</v>
      </c>
      <c r="H37" s="166" t="str">
        <f>VLOOKUP(MP_registro[[#This Row],[TAG]],'DB-EQUIPOS GEN'!$C$11:$H$833,4,0)</f>
        <v>MOLINOS</v>
      </c>
      <c r="I37" s="166" t="str">
        <f>VLOOKUP(MP_registro[[#This Row],[TAG]],'DB-EQUIPOS GEN'!$C$11:$H$833,5,0)</f>
        <v>CONDUCTOR INTERMEDIO - MOLINO SECADOR</v>
      </c>
      <c r="J37" s="166" t="str">
        <f>VLOOKUP(MP_registro[[#This Row],[TAG]],'DB-EQUIPOS GEN'!$C$11:$H$833,6,0)</f>
        <v>0210CV070</v>
      </c>
      <c r="K37" s="67">
        <v>44656</v>
      </c>
      <c r="L37" s="64" t="s">
        <v>249</v>
      </c>
      <c r="M37" s="64" t="s">
        <v>2403</v>
      </c>
      <c r="N37" s="64" t="s">
        <v>1664</v>
      </c>
      <c r="O37" s="64" t="s">
        <v>1696</v>
      </c>
    </row>
    <row r="38" spans="1:15" s="42" customFormat="1" ht="35.25" customHeight="1">
      <c r="A38" s="64">
        <v>37</v>
      </c>
      <c r="B38" s="64" t="s">
        <v>1373</v>
      </c>
      <c r="C38" s="64" t="s">
        <v>1375</v>
      </c>
      <c r="D38" s="65" t="s">
        <v>1418</v>
      </c>
      <c r="E38" s="65" t="s">
        <v>1640</v>
      </c>
      <c r="F38" s="166" t="str">
        <f>VLOOKUP(MP_registro[[#This Row],[TAG]],'DB-EQUIPOS GEN'!$C$11:$H$833,2,0)</f>
        <v>Conductor de alimentación a difusor y retorno</v>
      </c>
      <c r="G38" s="167" t="str">
        <f>VLOOKUP(MP_registro[[#This Row],[TAG]],'DB-EQUIPOS GEN'!$C$11:$H$833,3,0)</f>
        <v>EXTRACCION</v>
      </c>
      <c r="H38" s="167" t="str">
        <f>VLOOKUP(MP_registro[[#This Row],[TAG]],'DB-EQUIPOS GEN'!$C$11:$H$833,4,0)</f>
        <v>PREPARACIÓN DE CAÑA</v>
      </c>
      <c r="I38" s="167" t="str">
        <f>VLOOKUP(MP_registro[[#This Row],[TAG]],'DB-EQUIPOS GEN'!$C$11:$H$833,5,0)</f>
        <v>CONDUCTOR DE RETORNO</v>
      </c>
      <c r="J38" s="167" t="str">
        <f>VLOOKUP(MP_registro[[#This Row],[TAG]],'DB-EQUIPOS GEN'!$C$11:$H$833,6,0)</f>
        <v>0115CV090</v>
      </c>
      <c r="K38" s="66">
        <v>44653</v>
      </c>
      <c r="L38" s="65" t="s">
        <v>247</v>
      </c>
      <c r="M38" s="65" t="s">
        <v>2404</v>
      </c>
      <c r="N38" s="64" t="s">
        <v>1664</v>
      </c>
      <c r="O38" s="64" t="s">
        <v>1696</v>
      </c>
    </row>
    <row r="39" spans="1:15" s="42" customFormat="1" ht="35.25" customHeight="1">
      <c r="A39" s="65">
        <v>38</v>
      </c>
      <c r="B39" s="64" t="s">
        <v>1373</v>
      </c>
      <c r="C39" s="64" t="s">
        <v>1375</v>
      </c>
      <c r="D39" s="65" t="s">
        <v>1419</v>
      </c>
      <c r="E39" s="65" t="s">
        <v>1640</v>
      </c>
      <c r="F39" s="166" t="str">
        <f>VLOOKUP(MP_registro[[#This Row],[TAG]],'DB-EQUIPOS GEN'!$C$11:$H$833,2,0)</f>
        <v>Conductor de alimentación a difusor y retorno</v>
      </c>
      <c r="G39" s="167" t="str">
        <f>VLOOKUP(MP_registro[[#This Row],[TAG]],'DB-EQUIPOS GEN'!$C$11:$H$833,3,0)</f>
        <v>EXTRACCION</v>
      </c>
      <c r="H39" s="166" t="str">
        <f>VLOOKUP(MP_registro[[#This Row],[TAG]],'DB-EQUIPOS GEN'!$C$11:$H$833,4,0)</f>
        <v>PREPARACIÓN DE CAÑA</v>
      </c>
      <c r="I39" s="166" t="str">
        <f>VLOOKUP(MP_registro[[#This Row],[TAG]],'DB-EQUIPOS GEN'!$C$11:$H$833,5,0)</f>
        <v>CONDUCTOR DE RETORNO</v>
      </c>
      <c r="J39" s="166" t="str">
        <f>VLOOKUP(MP_registro[[#This Row],[TAG]],'DB-EQUIPOS GEN'!$C$11:$H$833,6,0)</f>
        <v>0115CV090</v>
      </c>
      <c r="K39" s="67">
        <v>44660</v>
      </c>
      <c r="L39" s="65" t="s">
        <v>245</v>
      </c>
      <c r="M39" s="65" t="s">
        <v>2396</v>
      </c>
      <c r="N39" s="64" t="s">
        <v>1664</v>
      </c>
      <c r="O39" s="64" t="s">
        <v>1696</v>
      </c>
    </row>
    <row r="40" spans="1:15" s="42" customFormat="1" ht="35.25" customHeight="1">
      <c r="A40" s="64">
        <v>39</v>
      </c>
      <c r="B40" s="64" t="s">
        <v>1373</v>
      </c>
      <c r="C40" s="64" t="s">
        <v>1375</v>
      </c>
      <c r="D40" s="65" t="s">
        <v>1420</v>
      </c>
      <c r="E40" s="65" t="s">
        <v>1641</v>
      </c>
      <c r="F40" s="166" t="str">
        <f>VLOOKUP(MP_registro[[#This Row],[TAG]],'DB-EQUIPOS GEN'!$C$11:$H$833,2,0)</f>
        <v>Mesa de caña</v>
      </c>
      <c r="G40" s="167" t="str">
        <f>VLOOKUP(MP_registro[[#This Row],[TAG]],'DB-EQUIPOS GEN'!$C$11:$H$833,3,0)</f>
        <v>EXTRACCION</v>
      </c>
      <c r="H40" s="167" t="str">
        <f>VLOOKUP(MP_registro[[#This Row],[TAG]],'DB-EQUIPOS GEN'!$C$11:$H$833,4,0)</f>
        <v>RECEPCIÓN DE CAÑA</v>
      </c>
      <c r="I40" s="167" t="str">
        <f>VLOOKUP(MP_registro[[#This Row],[TAG]],'DB-EQUIPOS GEN'!$C$11:$H$833,5,0)</f>
        <v>MESA DE CAÑA</v>
      </c>
      <c r="J40" s="167" t="str">
        <f>VLOOKUP(MP_registro[[#This Row],[TAG]],'DB-EQUIPOS GEN'!$C$11:$H$833,6,0)</f>
        <v>0110FE019</v>
      </c>
      <c r="K40" s="66">
        <v>44652</v>
      </c>
      <c r="L40" s="64" t="s">
        <v>249</v>
      </c>
      <c r="M40" s="64" t="s">
        <v>2403</v>
      </c>
      <c r="N40" s="64" t="s">
        <v>1664</v>
      </c>
      <c r="O40" s="64" t="s">
        <v>1696</v>
      </c>
    </row>
    <row r="41" spans="1:15" s="42" customFormat="1" ht="35.25" customHeight="1">
      <c r="A41" s="65">
        <v>40</v>
      </c>
      <c r="B41" s="64" t="s">
        <v>1373</v>
      </c>
      <c r="C41" s="64" t="s">
        <v>1375</v>
      </c>
      <c r="D41" s="65" t="s">
        <v>1421</v>
      </c>
      <c r="E41" s="65" t="s">
        <v>1641</v>
      </c>
      <c r="F41" s="166" t="str">
        <f>VLOOKUP(MP_registro[[#This Row],[TAG]],'DB-EQUIPOS GEN'!$C$11:$H$833,2,0)</f>
        <v>Mesa de caña</v>
      </c>
      <c r="G41" s="167" t="str">
        <f>VLOOKUP(MP_registro[[#This Row],[TAG]],'DB-EQUIPOS GEN'!$C$11:$H$833,3,0)</f>
        <v>EXTRACCION</v>
      </c>
      <c r="H41" s="166" t="str">
        <f>VLOOKUP(MP_registro[[#This Row],[TAG]],'DB-EQUIPOS GEN'!$C$11:$H$833,4,0)</f>
        <v>RECEPCIÓN DE CAÑA</v>
      </c>
      <c r="I41" s="166" t="str">
        <f>VLOOKUP(MP_registro[[#This Row],[TAG]],'DB-EQUIPOS GEN'!$C$11:$H$833,5,0)</f>
        <v>MESA DE CAÑA</v>
      </c>
      <c r="J41" s="166" t="str">
        <f>VLOOKUP(MP_registro[[#This Row],[TAG]],'DB-EQUIPOS GEN'!$C$11:$H$833,6,0)</f>
        <v>0110FE019</v>
      </c>
      <c r="K41" s="67">
        <v>44659</v>
      </c>
      <c r="L41" s="65" t="s">
        <v>247</v>
      </c>
      <c r="M41" s="65" t="s">
        <v>2404</v>
      </c>
      <c r="N41" s="64" t="s">
        <v>1664</v>
      </c>
      <c r="O41" s="64" t="s">
        <v>1696</v>
      </c>
    </row>
    <row r="42" spans="1:15" s="42" customFormat="1" ht="35.25" customHeight="1">
      <c r="A42" s="64">
        <v>41</v>
      </c>
      <c r="B42" s="64" t="s">
        <v>1373</v>
      </c>
      <c r="C42" s="64" t="s">
        <v>1375</v>
      </c>
      <c r="D42" s="65" t="s">
        <v>1422</v>
      </c>
      <c r="E42" s="65" t="s">
        <v>1642</v>
      </c>
      <c r="F42" s="166" t="str">
        <f>VLOOKUP(MP_registro[[#This Row],[TAG]],'DB-EQUIPOS GEN'!$C$11:$H$833,2,0)</f>
        <v>Salida de bagazo de molino secador</v>
      </c>
      <c r="G42" s="167" t="str">
        <f>VLOOKUP(MP_registro[[#This Row],[TAG]],'DB-EQUIPOS GEN'!$C$11:$H$833,3,0)</f>
        <v>EXTRACCION</v>
      </c>
      <c r="H42" s="167" t="str">
        <f>VLOOKUP(MP_registro[[#This Row],[TAG]],'DB-EQUIPOS GEN'!$C$11:$H$833,4,0)</f>
        <v>MOLINOS</v>
      </c>
      <c r="I42" s="167" t="str">
        <f>VLOOKUP(MP_registro[[#This Row],[TAG]],'DB-EQUIPOS GEN'!$C$11:$H$833,5,0)</f>
        <v>MOLINO SECADOR</v>
      </c>
      <c r="J42" s="167" t="str">
        <f>VLOOKUP(MP_registro[[#This Row],[TAG]],'DB-EQUIPOS GEN'!$C$11:$H$833,6,0)</f>
        <v>0210MM090</v>
      </c>
      <c r="K42" s="66">
        <v>44653</v>
      </c>
      <c r="L42" s="65" t="s">
        <v>245</v>
      </c>
      <c r="M42" s="64" t="s">
        <v>2396</v>
      </c>
      <c r="N42" s="64" t="s">
        <v>1664</v>
      </c>
      <c r="O42" s="64" t="s">
        <v>1696</v>
      </c>
    </row>
    <row r="43" spans="1:15" s="42" customFormat="1" ht="35.25" customHeight="1">
      <c r="A43" s="65">
        <v>42</v>
      </c>
      <c r="B43" s="64" t="s">
        <v>1373</v>
      </c>
      <c r="C43" s="64" t="s">
        <v>1375</v>
      </c>
      <c r="D43" s="65" t="s">
        <v>1423</v>
      </c>
      <c r="E43" s="65" t="s">
        <v>1642</v>
      </c>
      <c r="F43" s="166" t="str">
        <f>VLOOKUP(MP_registro[[#This Row],[TAG]],'DB-EQUIPOS GEN'!$C$11:$H$833,2,0)</f>
        <v>Salida de bagazo de molino secador</v>
      </c>
      <c r="G43" s="167" t="str">
        <f>VLOOKUP(MP_registro[[#This Row],[TAG]],'DB-EQUIPOS GEN'!$C$11:$H$833,3,0)</f>
        <v>EXTRACCION</v>
      </c>
      <c r="H43" s="166" t="str">
        <f>VLOOKUP(MP_registro[[#This Row],[TAG]],'DB-EQUIPOS GEN'!$C$11:$H$833,4,0)</f>
        <v>MOLINOS</v>
      </c>
      <c r="I43" s="166" t="str">
        <f>VLOOKUP(MP_registro[[#This Row],[TAG]],'DB-EQUIPOS GEN'!$C$11:$H$833,5,0)</f>
        <v>MOLINO SECADOR</v>
      </c>
      <c r="J43" s="166" t="str">
        <f>VLOOKUP(MP_registro[[#This Row],[TAG]],'DB-EQUIPOS GEN'!$C$11:$H$833,6,0)</f>
        <v>0210MM090</v>
      </c>
      <c r="K43" s="67">
        <v>44660</v>
      </c>
      <c r="L43" s="64" t="s">
        <v>249</v>
      </c>
      <c r="M43" s="64" t="s">
        <v>2403</v>
      </c>
      <c r="N43" s="64" t="s">
        <v>1664</v>
      </c>
      <c r="O43" s="64" t="s">
        <v>1696</v>
      </c>
    </row>
    <row r="44" spans="1:15" s="42" customFormat="1" ht="35.25" customHeight="1">
      <c r="A44" s="64">
        <v>43</v>
      </c>
      <c r="B44" s="64" t="s">
        <v>1373</v>
      </c>
      <c r="C44" s="64" t="s">
        <v>1375</v>
      </c>
      <c r="D44" s="65" t="s">
        <v>1424</v>
      </c>
      <c r="E44" s="65" t="s">
        <v>1643</v>
      </c>
      <c r="F44" s="166" t="str">
        <f>VLOOKUP(MP_registro[[#This Row],[TAG]],'DB-EQUIPOS GEN'!$C$11:$H$833,2,0)</f>
        <v>Nivelador de cama de bagazo en difusor</v>
      </c>
      <c r="G44" s="167" t="str">
        <f>VLOOKUP(MP_registro[[#This Row],[TAG]],'DB-EQUIPOS GEN'!$C$11:$H$833,3,0)</f>
        <v>EXTRACCION</v>
      </c>
      <c r="H44" s="167" t="str">
        <f>VLOOKUP(MP_registro[[#This Row],[TAG]],'DB-EQUIPOS GEN'!$C$11:$H$833,4,0)</f>
        <v>DIFUSOR</v>
      </c>
      <c r="I44" s="167" t="str">
        <f>VLOOKUP(MP_registro[[#This Row],[TAG]],'DB-EQUIPOS GEN'!$C$11:$H$833,5,0)</f>
        <v>CONDUCTOR TRANSVERSAL</v>
      </c>
      <c r="J44" s="167" t="str">
        <f>VLOOKUP(MP_registro[[#This Row],[TAG]],'DB-EQUIPOS GEN'!$C$11:$H$833,6,0)</f>
        <v>0205CV190</v>
      </c>
      <c r="K44" s="66">
        <v>44652</v>
      </c>
      <c r="L44" s="65" t="s">
        <v>247</v>
      </c>
      <c r="M44" s="65" t="s">
        <v>2404</v>
      </c>
      <c r="N44" s="64" t="s">
        <v>1664</v>
      </c>
      <c r="O44" s="64" t="s">
        <v>1696</v>
      </c>
    </row>
    <row r="45" spans="1:15" s="42" customFormat="1" ht="35.25" customHeight="1">
      <c r="A45" s="65">
        <v>44</v>
      </c>
      <c r="B45" s="64" t="s">
        <v>1373</v>
      </c>
      <c r="C45" s="64" t="s">
        <v>1375</v>
      </c>
      <c r="D45" s="65" t="s">
        <v>1425</v>
      </c>
      <c r="E45" s="65" t="s">
        <v>1643</v>
      </c>
      <c r="F45" s="166" t="str">
        <f>VLOOKUP(MP_registro[[#This Row],[TAG]],'DB-EQUIPOS GEN'!$C$11:$H$833,2,0)</f>
        <v>Nivelador de cama de bagazo en difusor</v>
      </c>
      <c r="G45" s="167" t="str">
        <f>VLOOKUP(MP_registro[[#This Row],[TAG]],'DB-EQUIPOS GEN'!$C$11:$H$833,3,0)</f>
        <v>EXTRACCION</v>
      </c>
      <c r="H45" s="166" t="str">
        <f>VLOOKUP(MP_registro[[#This Row],[TAG]],'DB-EQUIPOS GEN'!$C$11:$H$833,4,0)</f>
        <v>DIFUSOR</v>
      </c>
      <c r="I45" s="166" t="str">
        <f>VLOOKUP(MP_registro[[#This Row],[TAG]],'DB-EQUIPOS GEN'!$C$11:$H$833,5,0)</f>
        <v>CONDUCTOR TRANSVERSAL</v>
      </c>
      <c r="J45" s="166" t="str">
        <f>VLOOKUP(MP_registro[[#This Row],[TAG]],'DB-EQUIPOS GEN'!$C$11:$H$833,6,0)</f>
        <v>0205CV190</v>
      </c>
      <c r="K45" s="67">
        <v>44659</v>
      </c>
      <c r="L45" s="65" t="s">
        <v>245</v>
      </c>
      <c r="M45" s="65" t="s">
        <v>2396</v>
      </c>
      <c r="N45" s="64" t="s">
        <v>1664</v>
      </c>
      <c r="O45" s="64" t="s">
        <v>1696</v>
      </c>
    </row>
    <row r="46" spans="1:15" s="42" customFormat="1" ht="35.25" customHeight="1">
      <c r="A46" s="64">
        <v>45</v>
      </c>
      <c r="B46" s="64" t="s">
        <v>1373</v>
      </c>
      <c r="C46" s="64" t="s">
        <v>1375</v>
      </c>
      <c r="D46" s="65" t="s">
        <v>1426</v>
      </c>
      <c r="E46" s="65" t="s">
        <v>1644</v>
      </c>
      <c r="F46" s="166" t="str">
        <f>VLOOKUP(MP_registro[[#This Row],[TAG]],'DB-EQUIPOS GEN'!$C$11:$H$833,2,0)</f>
        <v>Explanada de Turbina Triveni</v>
      </c>
      <c r="G46" s="167" t="str">
        <f>VLOOKUP(MP_registro[[#This Row],[TAG]],'DB-EQUIPOS GEN'!$C$11:$H$833,3,0)</f>
        <v>E. ELECTRICA</v>
      </c>
      <c r="H46" s="167" t="str">
        <f>VLOOKUP(MP_registro[[#This Row],[TAG]],'DB-EQUIPOS GEN'!$C$11:$H$833,4,0)</f>
        <v>GENERACIÓN ENERG. ELEC. TURBO GENERADOR</v>
      </c>
      <c r="I46" s="167" t="str">
        <f>VLOOKUP(MP_registro[[#This Row],[TAG]],'DB-EQUIPOS GEN'!$C$11:$H$833,5,0)</f>
        <v>TURBOGENERADOR TRIVENI 23.2 MW</v>
      </c>
      <c r="J46" s="167" t="str">
        <f>VLOOKUP(MP_registro[[#This Row],[TAG]],'DB-EQUIPOS GEN'!$C$11:$H$833,6,0)</f>
        <v>0430TG020</v>
      </c>
      <c r="K46" s="66">
        <v>44653</v>
      </c>
      <c r="L46" s="64" t="s">
        <v>249</v>
      </c>
      <c r="M46" s="64" t="s">
        <v>2403</v>
      </c>
      <c r="N46" s="64" t="s">
        <v>1664</v>
      </c>
      <c r="O46" s="64" t="s">
        <v>1696</v>
      </c>
    </row>
    <row r="47" spans="1:15" s="42" customFormat="1" ht="35.25" customHeight="1">
      <c r="A47" s="65">
        <v>46</v>
      </c>
      <c r="B47" s="64" t="s">
        <v>1373</v>
      </c>
      <c r="C47" s="64" t="s">
        <v>1375</v>
      </c>
      <c r="D47" s="65" t="s">
        <v>1427</v>
      </c>
      <c r="E47" s="65" t="s">
        <v>1644</v>
      </c>
      <c r="F47" s="166" t="str">
        <f>VLOOKUP(MP_registro[[#This Row],[TAG]],'DB-EQUIPOS GEN'!$C$11:$H$833,2,0)</f>
        <v>Explanada de Turbina Triveni</v>
      </c>
      <c r="G47" s="167" t="str">
        <f>VLOOKUP(MP_registro[[#This Row],[TAG]],'DB-EQUIPOS GEN'!$C$11:$H$833,3,0)</f>
        <v>E. ELECTRICA</v>
      </c>
      <c r="H47" s="166" t="str">
        <f>VLOOKUP(MP_registro[[#This Row],[TAG]],'DB-EQUIPOS GEN'!$C$11:$H$833,4,0)</f>
        <v>GENERACIÓN ENERG. ELEC. TURBO GENERADOR</v>
      </c>
      <c r="I47" s="166" t="str">
        <f>VLOOKUP(MP_registro[[#This Row],[TAG]],'DB-EQUIPOS GEN'!$C$11:$H$833,5,0)</f>
        <v>TURBOGENERADOR TRIVENI 23.2 MW</v>
      </c>
      <c r="J47" s="166" t="str">
        <f>VLOOKUP(MP_registro[[#This Row],[TAG]],'DB-EQUIPOS GEN'!$C$11:$H$833,6,0)</f>
        <v>0430TG020</v>
      </c>
      <c r="K47" s="67">
        <v>44660</v>
      </c>
      <c r="L47" s="65" t="s">
        <v>247</v>
      </c>
      <c r="M47" s="65" t="s">
        <v>2404</v>
      </c>
      <c r="N47" s="64" t="s">
        <v>1664</v>
      </c>
      <c r="O47" s="64" t="s">
        <v>1696</v>
      </c>
    </row>
    <row r="48" spans="1:15" s="42" customFormat="1" ht="35.25" customHeight="1">
      <c r="A48" s="64">
        <v>47</v>
      </c>
      <c r="B48" s="64" t="s">
        <v>1373</v>
      </c>
      <c r="C48" s="64" t="s">
        <v>1375</v>
      </c>
      <c r="D48" s="65" t="s">
        <v>1428</v>
      </c>
      <c r="E48" s="65" t="s">
        <v>1645</v>
      </c>
      <c r="F48" s="166" t="str">
        <f>VLOOKUP(MP_registro[[#This Row],[TAG]],'DB-EQUIPOS GEN'!$C$11:$H$833,2,0)</f>
        <v>Tamiz rotativo</v>
      </c>
      <c r="G48" s="167" t="str">
        <f>VLOOKUP(MP_registro[[#This Row],[TAG]],'DB-EQUIPOS GEN'!$C$11:$H$833,3,0)</f>
        <v>EXTRACCION</v>
      </c>
      <c r="H48" s="167" t="str">
        <f>VLOOKUP(MP_registro[[#This Row],[TAG]],'DB-EQUIPOS GEN'!$C$11:$H$833,4,0)</f>
        <v>DIFUSOR</v>
      </c>
      <c r="I48" s="167" t="str">
        <f>VLOOKUP(MP_registro[[#This Row],[TAG]],'DB-EQUIPOS GEN'!$C$11:$H$833,5,0)</f>
        <v>TAMIZ ROTATIVO</v>
      </c>
      <c r="J48" s="167" t="str">
        <f>VLOOKUP(MP_registro[[#This Row],[TAG]],'DB-EQUIPOS GEN'!$C$11:$H$833,6,0)</f>
        <v>0305FL010</v>
      </c>
      <c r="K48" s="66">
        <v>44652</v>
      </c>
      <c r="L48" s="65" t="s">
        <v>245</v>
      </c>
      <c r="M48" s="64" t="s">
        <v>2396</v>
      </c>
      <c r="N48" s="64" t="s">
        <v>1664</v>
      </c>
      <c r="O48" s="64" t="s">
        <v>1696</v>
      </c>
    </row>
    <row r="49" spans="1:15" s="42" customFormat="1" ht="35.25" customHeight="1">
      <c r="A49" s="65">
        <v>48</v>
      </c>
      <c r="B49" s="64" t="s">
        <v>1373</v>
      </c>
      <c r="C49" s="64" t="s">
        <v>1375</v>
      </c>
      <c r="D49" s="65" t="s">
        <v>1429</v>
      </c>
      <c r="E49" s="65" t="s">
        <v>1645</v>
      </c>
      <c r="F49" s="166" t="str">
        <f>VLOOKUP(MP_registro[[#This Row],[TAG]],'DB-EQUIPOS GEN'!$C$11:$H$833,2,0)</f>
        <v>Tamiz rotativo</v>
      </c>
      <c r="G49" s="167" t="str">
        <f>VLOOKUP(MP_registro[[#This Row],[TAG]],'DB-EQUIPOS GEN'!$C$11:$H$833,3,0)</f>
        <v>EXTRACCION</v>
      </c>
      <c r="H49" s="166" t="str">
        <f>VLOOKUP(MP_registro[[#This Row],[TAG]],'DB-EQUIPOS GEN'!$C$11:$H$833,4,0)</f>
        <v>DIFUSOR</v>
      </c>
      <c r="I49" s="166" t="str">
        <f>VLOOKUP(MP_registro[[#This Row],[TAG]],'DB-EQUIPOS GEN'!$C$11:$H$833,5,0)</f>
        <v>TAMIZ ROTATIVO</v>
      </c>
      <c r="J49" s="166" t="str">
        <f>VLOOKUP(MP_registro[[#This Row],[TAG]],'DB-EQUIPOS GEN'!$C$11:$H$833,6,0)</f>
        <v>0305FL010</v>
      </c>
      <c r="K49" s="67">
        <v>44659</v>
      </c>
      <c r="L49" s="64" t="s">
        <v>249</v>
      </c>
      <c r="M49" s="64" t="s">
        <v>2403</v>
      </c>
      <c r="N49" s="64" t="s">
        <v>1664</v>
      </c>
      <c r="O49" s="64" t="s">
        <v>1696</v>
      </c>
    </row>
    <row r="50" spans="1:15" s="42" customFormat="1" ht="35.25" customHeight="1">
      <c r="A50" s="64">
        <v>49</v>
      </c>
      <c r="B50" s="64" t="s">
        <v>1373</v>
      </c>
      <c r="C50" s="64" t="s">
        <v>1375</v>
      </c>
      <c r="D50" s="65" t="s">
        <v>1430</v>
      </c>
      <c r="E50" s="65" t="s">
        <v>1646</v>
      </c>
      <c r="F50" s="166" t="str">
        <f>VLOOKUP(MP_registro[[#This Row],[TAG]],'DB-EQUIPOS GEN'!$C$11:$H$833,2,0)</f>
        <v>Segundo nivel de Turbina TGM</v>
      </c>
      <c r="G50" s="167" t="str">
        <f>VLOOKUP(MP_registro[[#This Row],[TAG]],'DB-EQUIPOS GEN'!$C$11:$H$833,3,0)</f>
        <v>E. ELECTRICA</v>
      </c>
      <c r="H50" s="167" t="str">
        <f>VLOOKUP(MP_registro[[#This Row],[TAG]],'DB-EQUIPOS GEN'!$C$11:$H$833,4,0)</f>
        <v>SISTEMA DE ENFRIAMIENTO</v>
      </c>
      <c r="I50" s="167" t="str">
        <f>VLOOKUP(MP_registro[[#This Row],[TAG]],'DB-EQUIPOS GEN'!$C$11:$H$833,5,0)</f>
        <v>TORRE DE ENFRIAMIENTO MARLEY - TG TGM</v>
      </c>
      <c r="J50" s="167" t="str">
        <f>VLOOKUP(MP_registro[[#This Row],[TAG]],'DB-EQUIPOS GEN'!$C$11:$H$833,6,0)</f>
        <v>0430CT050</v>
      </c>
      <c r="K50" s="66">
        <v>44654</v>
      </c>
      <c r="L50" s="65" t="s">
        <v>247</v>
      </c>
      <c r="M50" s="65" t="s">
        <v>2404</v>
      </c>
      <c r="N50" s="64" t="s">
        <v>1664</v>
      </c>
      <c r="O50" s="64" t="s">
        <v>1696</v>
      </c>
    </row>
    <row r="51" spans="1:15" s="42" customFormat="1" ht="35.25" customHeight="1">
      <c r="A51" s="65">
        <v>50</v>
      </c>
      <c r="B51" s="64" t="s">
        <v>1373</v>
      </c>
      <c r="C51" s="64" t="s">
        <v>1375</v>
      </c>
      <c r="D51" s="65" t="s">
        <v>1431</v>
      </c>
      <c r="E51" s="65" t="s">
        <v>1646</v>
      </c>
      <c r="F51" s="166" t="str">
        <f>VLOOKUP(MP_registro[[#This Row],[TAG]],'DB-EQUIPOS GEN'!$C$11:$H$833,2,0)</f>
        <v>Segundo nivel de Turbina TGM</v>
      </c>
      <c r="G51" s="167" t="str">
        <f>VLOOKUP(MP_registro[[#This Row],[TAG]],'DB-EQUIPOS GEN'!$C$11:$H$833,3,0)</f>
        <v>E. ELECTRICA</v>
      </c>
      <c r="H51" s="166" t="str">
        <f>VLOOKUP(MP_registro[[#This Row],[TAG]],'DB-EQUIPOS GEN'!$C$11:$H$833,4,0)</f>
        <v>SISTEMA DE ENFRIAMIENTO</v>
      </c>
      <c r="I51" s="166" t="str">
        <f>VLOOKUP(MP_registro[[#This Row],[TAG]],'DB-EQUIPOS GEN'!$C$11:$H$833,5,0)</f>
        <v>TORRE DE ENFRIAMIENTO MARLEY - TG TGM</v>
      </c>
      <c r="J51" s="166" t="str">
        <f>VLOOKUP(MP_registro[[#This Row],[TAG]],'DB-EQUIPOS GEN'!$C$11:$H$833,6,0)</f>
        <v>0430CT050</v>
      </c>
      <c r="K51" s="67">
        <v>44661</v>
      </c>
      <c r="L51" s="65" t="s">
        <v>245</v>
      </c>
      <c r="M51" s="65" t="s">
        <v>2396</v>
      </c>
      <c r="N51" s="64" t="s">
        <v>1664</v>
      </c>
      <c r="O51" s="64" t="s">
        <v>1696</v>
      </c>
    </row>
    <row r="52" spans="1:15" s="42" customFormat="1" ht="35.25" customHeight="1">
      <c r="A52" s="64">
        <v>51</v>
      </c>
      <c r="B52" s="64" t="s">
        <v>1373</v>
      </c>
      <c r="C52" s="64" t="s">
        <v>1375</v>
      </c>
      <c r="D52" s="65" t="s">
        <v>1432</v>
      </c>
      <c r="E52" s="65" t="s">
        <v>1647</v>
      </c>
      <c r="F52" s="166" t="str">
        <f>VLOOKUP(MP_registro[[#This Row],[TAG]],'DB-EQUIPOS GEN'!$C$11:$H$833,2,0)</f>
        <v>Explanada frontal de Turbina Triveni</v>
      </c>
      <c r="G52" s="167" t="str">
        <f>VLOOKUP(MP_registro[[#This Row],[TAG]],'DB-EQUIPOS GEN'!$C$11:$H$833,3,0)</f>
        <v>E. ELECTRICA</v>
      </c>
      <c r="H52" s="167" t="str">
        <f>VLOOKUP(MP_registro[[#This Row],[TAG]],'DB-EQUIPOS GEN'!$C$11:$H$833,4,0)</f>
        <v>GENERACIÓN ENERG. ELEC. TURBO GENERADOR</v>
      </c>
      <c r="I52" s="167" t="str">
        <f>VLOOKUP(MP_registro[[#This Row],[TAG]],'DB-EQUIPOS GEN'!$C$11:$H$833,5,0)</f>
        <v>TURBOGENERADOR TRIVENI 23.2 MW</v>
      </c>
      <c r="J52" s="167" t="str">
        <f>VLOOKUP(MP_registro[[#This Row],[TAG]],'DB-EQUIPOS GEN'!$C$11:$H$833,6,0)</f>
        <v>0430TG020</v>
      </c>
      <c r="K52" s="66">
        <v>44656</v>
      </c>
      <c r="L52" s="64" t="s">
        <v>249</v>
      </c>
      <c r="M52" s="64" t="s">
        <v>2403</v>
      </c>
      <c r="N52" s="64" t="s">
        <v>1664</v>
      </c>
      <c r="O52" s="64" t="s">
        <v>1696</v>
      </c>
    </row>
    <row r="53" spans="1:15" s="42" customFormat="1" ht="35.25" customHeight="1">
      <c r="A53" s="65">
        <v>52</v>
      </c>
      <c r="B53" s="64" t="s">
        <v>1373</v>
      </c>
      <c r="C53" s="64" t="s">
        <v>1375</v>
      </c>
      <c r="D53" s="65" t="s">
        <v>1433</v>
      </c>
      <c r="E53" s="65" t="s">
        <v>1648</v>
      </c>
      <c r="F53" s="166" t="str">
        <f>VLOOKUP(MP_registro[[#This Row],[TAG]],'DB-EQUIPOS GEN'!$C$11:$H$833,2,0)</f>
        <v>Nivel de agua en domo</v>
      </c>
      <c r="G53" s="167" t="str">
        <f>VLOOKUP(MP_registro[[#This Row],[TAG]],'DB-EQUIPOS GEN'!$C$11:$H$833,3,0)</f>
        <v>E. TERMICA</v>
      </c>
      <c r="H53" s="166" t="str">
        <f>VLOOKUP(MP_registro[[#This Row],[TAG]],'DB-EQUIPOS GEN'!$C$11:$H$833,4,0)</f>
        <v>GENERACIÓN DE VAPOR</v>
      </c>
      <c r="I53" s="166" t="str">
        <f>VLOOKUP(MP_registro[[#This Row],[TAG]],'DB-EQUIPOS GEN'!$C$11:$H$833,5,0)</f>
        <v>DOMO SUPERIOR</v>
      </c>
      <c r="J53" s="166" t="str">
        <f>VLOOKUP(MP_registro[[#This Row],[TAG]],'DB-EQUIPOS GEN'!$C$11:$H$833,6,0)</f>
        <v>0405DO020</v>
      </c>
      <c r="K53" s="67">
        <v>44655</v>
      </c>
      <c r="L53" s="65" t="s">
        <v>247</v>
      </c>
      <c r="M53" s="65" t="s">
        <v>2404</v>
      </c>
      <c r="N53" s="64" t="s">
        <v>1664</v>
      </c>
      <c r="O53" s="64" t="s">
        <v>1696</v>
      </c>
    </row>
    <row r="54" spans="1:15" s="42" customFormat="1" ht="35.25" customHeight="1">
      <c r="A54" s="64">
        <v>53</v>
      </c>
      <c r="B54" s="64" t="s">
        <v>1373</v>
      </c>
      <c r="C54" s="64" t="s">
        <v>1375</v>
      </c>
      <c r="D54" s="65" t="s">
        <v>1434</v>
      </c>
      <c r="E54" s="65" t="s">
        <v>1649</v>
      </c>
      <c r="F54" s="166" t="str">
        <f>VLOOKUP(MP_registro[[#This Row],[TAG]],'DB-EQUIPOS GEN'!$C$11:$H$833,2,0)</f>
        <v>Chute alimentadores de bagazo</v>
      </c>
      <c r="G54" s="167" t="str">
        <f>VLOOKUP(MP_registro[[#This Row],[TAG]],'DB-EQUIPOS GEN'!$C$11:$H$833,3,0)</f>
        <v>E. TERMICA</v>
      </c>
      <c r="H54" s="167" t="str">
        <f>VLOOKUP(MP_registro[[#This Row],[TAG]],'DB-EQUIPOS GEN'!$C$11:$H$833,4,0)</f>
        <v>TRANSPORTE DE BAGAZO</v>
      </c>
      <c r="I54" s="167" t="str">
        <f>VLOOKUP(MP_registro[[#This Row],[TAG]],'DB-EQUIPOS GEN'!$C$11:$H$833,5,0)</f>
        <v>ALIMENTADOR DE BAGAZO 1</v>
      </c>
      <c r="J54" s="167" t="str">
        <f>VLOOKUP(MP_registro[[#This Row],[TAG]],'DB-EQUIPOS GEN'!$C$11:$H$833,6,0)</f>
        <v>0405RV240</v>
      </c>
      <c r="K54" s="66">
        <v>44655</v>
      </c>
      <c r="L54" s="65" t="s">
        <v>245</v>
      </c>
      <c r="M54" s="64" t="s">
        <v>2396</v>
      </c>
      <c r="N54" s="64" t="s">
        <v>1664</v>
      </c>
      <c r="O54" s="64" t="s">
        <v>1696</v>
      </c>
    </row>
    <row r="55" spans="1:15" s="42" customFormat="1" ht="35.25" customHeight="1">
      <c r="A55" s="65">
        <v>54</v>
      </c>
      <c r="B55" s="64" t="s">
        <v>1373</v>
      </c>
      <c r="C55" s="64" t="s">
        <v>1375</v>
      </c>
      <c r="D55" s="65" t="s">
        <v>1435</v>
      </c>
      <c r="E55" s="65" t="s">
        <v>1650</v>
      </c>
      <c r="F55" s="166" t="str">
        <f>VLOOKUP(MP_registro[[#This Row],[TAG]],'DB-EQUIPOS GEN'!$C$11:$H$833,2,0)</f>
        <v>Faja 1003 - Conductor distribuidor de bagazo</v>
      </c>
      <c r="G55" s="167" t="str">
        <f>VLOOKUP(MP_registro[[#This Row],[TAG]],'DB-EQUIPOS GEN'!$C$11:$H$833,3,0)</f>
        <v>E. TERMICA</v>
      </c>
      <c r="H55" s="166" t="str">
        <f>VLOOKUP(MP_registro[[#This Row],[TAG]],'DB-EQUIPOS GEN'!$C$11:$H$833,4,0)</f>
        <v>TRANSPORTE DE BAGAZO</v>
      </c>
      <c r="I55" s="166" t="str">
        <f>VLOOKUP(MP_registro[[#This Row],[TAG]],'DB-EQUIPOS GEN'!$C$11:$H$833,5,0)</f>
        <v>TRANSPORTADOR DE BAGAZO 1003</v>
      </c>
      <c r="J55" s="166" t="str">
        <f>VLOOKUP(MP_registro[[#This Row],[TAG]],'DB-EQUIPOS GEN'!$C$11:$H$833,6,0)</f>
        <v>0805CV060</v>
      </c>
      <c r="K55" s="67">
        <v>44655</v>
      </c>
      <c r="L55" s="64" t="s">
        <v>249</v>
      </c>
      <c r="M55" s="64" t="s">
        <v>2403</v>
      </c>
      <c r="N55" s="64" t="s">
        <v>1664</v>
      </c>
      <c r="O55" s="64" t="s">
        <v>1696</v>
      </c>
    </row>
    <row r="56" spans="1:15" s="42" customFormat="1" ht="35.25" customHeight="1">
      <c r="A56" s="64">
        <v>55</v>
      </c>
      <c r="B56" s="64" t="s">
        <v>1373</v>
      </c>
      <c r="C56" s="64" t="s">
        <v>1375</v>
      </c>
      <c r="D56" s="65" t="s">
        <v>1436</v>
      </c>
      <c r="E56" s="65" t="s">
        <v>1651</v>
      </c>
      <c r="F56" s="166" t="str">
        <f>VLOOKUP(MP_registro[[#This Row],[TAG]],'DB-EQUIPOS GEN'!$C$11:$H$833,2,0)</f>
        <v>Faja 1008 - Tolva de retorno de bagazo</v>
      </c>
      <c r="G56" s="167" t="str">
        <f>VLOOKUP(MP_registro[[#This Row],[TAG]],'DB-EQUIPOS GEN'!$C$11:$H$833,3,0)</f>
        <v>E. TERMICA</v>
      </c>
      <c r="H56" s="167" t="str">
        <f>VLOOKUP(MP_registro[[#This Row],[TAG]],'DB-EQUIPOS GEN'!$C$11:$H$833,4,0)</f>
        <v>TRANSPORTE DE BAGAZO</v>
      </c>
      <c r="I56" s="167" t="str">
        <f>VLOOKUP(MP_registro[[#This Row],[TAG]],'DB-EQUIPOS GEN'!$C$11:$H$833,5,0)</f>
        <v>FAJA TRANSPORTADORA 1008</v>
      </c>
      <c r="J56" s="167" t="str">
        <f>VLOOKUP(MP_registro[[#This Row],[TAG]],'DB-EQUIPOS GEN'!$C$11:$H$833,6,0)</f>
        <v>0805CV100</v>
      </c>
      <c r="K56" s="66">
        <v>44655</v>
      </c>
      <c r="L56" s="65" t="s">
        <v>247</v>
      </c>
      <c r="M56" s="65" t="s">
        <v>2404</v>
      </c>
      <c r="N56" s="64" t="s">
        <v>1664</v>
      </c>
      <c r="O56" s="64" t="s">
        <v>1696</v>
      </c>
    </row>
    <row r="57" spans="1:15" s="42" customFormat="1" ht="35.25" customHeight="1">
      <c r="A57" s="65">
        <v>56</v>
      </c>
      <c r="B57" s="64" t="s">
        <v>1373</v>
      </c>
      <c r="C57" s="64" t="s">
        <v>1375</v>
      </c>
      <c r="D57" s="65" t="s">
        <v>1437</v>
      </c>
      <c r="E57" s="65" t="s">
        <v>1652</v>
      </c>
      <c r="F57" s="166" t="str">
        <f>VLOOKUP(MP_registro[[#This Row],[TAG]],'DB-EQUIPOS GEN'!$C$11:$H$833,2,0)</f>
        <v>Faja 1006A - Patio de Bagazo</v>
      </c>
      <c r="G57" s="167" t="str">
        <f>VLOOKUP(MP_registro[[#This Row],[TAG]],'DB-EQUIPOS GEN'!$C$11:$H$833,3,0)</f>
        <v>E. TERMICA</v>
      </c>
      <c r="H57" s="166" t="str">
        <f>VLOOKUP(MP_registro[[#This Row],[TAG]],'DB-EQUIPOS GEN'!$C$11:$H$833,4,0)</f>
        <v>TRANSPORTE DE BAGAZO</v>
      </c>
      <c r="I57" s="166" t="str">
        <f>VLOOKUP(MP_registro[[#This Row],[TAG]],'DB-EQUIPOS GEN'!$C$11:$H$833,5,0)</f>
        <v>FAJA TRANSPORTADORA 1006 A</v>
      </c>
      <c r="J57" s="166" t="str">
        <f>VLOOKUP(MP_registro[[#This Row],[TAG]],'DB-EQUIPOS GEN'!$C$11:$H$833,6,0)</f>
        <v>0805CV080</v>
      </c>
      <c r="K57" s="67">
        <v>44655</v>
      </c>
      <c r="L57" s="65" t="s">
        <v>245</v>
      </c>
      <c r="M57" s="65" t="s">
        <v>2396</v>
      </c>
      <c r="N57" s="64" t="s">
        <v>1664</v>
      </c>
      <c r="O57" s="64" t="s">
        <v>1696</v>
      </c>
    </row>
    <row r="58" spans="1:15" s="42" customFormat="1" ht="35.25" customHeight="1">
      <c r="A58" s="64">
        <v>57</v>
      </c>
      <c r="B58" s="64" t="s">
        <v>1373</v>
      </c>
      <c r="C58" s="64" t="s">
        <v>1375</v>
      </c>
      <c r="D58" s="65" t="s">
        <v>1438</v>
      </c>
      <c r="E58" s="65" t="s">
        <v>1653</v>
      </c>
      <c r="F58" s="166" t="str">
        <f>VLOOKUP(MP_registro[[#This Row],[TAG]],'DB-EQUIPOS GEN'!$C$11:$H$833,2,0)</f>
        <v>Operación del desviador de bagazo</v>
      </c>
      <c r="G58" s="167" t="str">
        <f>VLOOKUP(MP_registro[[#This Row],[TAG]],'DB-EQUIPOS GEN'!$C$11:$H$833,3,0)</f>
        <v>E. TERMICA</v>
      </c>
      <c r="H58" s="167" t="str">
        <f>VLOOKUP(MP_registro[[#This Row],[TAG]],'DB-EQUIPOS GEN'!$C$11:$H$833,4,0)</f>
        <v>TRANSPORTE DE BAGAZO</v>
      </c>
      <c r="I58" s="167" t="str">
        <f>VLOOKUP(MP_registro[[#This Row],[TAG]],'DB-EQUIPOS GEN'!$C$11:$H$833,5,0)</f>
        <v>FAJA TRANSPORTADORA 1004</v>
      </c>
      <c r="J58" s="167" t="str">
        <f>VLOOKUP(MP_registro[[#This Row],[TAG]],'DB-EQUIPOS GEN'!$C$11:$H$833,6,0)</f>
        <v>0805CV070</v>
      </c>
      <c r="K58" s="66">
        <v>44655</v>
      </c>
      <c r="L58" s="64" t="s">
        <v>249</v>
      </c>
      <c r="M58" s="64" t="s">
        <v>2403</v>
      </c>
      <c r="N58" s="64" t="s">
        <v>1664</v>
      </c>
      <c r="O58" s="64" t="s">
        <v>1696</v>
      </c>
    </row>
    <row r="59" spans="1:15" s="42" customFormat="1" ht="35.25" customHeight="1">
      <c r="A59" s="65">
        <v>58</v>
      </c>
      <c r="B59" s="64" t="s">
        <v>1373</v>
      </c>
      <c r="C59" s="64" t="s">
        <v>1375</v>
      </c>
      <c r="D59" s="65" t="s">
        <v>1439</v>
      </c>
      <c r="E59" s="65" t="s">
        <v>1654</v>
      </c>
      <c r="F59" s="166" t="str">
        <f>VLOOKUP(MP_registro[[#This Row],[TAG]],'DB-EQUIPOS GEN'!$C$11:$H$833,2,0)</f>
        <v>Vista global de sala turbina TGM</v>
      </c>
      <c r="G59" s="167" t="str">
        <f>VLOOKUP(MP_registro[[#This Row],[TAG]],'DB-EQUIPOS GEN'!$C$11:$H$833,3,0)</f>
        <v>E. ELECTRICA</v>
      </c>
      <c r="H59" s="166" t="str">
        <f>VLOOKUP(MP_registro[[#This Row],[TAG]],'DB-EQUIPOS GEN'!$C$11:$H$833,4,0)</f>
        <v>SISTEMA DE ENFRIAMIENTO</v>
      </c>
      <c r="I59" s="166" t="str">
        <f>VLOOKUP(MP_registro[[#This Row],[TAG]],'DB-EQUIPOS GEN'!$C$11:$H$833,5,0)</f>
        <v>TORRE DE ENFRIAMIENTO MARLEY - TG TGM</v>
      </c>
      <c r="J59" s="166" t="str">
        <f>VLOOKUP(MP_registro[[#This Row],[TAG]],'DB-EQUIPOS GEN'!$C$11:$H$833,6,0)</f>
        <v>0430CT050</v>
      </c>
      <c r="K59" s="67">
        <v>44656</v>
      </c>
      <c r="L59" s="65" t="s">
        <v>247</v>
      </c>
      <c r="M59" s="65" t="s">
        <v>2404</v>
      </c>
      <c r="N59" s="64" t="s">
        <v>1664</v>
      </c>
      <c r="O59" s="64" t="s">
        <v>1696</v>
      </c>
    </row>
    <row r="60" spans="1:15" s="42" customFormat="1" ht="35.25" customHeight="1">
      <c r="A60" s="64">
        <v>59</v>
      </c>
      <c r="B60" s="64" t="s">
        <v>1373</v>
      </c>
      <c r="C60" s="64" t="s">
        <v>1375</v>
      </c>
      <c r="D60" s="65" t="s">
        <v>1440</v>
      </c>
      <c r="E60" s="65" t="s">
        <v>1655</v>
      </c>
      <c r="F60" s="166" t="str">
        <f>VLOOKUP(MP_registro[[#This Row],[TAG]],'DB-EQUIPOS GEN'!$C$11:$H$833,2,0)</f>
        <v>Vista global de planta de osmosis</v>
      </c>
      <c r="G60" s="167" t="str">
        <f>VLOOKUP(MP_registro[[#This Row],[TAG]],'DB-EQUIPOS GEN'!$C$11:$H$833,3,0)</f>
        <v>E. TERMICA</v>
      </c>
      <c r="H60" s="167" t="str">
        <f>VLOOKUP(MP_registro[[#This Row],[TAG]],'DB-EQUIPOS GEN'!$C$11:$H$833,4,0)</f>
        <v>PLANTA TRATAMIENTO OSMOSIS INVERSA</v>
      </c>
      <c r="I60" s="167" t="str">
        <f>VLOOKUP(MP_registro[[#This Row],[TAG]],'DB-EQUIPOS GEN'!$C$11:$H$833,5,0)</f>
        <v>PLANTA DE OSMOSIS INVERSA</v>
      </c>
      <c r="J60" s="167" t="str">
        <f>VLOOKUP(MP_registro[[#This Row],[TAG]],'DB-EQUIPOS GEN'!$C$11:$H$833,6,0)</f>
        <v>0425OI101</v>
      </c>
      <c r="K60" s="66">
        <v>44652</v>
      </c>
      <c r="L60" s="65" t="s">
        <v>245</v>
      </c>
      <c r="M60" s="64" t="s">
        <v>2396</v>
      </c>
      <c r="N60" s="64" t="s">
        <v>1664</v>
      </c>
      <c r="O60" s="64" t="s">
        <v>1696</v>
      </c>
    </row>
    <row r="61" spans="1:15" s="42" customFormat="1" ht="35.25" customHeight="1">
      <c r="A61" s="65">
        <v>60</v>
      </c>
      <c r="B61" s="64" t="s">
        <v>1373</v>
      </c>
      <c r="C61" s="64" t="s">
        <v>1375</v>
      </c>
      <c r="D61" s="65" t="s">
        <v>1441</v>
      </c>
      <c r="E61" s="65" t="s">
        <v>1655</v>
      </c>
      <c r="F61" s="166" t="str">
        <f>VLOOKUP(MP_registro[[#This Row],[TAG]],'DB-EQUIPOS GEN'!$C$11:$H$833,2,0)</f>
        <v>Vista global de planta de osmosis</v>
      </c>
      <c r="G61" s="167" t="str">
        <f>VLOOKUP(MP_registro[[#This Row],[TAG]],'DB-EQUIPOS GEN'!$C$11:$H$833,3,0)</f>
        <v>E. TERMICA</v>
      </c>
      <c r="H61" s="166" t="str">
        <f>VLOOKUP(MP_registro[[#This Row],[TAG]],'DB-EQUIPOS GEN'!$C$11:$H$833,4,0)</f>
        <v>PLANTA TRATAMIENTO OSMOSIS INVERSA</v>
      </c>
      <c r="I61" s="166" t="str">
        <f>VLOOKUP(MP_registro[[#This Row],[TAG]],'DB-EQUIPOS GEN'!$C$11:$H$833,5,0)</f>
        <v>PLANTA DE OSMOSIS INVERSA</v>
      </c>
      <c r="J61" s="166" t="str">
        <f>VLOOKUP(MP_registro[[#This Row],[TAG]],'DB-EQUIPOS GEN'!$C$11:$H$833,6,0)</f>
        <v>0425OI101</v>
      </c>
      <c r="K61" s="67">
        <v>44659</v>
      </c>
      <c r="L61" s="64" t="s">
        <v>249</v>
      </c>
      <c r="M61" s="64" t="s">
        <v>2403</v>
      </c>
      <c r="N61" s="64" t="s">
        <v>1664</v>
      </c>
      <c r="O61" s="64" t="s">
        <v>1696</v>
      </c>
    </row>
    <row r="62" spans="1:15" s="42" customFormat="1" ht="35.25" customHeight="1">
      <c r="A62" s="64">
        <v>61</v>
      </c>
      <c r="B62" s="64" t="s">
        <v>1373</v>
      </c>
      <c r="C62" s="64" t="s">
        <v>1376</v>
      </c>
      <c r="D62" s="65" t="s">
        <v>1442</v>
      </c>
      <c r="E62" s="65" t="s">
        <v>516</v>
      </c>
      <c r="F62" s="166" t="str">
        <f>VLOOKUP(MP_registro[[#This Row],[TAG]],'DB-EQUIPOS GEN'!$C$11:$H$833,2,0)</f>
        <v>Presion de vapor de salida Evap.4A</v>
      </c>
      <c r="G62" s="167" t="str">
        <f>VLOOKUP(MP_registro[[#This Row],[TAG]],'DB-EQUIPOS GEN'!$C$11:$H$833,3,0)</f>
        <v>PRODUCCION</v>
      </c>
      <c r="H62" s="167" t="str">
        <f>VLOOKUP(MP_registro[[#This Row],[TAG]],'DB-EQUIPOS GEN'!$C$11:$H$833,4,0)</f>
        <v>EVAPORACION DE JUGO</v>
      </c>
      <c r="I62" s="167" t="str">
        <f>VLOOKUP(MP_registro[[#This Row],[TAG]],'DB-EQUIPOS GEN'!$C$11:$H$833,5,0)</f>
        <v>FFE 4A</v>
      </c>
      <c r="J62" s="167" t="str">
        <f>VLOOKUP(MP_registro[[#This Row],[TAG]],'DB-EQUIPOS GEN'!$C$11:$H$833,6,0)</f>
        <v xml:space="preserve"> 0320EV050</v>
      </c>
      <c r="K62" s="178">
        <v>44662</v>
      </c>
      <c r="L62" s="65" t="s">
        <v>247</v>
      </c>
      <c r="M62" s="65" t="s">
        <v>2404</v>
      </c>
      <c r="N62" s="64" t="s">
        <v>1664</v>
      </c>
      <c r="O62" s="64" t="s">
        <v>1696</v>
      </c>
    </row>
    <row r="63" spans="1:15" s="42" customFormat="1" ht="35.25" customHeight="1">
      <c r="A63" s="65">
        <v>62</v>
      </c>
      <c r="B63" s="64" t="s">
        <v>1373</v>
      </c>
      <c r="C63" s="64" t="s">
        <v>1376</v>
      </c>
      <c r="D63" s="65" t="s">
        <v>1443</v>
      </c>
      <c r="E63" s="65" t="s">
        <v>514</v>
      </c>
      <c r="F63" s="166" t="str">
        <f>VLOOKUP(MP_registro[[#This Row],[TAG]],'DB-EQUIPOS GEN'!$C$11:$H$833,2,0)</f>
        <v>Temperatura del salida de vapor</v>
      </c>
      <c r="G63" s="167" t="str">
        <f>VLOOKUP(MP_registro[[#This Row],[TAG]],'DB-EQUIPOS GEN'!$C$11:$H$833,3,0)</f>
        <v>PRODUCCION</v>
      </c>
      <c r="H63" s="166" t="str">
        <f>VLOOKUP(MP_registro[[#This Row],[TAG]],'DB-EQUIPOS GEN'!$C$11:$H$833,4,0)</f>
        <v>EVAPORACION DE JUGO</v>
      </c>
      <c r="I63" s="166" t="str">
        <f>VLOOKUP(MP_registro[[#This Row],[TAG]],'DB-EQUIPOS GEN'!$C$11:$H$833,5,0)</f>
        <v>FFE 4A</v>
      </c>
      <c r="J63" s="166" t="str">
        <f>VLOOKUP(MP_registro[[#This Row],[TAG]],'DB-EQUIPOS GEN'!$C$11:$H$833,6,0)</f>
        <v xml:space="preserve"> 0320EV050</v>
      </c>
      <c r="K63" s="67">
        <v>44663</v>
      </c>
      <c r="L63" s="65" t="s">
        <v>245</v>
      </c>
      <c r="M63" s="65" t="s">
        <v>2396</v>
      </c>
      <c r="N63" s="64" t="s">
        <v>1664</v>
      </c>
      <c r="O63" s="64" t="s">
        <v>1696</v>
      </c>
    </row>
    <row r="64" spans="1:15" s="42" customFormat="1" ht="35.25" customHeight="1">
      <c r="A64" s="64">
        <v>63</v>
      </c>
      <c r="B64" s="64" t="s">
        <v>1373</v>
      </c>
      <c r="C64" s="64" t="s">
        <v>1376</v>
      </c>
      <c r="D64" s="65" t="s">
        <v>1444</v>
      </c>
      <c r="E64" s="65" t="s">
        <v>518</v>
      </c>
      <c r="F64" s="166" t="str">
        <f>VLOOKUP(MP_registro[[#This Row],[TAG]],'DB-EQUIPOS GEN'!$C$11:$H$833,2,0)</f>
        <v>Temperatura de jugo Evap.5A</v>
      </c>
      <c r="G64" s="167" t="str">
        <f>VLOOKUP(MP_registro[[#This Row],[TAG]],'DB-EQUIPOS GEN'!$C$11:$H$833,3,0)</f>
        <v>PRODUCCION</v>
      </c>
      <c r="H64" s="167" t="str">
        <f>VLOOKUP(MP_registro[[#This Row],[TAG]],'DB-EQUIPOS GEN'!$C$11:$H$833,4,0)</f>
        <v>EVAPORACION DE JUGO</v>
      </c>
      <c r="I64" s="167" t="str">
        <f>VLOOKUP(MP_registro[[#This Row],[TAG]],'DB-EQUIPOS GEN'!$C$11:$H$833,5,0)</f>
        <v>FFE 5A</v>
      </c>
      <c r="J64" s="167" t="str">
        <f>VLOOKUP(MP_registro[[#This Row],[TAG]],'DB-EQUIPOS GEN'!$C$11:$H$833,6,0)</f>
        <v xml:space="preserve"> 0320EV060</v>
      </c>
      <c r="K64" s="66">
        <v>44664</v>
      </c>
      <c r="L64" s="64" t="s">
        <v>249</v>
      </c>
      <c r="M64" s="64" t="s">
        <v>2403</v>
      </c>
      <c r="N64" s="64" t="s">
        <v>1664</v>
      </c>
      <c r="O64" s="64" t="s">
        <v>1696</v>
      </c>
    </row>
    <row r="65" spans="1:15" s="42" customFormat="1" ht="35.25" customHeight="1">
      <c r="A65" s="65">
        <v>64</v>
      </c>
      <c r="B65" s="64" t="s">
        <v>1373</v>
      </c>
      <c r="C65" s="64" t="s">
        <v>1376</v>
      </c>
      <c r="D65" s="65" t="s">
        <v>1445</v>
      </c>
      <c r="E65" s="65" t="s">
        <v>524</v>
      </c>
      <c r="F65" s="166" t="str">
        <f>VLOOKUP(MP_registro[[#This Row],[TAG]],'DB-EQUIPOS GEN'!$C$11:$H$833,2,0)</f>
        <v>Presion de vapor de salida Evap.5A</v>
      </c>
      <c r="G65" s="167" t="str">
        <f>VLOOKUP(MP_registro[[#This Row],[TAG]],'DB-EQUIPOS GEN'!$C$11:$H$833,3,0)</f>
        <v>PRODUCCION</v>
      </c>
      <c r="H65" s="166" t="str">
        <f>VLOOKUP(MP_registro[[#This Row],[TAG]],'DB-EQUIPOS GEN'!$C$11:$H$833,4,0)</f>
        <v>EVAPORACION DE JUGO</v>
      </c>
      <c r="I65" s="166" t="str">
        <f>VLOOKUP(MP_registro[[#This Row],[TAG]],'DB-EQUIPOS GEN'!$C$11:$H$833,5,0)</f>
        <v>FFE 5A</v>
      </c>
      <c r="J65" s="166" t="str">
        <f>VLOOKUP(MP_registro[[#This Row],[TAG]],'DB-EQUIPOS GEN'!$C$11:$H$833,6,0)</f>
        <v xml:space="preserve"> 0320EV060</v>
      </c>
      <c r="K65" s="67">
        <v>44665</v>
      </c>
      <c r="L65" s="65" t="s">
        <v>247</v>
      </c>
      <c r="M65" s="65" t="s">
        <v>2404</v>
      </c>
      <c r="N65" s="64" t="s">
        <v>1664</v>
      </c>
      <c r="O65" s="64" t="s">
        <v>1696</v>
      </c>
    </row>
    <row r="66" spans="1:15" s="42" customFormat="1" ht="35.25" customHeight="1">
      <c r="A66" s="64">
        <v>65</v>
      </c>
      <c r="B66" s="64" t="s">
        <v>1373</v>
      </c>
      <c r="C66" s="64" t="s">
        <v>1376</v>
      </c>
      <c r="D66" s="65" t="s">
        <v>1446</v>
      </c>
      <c r="E66" s="65" t="s">
        <v>522</v>
      </c>
      <c r="F66" s="166" t="str">
        <f>VLOOKUP(MP_registro[[#This Row],[TAG]],'DB-EQUIPOS GEN'!$C$11:$H$833,2,0)</f>
        <v>Temperatura del salida de vapor</v>
      </c>
      <c r="G66" s="167" t="str">
        <f>VLOOKUP(MP_registro[[#This Row],[TAG]],'DB-EQUIPOS GEN'!$C$11:$H$833,3,0)</f>
        <v>PRODUCCION</v>
      </c>
      <c r="H66" s="167" t="str">
        <f>VLOOKUP(MP_registro[[#This Row],[TAG]],'DB-EQUIPOS GEN'!$C$11:$H$833,4,0)</f>
        <v>EVAPORACION DE JUGO</v>
      </c>
      <c r="I66" s="167" t="str">
        <f>VLOOKUP(MP_registro[[#This Row],[TAG]],'DB-EQUIPOS GEN'!$C$11:$H$833,5,0)</f>
        <v>FFE 5A</v>
      </c>
      <c r="J66" s="167" t="str">
        <f>VLOOKUP(MP_registro[[#This Row],[TAG]],'DB-EQUIPOS GEN'!$C$11:$H$833,6,0)</f>
        <v xml:space="preserve"> 0320EV060</v>
      </c>
      <c r="K66" s="66">
        <v>44666</v>
      </c>
      <c r="L66" s="65" t="s">
        <v>245</v>
      </c>
      <c r="M66" s="64" t="s">
        <v>2396</v>
      </c>
      <c r="N66" s="64" t="s">
        <v>1664</v>
      </c>
      <c r="O66" s="64" t="s">
        <v>1696</v>
      </c>
    </row>
    <row r="67" spans="1:15" s="42" customFormat="1" ht="35.25" customHeight="1">
      <c r="A67" s="65">
        <v>66</v>
      </c>
      <c r="B67" s="64" t="s">
        <v>1373</v>
      </c>
      <c r="C67" s="64" t="s">
        <v>1376</v>
      </c>
      <c r="D67" s="65" t="s">
        <v>1447</v>
      </c>
      <c r="E67" s="65" t="s">
        <v>526</v>
      </c>
      <c r="F67" s="166" t="str">
        <f>VLOOKUP(MP_registro[[#This Row],[TAG]],'DB-EQUIPOS GEN'!$C$11:$H$833,2,0)</f>
        <v>Temperatura de jugo Evap.4B</v>
      </c>
      <c r="G67" s="167" t="str">
        <f>VLOOKUP(MP_registro[[#This Row],[TAG]],'DB-EQUIPOS GEN'!$C$11:$H$833,3,0)</f>
        <v>PRODUCCION</v>
      </c>
      <c r="H67" s="166" t="str">
        <f>VLOOKUP(MP_registro[[#This Row],[TAG]],'DB-EQUIPOS GEN'!$C$11:$H$833,4,0)</f>
        <v>EVAPORACION DE JUGO</v>
      </c>
      <c r="I67" s="166" t="str">
        <f>VLOOKUP(MP_registro[[#This Row],[TAG]],'DB-EQUIPOS GEN'!$C$11:$H$833,5,0)</f>
        <v>FFE 4B</v>
      </c>
      <c r="J67" s="166" t="str">
        <f>VLOOKUP(MP_registro[[#This Row],[TAG]],'DB-EQUIPOS GEN'!$C$11:$H$833,6,0)</f>
        <v xml:space="preserve"> 0320EV070</v>
      </c>
      <c r="K67" s="67">
        <v>44667</v>
      </c>
      <c r="L67" s="64" t="s">
        <v>249</v>
      </c>
      <c r="M67" s="64" t="s">
        <v>2403</v>
      </c>
      <c r="N67" s="64" t="s">
        <v>1664</v>
      </c>
      <c r="O67" s="64" t="s">
        <v>1696</v>
      </c>
    </row>
    <row r="68" spans="1:15" s="42" customFormat="1" ht="35.25" customHeight="1">
      <c r="A68" s="64">
        <v>67</v>
      </c>
      <c r="B68" s="64" t="s">
        <v>1373</v>
      </c>
      <c r="C68" s="64" t="s">
        <v>1376</v>
      </c>
      <c r="D68" s="65" t="s">
        <v>1448</v>
      </c>
      <c r="E68" s="65" t="s">
        <v>532</v>
      </c>
      <c r="F68" s="166" t="str">
        <f>VLOOKUP(MP_registro[[#This Row],[TAG]],'DB-EQUIPOS GEN'!$C$11:$H$833,2,0)</f>
        <v>Presion de vapor de salida Evap.4B</v>
      </c>
      <c r="G68" s="167" t="str">
        <f>VLOOKUP(MP_registro[[#This Row],[TAG]],'DB-EQUIPOS GEN'!$C$11:$H$833,3,0)</f>
        <v>PRODUCCION</v>
      </c>
      <c r="H68" s="167" t="str">
        <f>VLOOKUP(MP_registro[[#This Row],[TAG]],'DB-EQUIPOS GEN'!$C$11:$H$833,4,0)</f>
        <v>EVAPORACION DE JUGO</v>
      </c>
      <c r="I68" s="167" t="str">
        <f>VLOOKUP(MP_registro[[#This Row],[TAG]],'DB-EQUIPOS GEN'!$C$11:$H$833,5,0)</f>
        <v>FFE 4B</v>
      </c>
      <c r="J68" s="167" t="str">
        <f>VLOOKUP(MP_registro[[#This Row],[TAG]],'DB-EQUIPOS GEN'!$C$11:$H$833,6,0)</f>
        <v xml:space="preserve"> 0320EV070</v>
      </c>
      <c r="K68" s="66">
        <v>44668</v>
      </c>
      <c r="L68" s="65" t="s">
        <v>247</v>
      </c>
      <c r="M68" s="65" t="s">
        <v>2404</v>
      </c>
      <c r="N68" s="64" t="s">
        <v>1664</v>
      </c>
      <c r="O68" s="64" t="s">
        <v>1696</v>
      </c>
    </row>
    <row r="69" spans="1:15" s="42" customFormat="1" ht="35.25" customHeight="1">
      <c r="A69" s="65">
        <v>68</v>
      </c>
      <c r="B69" s="64" t="s">
        <v>1373</v>
      </c>
      <c r="C69" s="64" t="s">
        <v>1376</v>
      </c>
      <c r="D69" s="65" t="s">
        <v>1449</v>
      </c>
      <c r="E69" s="65" t="s">
        <v>772</v>
      </c>
      <c r="F69" s="166" t="str">
        <f>VLOOKUP(MP_registro[[#This Row],[TAG]],'DB-EQUIPOS GEN'!$C$11:$H$833,2,0)</f>
        <v>Brix de masa C - Celda 4</v>
      </c>
      <c r="G69" s="167" t="str">
        <f>VLOOKUP(MP_registro[[#This Row],[TAG]],'DB-EQUIPOS GEN'!$C$11:$H$833,3,0)</f>
        <v>PRODUCCION</v>
      </c>
      <c r="H69" s="166" t="str">
        <f>VLOOKUP(MP_registro[[#This Row],[TAG]],'DB-EQUIPOS GEN'!$C$11:$H$833,4,0)</f>
        <v>CRISTALIZACION POR COCCION</v>
      </c>
      <c r="I69" s="166" t="str">
        <f>VLOOKUP(MP_registro[[#This Row],[TAG]],'DB-EQUIPOS GEN'!$C$11:$H$833,5,0)</f>
        <v xml:space="preserve">TACHO CONTINUO C </v>
      </c>
      <c r="J69" s="166" t="str">
        <f>VLOOKUP(MP_registro[[#This Row],[TAG]],'DB-EQUIPOS GEN'!$C$11:$H$833,6,0)</f>
        <v xml:space="preserve"> 0335HX260</v>
      </c>
      <c r="K69" s="67">
        <v>44662</v>
      </c>
      <c r="L69" s="65" t="s">
        <v>245</v>
      </c>
      <c r="M69" s="65" t="s">
        <v>2396</v>
      </c>
      <c r="N69" s="64" t="s">
        <v>1664</v>
      </c>
      <c r="O69" s="64" t="s">
        <v>1696</v>
      </c>
    </row>
    <row r="70" spans="1:15" s="42" customFormat="1" ht="35.25" customHeight="1">
      <c r="A70" s="64">
        <v>69</v>
      </c>
      <c r="B70" s="64" t="s">
        <v>1373</v>
      </c>
      <c r="C70" s="64" t="s">
        <v>1376</v>
      </c>
      <c r="D70" s="65" t="s">
        <v>1450</v>
      </c>
      <c r="E70" s="65" t="s">
        <v>774</v>
      </c>
      <c r="F70" s="166" t="str">
        <f>VLOOKUP(MP_registro[[#This Row],[TAG]],'DB-EQUIPOS GEN'!$C$11:$H$833,2,0)</f>
        <v>Brix de masa C - Celda 5</v>
      </c>
      <c r="G70" s="167" t="str">
        <f>VLOOKUP(MP_registro[[#This Row],[TAG]],'DB-EQUIPOS GEN'!$C$11:$H$833,3,0)</f>
        <v>PRODUCCION</v>
      </c>
      <c r="H70" s="167" t="str">
        <f>VLOOKUP(MP_registro[[#This Row],[TAG]],'DB-EQUIPOS GEN'!$C$11:$H$833,4,0)</f>
        <v>CRISTALIZACION POR COCCION</v>
      </c>
      <c r="I70" s="167" t="str">
        <f>VLOOKUP(MP_registro[[#This Row],[TAG]],'DB-EQUIPOS GEN'!$C$11:$H$833,5,0)</f>
        <v xml:space="preserve">TACHO CONTINUO C </v>
      </c>
      <c r="J70" s="167" t="str">
        <f>VLOOKUP(MP_registro[[#This Row],[TAG]],'DB-EQUIPOS GEN'!$C$11:$H$833,6,0)</f>
        <v xml:space="preserve"> 0335HX260</v>
      </c>
      <c r="K70" s="66">
        <v>44663</v>
      </c>
      <c r="L70" s="64" t="s">
        <v>249</v>
      </c>
      <c r="M70" s="64" t="s">
        <v>2403</v>
      </c>
      <c r="N70" s="64" t="s">
        <v>1664</v>
      </c>
      <c r="O70" s="64" t="s">
        <v>1696</v>
      </c>
    </row>
    <row r="71" spans="1:15" s="42" customFormat="1" ht="35.25" customHeight="1">
      <c r="A71" s="65">
        <v>70</v>
      </c>
      <c r="B71" s="64" t="s">
        <v>1373</v>
      </c>
      <c r="C71" s="64" t="s">
        <v>1376</v>
      </c>
      <c r="D71" s="65" t="s">
        <v>1451</v>
      </c>
      <c r="E71" s="65" t="s">
        <v>776</v>
      </c>
      <c r="F71" s="166" t="str">
        <f>VLOOKUP(MP_registro[[#This Row],[TAG]],'DB-EQUIPOS GEN'!$C$11:$H$833,2,0)</f>
        <v>Brix de masa C - Celda 6</v>
      </c>
      <c r="G71" s="167" t="str">
        <f>VLOOKUP(MP_registro[[#This Row],[TAG]],'DB-EQUIPOS GEN'!$C$11:$H$833,3,0)</f>
        <v>PRODUCCION</v>
      </c>
      <c r="H71" s="166" t="str">
        <f>VLOOKUP(MP_registro[[#This Row],[TAG]],'DB-EQUIPOS GEN'!$C$11:$H$833,4,0)</f>
        <v>CRISTALIZACION POR COCCION</v>
      </c>
      <c r="I71" s="166" t="str">
        <f>VLOOKUP(MP_registro[[#This Row],[TAG]],'DB-EQUIPOS GEN'!$C$11:$H$833,5,0)</f>
        <v xml:space="preserve">TACHO CONTINUO C </v>
      </c>
      <c r="J71" s="166" t="str">
        <f>VLOOKUP(MP_registro[[#This Row],[TAG]],'DB-EQUIPOS GEN'!$C$11:$H$833,6,0)</f>
        <v xml:space="preserve"> 0335HX260</v>
      </c>
      <c r="K71" s="67">
        <v>44664</v>
      </c>
      <c r="L71" s="65" t="s">
        <v>247</v>
      </c>
      <c r="M71" s="65" t="s">
        <v>2404</v>
      </c>
      <c r="N71" s="64" t="s">
        <v>1664</v>
      </c>
      <c r="O71" s="64" t="s">
        <v>1696</v>
      </c>
    </row>
    <row r="72" spans="1:15" s="42" customFormat="1" ht="35.25" customHeight="1">
      <c r="A72" s="64">
        <v>71</v>
      </c>
      <c r="B72" s="64" t="s">
        <v>1373</v>
      </c>
      <c r="C72" s="64" t="s">
        <v>1376</v>
      </c>
      <c r="D72" s="65" t="s">
        <v>1452</v>
      </c>
      <c r="E72" s="65" t="s">
        <v>778</v>
      </c>
      <c r="F72" s="166" t="str">
        <f>VLOOKUP(MP_registro[[#This Row],[TAG]],'DB-EQUIPOS GEN'!$C$11:$H$833,2,0)</f>
        <v>Brix de masa C - Celda 7</v>
      </c>
      <c r="G72" s="167" t="str">
        <f>VLOOKUP(MP_registro[[#This Row],[TAG]],'DB-EQUIPOS GEN'!$C$11:$H$833,3,0)</f>
        <v>PRODUCCION</v>
      </c>
      <c r="H72" s="167" t="str">
        <f>VLOOKUP(MP_registro[[#This Row],[TAG]],'DB-EQUIPOS GEN'!$C$11:$H$833,4,0)</f>
        <v>CRISTALIZACION POR COCCION</v>
      </c>
      <c r="I72" s="167" t="str">
        <f>VLOOKUP(MP_registro[[#This Row],[TAG]],'DB-EQUIPOS GEN'!$C$11:$H$833,5,0)</f>
        <v xml:space="preserve">TACHO CONTINUO C </v>
      </c>
      <c r="J72" s="167" t="str">
        <f>VLOOKUP(MP_registro[[#This Row],[TAG]],'DB-EQUIPOS GEN'!$C$11:$H$833,6,0)</f>
        <v xml:space="preserve"> 0335HX260</v>
      </c>
      <c r="K72" s="66">
        <v>44665</v>
      </c>
      <c r="L72" s="65" t="s">
        <v>245</v>
      </c>
      <c r="M72" s="64" t="s">
        <v>2396</v>
      </c>
      <c r="N72" s="64" t="s">
        <v>1664</v>
      </c>
      <c r="O72" s="64" t="s">
        <v>1696</v>
      </c>
    </row>
    <row r="73" spans="1:15" s="42" customFormat="1" ht="35.25" customHeight="1">
      <c r="A73" s="65">
        <v>72</v>
      </c>
      <c r="B73" s="64" t="s">
        <v>1373</v>
      </c>
      <c r="C73" s="64" t="s">
        <v>1376</v>
      </c>
      <c r="D73" s="65" t="s">
        <v>1453</v>
      </c>
      <c r="E73" s="65" t="s">
        <v>780</v>
      </c>
      <c r="F73" s="166" t="str">
        <f>VLOOKUP(MP_registro[[#This Row],[TAG]],'DB-EQUIPOS GEN'!$C$11:$H$833,2,0)</f>
        <v>Brix de masa C - Celda 8</v>
      </c>
      <c r="G73" s="167" t="str">
        <f>VLOOKUP(MP_registro[[#This Row],[TAG]],'DB-EQUIPOS GEN'!$C$11:$H$833,3,0)</f>
        <v>PRODUCCION</v>
      </c>
      <c r="H73" s="166" t="str">
        <f>VLOOKUP(MP_registro[[#This Row],[TAG]],'DB-EQUIPOS GEN'!$C$11:$H$833,4,0)</f>
        <v>CRISTALIZACION POR COCCION</v>
      </c>
      <c r="I73" s="166" t="str">
        <f>VLOOKUP(MP_registro[[#This Row],[TAG]],'DB-EQUIPOS GEN'!$C$11:$H$833,5,0)</f>
        <v xml:space="preserve">TACHO CONTINUO C </v>
      </c>
      <c r="J73" s="166" t="str">
        <f>VLOOKUP(MP_registro[[#This Row],[TAG]],'DB-EQUIPOS GEN'!$C$11:$H$833,6,0)</f>
        <v xml:space="preserve"> 0335HX260</v>
      </c>
      <c r="K73" s="67">
        <v>44666</v>
      </c>
      <c r="L73" s="64" t="s">
        <v>249</v>
      </c>
      <c r="M73" s="64" t="s">
        <v>2403</v>
      </c>
      <c r="N73" s="64" t="s">
        <v>1664</v>
      </c>
      <c r="O73" s="64" t="s">
        <v>1696</v>
      </c>
    </row>
    <row r="74" spans="1:15" s="42" customFormat="1" ht="35.25" customHeight="1">
      <c r="A74" s="64">
        <v>73</v>
      </c>
      <c r="B74" s="64" t="s">
        <v>1373</v>
      </c>
      <c r="C74" s="64" t="s">
        <v>1376</v>
      </c>
      <c r="D74" s="65" t="s">
        <v>1454</v>
      </c>
      <c r="E74" s="153" t="s">
        <v>802</v>
      </c>
      <c r="F74" s="166" t="str">
        <f>VLOOKUP(MP_registro[[#This Row],[TAG]],'DB-EQUIPOS GEN'!$C$11:$H$833,2,0)</f>
        <v>Peso de azucar balanza A - Silo 2</v>
      </c>
      <c r="G74" s="167" t="str">
        <f>VLOOKUP(MP_registro[[#This Row],[TAG]],'DB-EQUIPOS GEN'!$C$11:$H$833,3,0)</f>
        <v>PRODUCCION</v>
      </c>
      <c r="H74" s="167" t="str">
        <f>VLOOKUP(MP_registro[[#This Row],[TAG]],'DB-EQUIPOS GEN'!$C$11:$H$833,4,0)</f>
        <v>ENVASADO DE AZUCAR RUBIA</v>
      </c>
      <c r="I74" s="167" t="str">
        <f>VLOOKUP(MP_registro[[#This Row],[TAG]],'DB-EQUIPOS GEN'!$C$11:$H$833,5,0)</f>
        <v>SILO 2</v>
      </c>
      <c r="J74" s="167" t="str">
        <f>VLOOKUP(MP_registro[[#This Row],[TAG]],'DB-EQUIPOS GEN'!$C$11:$H$833,6,0)</f>
        <v>0355BI100</v>
      </c>
      <c r="K74" s="66">
        <v>44662</v>
      </c>
      <c r="L74" s="65" t="s">
        <v>247</v>
      </c>
      <c r="M74" s="65" t="s">
        <v>2404</v>
      </c>
      <c r="N74" s="64" t="s">
        <v>1664</v>
      </c>
      <c r="O74" s="64" t="s">
        <v>1696</v>
      </c>
    </row>
    <row r="75" spans="1:15" s="42" customFormat="1" ht="35.25" customHeight="1">
      <c r="A75" s="65">
        <v>74</v>
      </c>
      <c r="B75" s="64" t="s">
        <v>1373</v>
      </c>
      <c r="C75" s="64" t="s">
        <v>1376</v>
      </c>
      <c r="D75" s="65" t="s">
        <v>1455</v>
      </c>
      <c r="E75" s="153" t="s">
        <v>803</v>
      </c>
      <c r="F75" s="166" t="str">
        <f>VLOOKUP(MP_registro[[#This Row],[TAG]],'DB-EQUIPOS GEN'!$C$11:$H$833,2,0)</f>
        <v>Peso de azucar balanza B - Silo 2</v>
      </c>
      <c r="G75" s="167" t="str">
        <f>VLOOKUP(MP_registro[[#This Row],[TAG]],'DB-EQUIPOS GEN'!$C$11:$H$833,3,0)</f>
        <v>PRODUCCION</v>
      </c>
      <c r="H75" s="166" t="str">
        <f>VLOOKUP(MP_registro[[#This Row],[TAG]],'DB-EQUIPOS GEN'!$C$11:$H$833,4,0)</f>
        <v>ENVASADO DE AZUCAR RUBIA</v>
      </c>
      <c r="I75" s="166" t="str">
        <f>VLOOKUP(MP_registro[[#This Row],[TAG]],'DB-EQUIPOS GEN'!$C$11:$H$833,5,0)</f>
        <v>SILO 2</v>
      </c>
      <c r="J75" s="166" t="str">
        <f>VLOOKUP(MP_registro[[#This Row],[TAG]],'DB-EQUIPOS GEN'!$C$11:$H$833,6,0)</f>
        <v>0355BI100</v>
      </c>
      <c r="K75" s="67">
        <v>44662</v>
      </c>
      <c r="L75" s="64" t="s">
        <v>249</v>
      </c>
      <c r="M75" s="64" t="s">
        <v>2403</v>
      </c>
      <c r="N75" s="64" t="s">
        <v>1664</v>
      </c>
      <c r="O75" s="64" t="s">
        <v>1696</v>
      </c>
    </row>
    <row r="76" spans="1:15" s="42" customFormat="1" ht="35.25" customHeight="1">
      <c r="A76" s="64">
        <v>75</v>
      </c>
      <c r="B76" s="64" t="s">
        <v>1373</v>
      </c>
      <c r="C76" s="64" t="s">
        <v>1376</v>
      </c>
      <c r="D76" s="65" t="s">
        <v>1456</v>
      </c>
      <c r="E76" s="65" t="s">
        <v>1314</v>
      </c>
      <c r="F76" s="166" t="str">
        <f>VLOOKUP(MP_registro[[#This Row],[TAG]],'DB-EQUIPOS GEN'!$C$11:$H$833,2,0)</f>
        <v>Tablero de periferia en Asset Turbina</v>
      </c>
      <c r="G76" s="167" t="str">
        <f>VLOOKUP(MP_registro[[#This Row],[TAG]],'DB-EQUIPOS GEN'!$C$11:$H$833,3,0)</f>
        <v>E. ELECTRICA</v>
      </c>
      <c r="H76" s="167" t="str">
        <f>VLOOKUP(MP_registro[[#This Row],[TAG]],'DB-EQUIPOS GEN'!$C$11:$H$833,4,0)</f>
        <v>GENERACION ENERG. ELEC. TURBO GENERADOR</v>
      </c>
      <c r="I76" s="167" t="str">
        <f>VLOOKUP(MP_registro[[#This Row],[TAG]],'DB-EQUIPOS GEN'!$C$11:$H$833,5,0)</f>
        <v>TURBOGENERADOR 7.5 MW</v>
      </c>
      <c r="J76" s="167" t="str">
        <f>VLOOKUP(MP_registro[[#This Row],[TAG]],'DB-EQUIPOS GEN'!$C$11:$H$833,6,0)</f>
        <v>0430TG010</v>
      </c>
      <c r="K76" s="66">
        <v>44667</v>
      </c>
      <c r="L76" s="65" t="s">
        <v>248</v>
      </c>
      <c r="M76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76" s="64" t="s">
        <v>1664</v>
      </c>
      <c r="O76" s="64" t="s">
        <v>1696</v>
      </c>
    </row>
    <row r="77" spans="1:15" s="42" customFormat="1" ht="35.25" customHeight="1">
      <c r="A77" s="65">
        <v>76</v>
      </c>
      <c r="B77" s="64" t="s">
        <v>1373</v>
      </c>
      <c r="C77" s="64" t="s">
        <v>1376</v>
      </c>
      <c r="D77" s="65" t="s">
        <v>1457</v>
      </c>
      <c r="E77" s="65" t="s">
        <v>1316</v>
      </c>
      <c r="F77" s="166" t="str">
        <f>VLOOKUP(MP_registro[[#This Row],[TAG]],'DB-EQUIPOS GEN'!$C$11:$H$833,2,0)</f>
        <v>Tablero de periferia en Asset Turbina</v>
      </c>
      <c r="G77" s="167" t="str">
        <f>VLOOKUP(MP_registro[[#This Row],[TAG]],'DB-EQUIPOS GEN'!$C$11:$H$833,3,0)</f>
        <v>E. ELECTRICA</v>
      </c>
      <c r="H77" s="166" t="str">
        <f>VLOOKUP(MP_registro[[#This Row],[TAG]],'DB-EQUIPOS GEN'!$C$11:$H$833,4,0)</f>
        <v>GENERACION ENERG. ELEC. TURBO GENERADOR</v>
      </c>
      <c r="I77" s="166" t="str">
        <f>VLOOKUP(MP_registro[[#This Row],[TAG]],'DB-EQUIPOS GEN'!$C$11:$H$833,5,0)</f>
        <v>TURBOGENERADOR 7.5 MW</v>
      </c>
      <c r="J77" s="166" t="str">
        <f>VLOOKUP(MP_registro[[#This Row],[TAG]],'DB-EQUIPOS GEN'!$C$11:$H$833,6,0)</f>
        <v>0430TG010</v>
      </c>
      <c r="K77" s="67">
        <v>44668</v>
      </c>
      <c r="L77" s="65" t="s">
        <v>248</v>
      </c>
      <c r="M77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77" s="64" t="s">
        <v>1664</v>
      </c>
      <c r="O77" s="64" t="s">
        <v>1696</v>
      </c>
    </row>
    <row r="78" spans="1:15" s="42" customFormat="1" ht="35.25" customHeight="1">
      <c r="A78" s="64">
        <v>77</v>
      </c>
      <c r="B78" s="64" t="s">
        <v>1373</v>
      </c>
      <c r="C78" s="64" t="s">
        <v>1376</v>
      </c>
      <c r="D78" s="65" t="s">
        <v>1458</v>
      </c>
      <c r="E78" s="65" t="s">
        <v>255</v>
      </c>
      <c r="F78" s="166" t="str">
        <f>VLOOKUP(MP_registro[[#This Row],[TAG]],'DB-EQUIPOS GEN'!$C$11:$H$833,2,0)</f>
        <v>Tablero de periferia en Asset Turbina</v>
      </c>
      <c r="G78" s="167" t="str">
        <f>VLOOKUP(MP_registro[[#This Row],[TAG]],'DB-EQUIPOS GEN'!$C$11:$H$833,3,0)</f>
        <v>E. ELECTRICA</v>
      </c>
      <c r="H78" s="167" t="str">
        <f>VLOOKUP(MP_registro[[#This Row],[TAG]],'DB-EQUIPOS GEN'!$C$11:$H$833,4,0)</f>
        <v>GENERACION ENERG. ELEC. TURBO GENERADOR</v>
      </c>
      <c r="I78" s="167" t="str">
        <f>VLOOKUP(MP_registro[[#This Row],[TAG]],'DB-EQUIPOS GEN'!$C$11:$H$833,5,0)</f>
        <v>TURBOGENERADOR 7.5 MW</v>
      </c>
      <c r="J78" s="167" t="str">
        <f>VLOOKUP(MP_registro[[#This Row],[TAG]],'DB-EQUIPOS GEN'!$C$11:$H$833,6,0)</f>
        <v>0430TG010</v>
      </c>
      <c r="K78" s="66">
        <v>44665</v>
      </c>
      <c r="L78" s="65" t="s">
        <v>248</v>
      </c>
      <c r="M78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78" s="64" t="s">
        <v>1664</v>
      </c>
      <c r="O78" s="64" t="s">
        <v>1696</v>
      </c>
    </row>
    <row r="79" spans="1:15" s="42" customFormat="1" ht="35.25" customHeight="1">
      <c r="A79" s="65">
        <v>78</v>
      </c>
      <c r="B79" s="64" t="s">
        <v>1373</v>
      </c>
      <c r="C79" s="64" t="s">
        <v>1376</v>
      </c>
      <c r="D79" s="65" t="s">
        <v>1459</v>
      </c>
      <c r="E79" s="65" t="s">
        <v>256</v>
      </c>
      <c r="F79" s="166" t="str">
        <f>VLOOKUP(MP_registro[[#This Row],[TAG]],'DB-EQUIPOS GEN'!$C$11:$H$833,2,0)</f>
        <v>Tablero de periferia en Asset Difusor</v>
      </c>
      <c r="G79" s="167" t="str">
        <f>VLOOKUP(MP_registro[[#This Row],[TAG]],'DB-EQUIPOS GEN'!$C$11:$H$833,3,0)</f>
        <v>EXTRACCION</v>
      </c>
      <c r="H79" s="166" t="str">
        <f>VLOOKUP(MP_registro[[#This Row],[TAG]],'DB-EQUIPOS GEN'!$C$11:$H$833,4,0)</f>
        <v>DIFUSOR</v>
      </c>
      <c r="I79" s="166" t="str">
        <f>VLOOKUP(MP_registro[[#This Row],[TAG]],'DB-EQUIPOS GEN'!$C$11:$H$833,5,0)</f>
        <v>DIFUSOR</v>
      </c>
      <c r="J79" s="166" t="str">
        <f>VLOOKUP(MP_registro[[#This Row],[TAG]],'DB-EQUIPOS GEN'!$C$11:$H$833,6,0)</f>
        <v>0205DF180</v>
      </c>
      <c r="K79" s="67">
        <v>44664</v>
      </c>
      <c r="L79" s="65" t="s">
        <v>248</v>
      </c>
      <c r="M79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79" s="64" t="s">
        <v>1664</v>
      </c>
      <c r="O79" s="64" t="s">
        <v>1696</v>
      </c>
    </row>
    <row r="80" spans="1:15" s="42" customFormat="1" ht="35.25" customHeight="1">
      <c r="A80" s="64">
        <v>79</v>
      </c>
      <c r="B80" s="64" t="s">
        <v>1373</v>
      </c>
      <c r="C80" s="64" t="s">
        <v>1376</v>
      </c>
      <c r="D80" s="65" t="s">
        <v>1460</v>
      </c>
      <c r="E80" s="65" t="s">
        <v>257</v>
      </c>
      <c r="F80" s="166" t="str">
        <f>VLOOKUP(MP_registro[[#This Row],[TAG]],'DB-EQUIPOS GEN'!$C$11:$H$833,2,0)</f>
        <v>Tablero de periferia en Asset Process House</v>
      </c>
      <c r="G80" s="167" t="str">
        <f>VLOOKUP(MP_registro[[#This Row],[TAG]],'DB-EQUIPOS GEN'!$C$11:$H$833,3,0)</f>
        <v>PRODUCCION</v>
      </c>
      <c r="H80" s="167" t="str">
        <f>VLOOKUP(MP_registro[[#This Row],[TAG]],'DB-EQUIPOS GEN'!$C$11:$H$833,4,0)</f>
        <v>EVAPORACION DE JUGO</v>
      </c>
      <c r="I80" s="167" t="str">
        <f>VLOOKUP(MP_registro[[#This Row],[TAG]],'DB-EQUIPOS GEN'!$C$11:$H$833,5,0)</f>
        <v>EVAPORADOR FFE 1</v>
      </c>
      <c r="J80" s="167" t="str">
        <f>VLOOKUP(MP_registro[[#This Row],[TAG]],'DB-EQUIPOS GEN'!$C$11:$H$833,6,0)</f>
        <v>0320EV010</v>
      </c>
      <c r="K80" s="66">
        <v>44663</v>
      </c>
      <c r="L80" s="65" t="s">
        <v>248</v>
      </c>
      <c r="M80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80" s="64" t="s">
        <v>1664</v>
      </c>
      <c r="O80" s="64" t="s">
        <v>1696</v>
      </c>
    </row>
    <row r="81" spans="1:15" s="42" customFormat="1" ht="35.25" customHeight="1">
      <c r="A81" s="65">
        <v>80</v>
      </c>
      <c r="B81" s="64" t="s">
        <v>1373</v>
      </c>
      <c r="C81" s="64" t="s">
        <v>1376</v>
      </c>
      <c r="D81" s="65" t="s">
        <v>1461</v>
      </c>
      <c r="E81" s="65" t="s">
        <v>258</v>
      </c>
      <c r="F81" s="166" t="str">
        <f>VLOOKUP(MP_registro[[#This Row],[TAG]],'DB-EQUIPOS GEN'!$C$11:$H$833,2,0)</f>
        <v>Tablero de periferia en Asset Cocimiento</v>
      </c>
      <c r="G81" s="167" t="str">
        <f>VLOOKUP(MP_registro[[#This Row],[TAG]],'DB-EQUIPOS GEN'!$C$11:$H$833,3,0)</f>
        <v>PRODUCCION</v>
      </c>
      <c r="H81" s="166" t="str">
        <f>VLOOKUP(MP_registro[[#This Row],[TAG]],'DB-EQUIPOS GEN'!$C$11:$H$833,4,0)</f>
        <v>CRISTALIZACION POR COCCION</v>
      </c>
      <c r="I81" s="166" t="str">
        <f>VLOOKUP(MP_registro[[#This Row],[TAG]],'DB-EQUIPOS GEN'!$C$11:$H$833,5,0)</f>
        <v>TACHO CONTINUO - A</v>
      </c>
      <c r="J81" s="166" t="str">
        <f>VLOOKUP(MP_registro[[#This Row],[TAG]],'DB-EQUIPOS GEN'!$C$11:$H$833,6,0)</f>
        <v>0335HX200</v>
      </c>
      <c r="K81" s="67">
        <v>44662</v>
      </c>
      <c r="L81" s="65" t="s">
        <v>248</v>
      </c>
      <c r="M81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81" s="64" t="s">
        <v>1664</v>
      </c>
      <c r="O81" s="64" t="s">
        <v>1696</v>
      </c>
    </row>
    <row r="82" spans="1:15" s="42" customFormat="1" ht="35.25" customHeight="1">
      <c r="A82" s="64">
        <v>81</v>
      </c>
      <c r="B82" s="64" t="s">
        <v>1373</v>
      </c>
      <c r="C82" s="64" t="s">
        <v>1376</v>
      </c>
      <c r="D82" s="65" t="s">
        <v>1462</v>
      </c>
      <c r="E82" s="65" t="s">
        <v>1342</v>
      </c>
      <c r="F82" s="166" t="str">
        <f>VLOOKUP(MP_registro[[#This Row],[TAG]],'DB-EQUIPOS GEN'!$C$11:$H$833,2,0)</f>
        <v>Controlador C300 en Asset Turbina</v>
      </c>
      <c r="G82" s="167" t="str">
        <f>VLOOKUP(MP_registro[[#This Row],[TAG]],'DB-EQUIPOS GEN'!$C$11:$H$833,3,0)</f>
        <v>E. ELECTRICA</v>
      </c>
      <c r="H82" s="167" t="str">
        <f>VLOOKUP(MP_registro[[#This Row],[TAG]],'DB-EQUIPOS GEN'!$C$11:$H$833,4,0)</f>
        <v>GENERACION ENERG. ELEC. TURBO GENERADOR</v>
      </c>
      <c r="I82" s="167" t="str">
        <f>VLOOKUP(MP_registro[[#This Row],[TAG]],'DB-EQUIPOS GEN'!$C$11:$H$833,5,0)</f>
        <v>TURBOGENERADOR 7.5 MW</v>
      </c>
      <c r="J82" s="167" t="str">
        <f>VLOOKUP(MP_registro[[#This Row],[TAG]],'DB-EQUIPOS GEN'!$C$11:$H$833,6,0)</f>
        <v>0430TG010</v>
      </c>
      <c r="K82" s="66">
        <v>44665</v>
      </c>
      <c r="L82" s="65" t="s">
        <v>248</v>
      </c>
      <c r="M82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82" s="64" t="s">
        <v>1664</v>
      </c>
      <c r="O82" s="64" t="s">
        <v>1696</v>
      </c>
    </row>
    <row r="83" spans="1:15" s="42" customFormat="1" ht="35.25" customHeight="1">
      <c r="A83" s="65">
        <v>82</v>
      </c>
      <c r="B83" s="64" t="s">
        <v>1373</v>
      </c>
      <c r="C83" s="64" t="s">
        <v>1376</v>
      </c>
      <c r="D83" s="65" t="s">
        <v>1463</v>
      </c>
      <c r="E83" s="65" t="s">
        <v>1344</v>
      </c>
      <c r="F83" s="166" t="str">
        <f>VLOOKUP(MP_registro[[#This Row],[TAG]],'DB-EQUIPOS GEN'!$C$11:$H$833,2,0)</f>
        <v>Controlador C300 en Asset Difusor</v>
      </c>
      <c r="G83" s="167" t="str">
        <f>VLOOKUP(MP_registro[[#This Row],[TAG]],'DB-EQUIPOS GEN'!$C$11:$H$833,3,0)</f>
        <v>EXTRACCION</v>
      </c>
      <c r="H83" s="166" t="str">
        <f>VLOOKUP(MP_registro[[#This Row],[TAG]],'DB-EQUIPOS GEN'!$C$11:$H$833,4,0)</f>
        <v>DIFUSOR</v>
      </c>
      <c r="I83" s="166" t="str">
        <f>VLOOKUP(MP_registro[[#This Row],[TAG]],'DB-EQUIPOS GEN'!$C$11:$H$833,5,0)</f>
        <v>DIFUSOR</v>
      </c>
      <c r="J83" s="166" t="str">
        <f>VLOOKUP(MP_registro[[#This Row],[TAG]],'DB-EQUIPOS GEN'!$C$11:$H$833,6,0)</f>
        <v>0205DF180</v>
      </c>
      <c r="K83" s="67">
        <v>44665</v>
      </c>
      <c r="L83" s="65" t="s">
        <v>248</v>
      </c>
      <c r="M83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83" s="64" t="s">
        <v>1664</v>
      </c>
      <c r="O83" s="64" t="s">
        <v>1696</v>
      </c>
    </row>
    <row r="84" spans="1:15" s="42" customFormat="1" ht="35.25" customHeight="1">
      <c r="A84" s="64">
        <v>83</v>
      </c>
      <c r="B84" s="64" t="s">
        <v>1373</v>
      </c>
      <c r="C84" s="64" t="s">
        <v>1376</v>
      </c>
      <c r="D84" s="65" t="s">
        <v>1464</v>
      </c>
      <c r="E84" s="65" t="s">
        <v>1346</v>
      </c>
      <c r="F84" s="166" t="str">
        <f>VLOOKUP(MP_registro[[#This Row],[TAG]],'DB-EQUIPOS GEN'!$C$11:$H$833,2,0)</f>
        <v>Controlador C300 en Asset Process House</v>
      </c>
      <c r="G84" s="167" t="str">
        <f>VLOOKUP(MP_registro[[#This Row],[TAG]],'DB-EQUIPOS GEN'!$C$11:$H$833,3,0)</f>
        <v>PRODUCCION</v>
      </c>
      <c r="H84" s="167" t="str">
        <f>VLOOKUP(MP_registro[[#This Row],[TAG]],'DB-EQUIPOS GEN'!$C$11:$H$833,4,0)</f>
        <v>EVAPORACION DE JUGO</v>
      </c>
      <c r="I84" s="167" t="str">
        <f>VLOOKUP(MP_registro[[#This Row],[TAG]],'DB-EQUIPOS GEN'!$C$11:$H$833,5,0)</f>
        <v>EVAPORADOR FFE 1</v>
      </c>
      <c r="J84" s="167" t="str">
        <f>VLOOKUP(MP_registro[[#This Row],[TAG]],'DB-EQUIPOS GEN'!$C$11:$H$833,6,0)</f>
        <v>0320EV010</v>
      </c>
      <c r="K84" s="66">
        <v>44664</v>
      </c>
      <c r="L84" s="65" t="s">
        <v>248</v>
      </c>
      <c r="M84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84" s="64" t="s">
        <v>1664</v>
      </c>
      <c r="O84" s="64" t="s">
        <v>1696</v>
      </c>
    </row>
    <row r="85" spans="1:15" s="42" customFormat="1" ht="35.25" customHeight="1">
      <c r="A85" s="65">
        <v>84</v>
      </c>
      <c r="B85" s="64" t="s">
        <v>1373</v>
      </c>
      <c r="C85" s="64" t="s">
        <v>1376</v>
      </c>
      <c r="D85" s="65" t="s">
        <v>1465</v>
      </c>
      <c r="E85" s="65" t="s">
        <v>1348</v>
      </c>
      <c r="F85" s="166" t="str">
        <f>VLOOKUP(MP_registro[[#This Row],[TAG]],'DB-EQUIPOS GEN'!$C$11:$H$833,2,0)</f>
        <v>Controlador C300 en Asset Cocimiento</v>
      </c>
      <c r="G85" s="167" t="str">
        <f>VLOOKUP(MP_registro[[#This Row],[TAG]],'DB-EQUIPOS GEN'!$C$11:$H$833,3,0)</f>
        <v>PRODUCCION</v>
      </c>
      <c r="H85" s="166" t="str">
        <f>VLOOKUP(MP_registro[[#This Row],[TAG]],'DB-EQUIPOS GEN'!$C$11:$H$833,4,0)</f>
        <v>CRISTALIZACION POR COCCION</v>
      </c>
      <c r="I85" s="166" t="str">
        <f>VLOOKUP(MP_registro[[#This Row],[TAG]],'DB-EQUIPOS GEN'!$C$11:$H$833,5,0)</f>
        <v>TACHO CONTINUO - A</v>
      </c>
      <c r="J85" s="166" t="str">
        <f>VLOOKUP(MP_registro[[#This Row],[TAG]],'DB-EQUIPOS GEN'!$C$11:$H$833,6,0)</f>
        <v>0335HX200</v>
      </c>
      <c r="K85" s="67">
        <v>44663</v>
      </c>
      <c r="L85" s="65" t="s">
        <v>248</v>
      </c>
      <c r="M85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85" s="64" t="s">
        <v>1664</v>
      </c>
      <c r="O85" s="64" t="s">
        <v>1696</v>
      </c>
    </row>
    <row r="86" spans="1:15" s="42" customFormat="1" ht="35.25" customHeight="1">
      <c r="A86" s="64">
        <v>85</v>
      </c>
      <c r="B86" s="64" t="s">
        <v>1373</v>
      </c>
      <c r="C86" s="64" t="s">
        <v>1376</v>
      </c>
      <c r="D86" s="65" t="s">
        <v>1466</v>
      </c>
      <c r="E86" s="65" t="s">
        <v>1350</v>
      </c>
      <c r="F86" s="166" t="str">
        <f>VLOOKUP(MP_registro[[#This Row],[TAG]],'DB-EQUIPOS GEN'!$C$11:$H$833,2,0)</f>
        <v>Controlador C300 en Asset PH &amp; Cpan</v>
      </c>
      <c r="G86" s="167" t="str">
        <f>VLOOKUP(MP_registro[[#This Row],[TAG]],'DB-EQUIPOS GEN'!$C$11:$H$833,3,0)</f>
        <v>PRODUCCION</v>
      </c>
      <c r="H86" s="167" t="str">
        <f>VLOOKUP(MP_registro[[#This Row],[TAG]],'DB-EQUIPOS GEN'!$C$11:$H$833,4,0)</f>
        <v>CRISTALIZACION POR COCCION</v>
      </c>
      <c r="I86" s="167" t="str">
        <f>VLOOKUP(MP_registro[[#This Row],[TAG]],'DB-EQUIPOS GEN'!$C$11:$H$833,5,0)</f>
        <v>TACHO CONTINUO - A</v>
      </c>
      <c r="J86" s="167" t="str">
        <f>VLOOKUP(MP_registro[[#This Row],[TAG]],'DB-EQUIPOS GEN'!$C$11:$H$833,6,0)</f>
        <v>0335HX200</v>
      </c>
      <c r="K86" s="66">
        <v>44662</v>
      </c>
      <c r="L86" s="65" t="s">
        <v>248</v>
      </c>
      <c r="M86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86" s="64" t="s">
        <v>1664</v>
      </c>
      <c r="O86" s="64" t="s">
        <v>1696</v>
      </c>
    </row>
    <row r="87" spans="1:15" s="42" customFormat="1" ht="35.25" customHeight="1">
      <c r="A87" s="65">
        <v>86</v>
      </c>
      <c r="B87" s="64" t="s">
        <v>1373</v>
      </c>
      <c r="C87" s="64" t="s">
        <v>1376</v>
      </c>
      <c r="D87" s="65" t="s">
        <v>1467</v>
      </c>
      <c r="E87" s="162" t="s">
        <v>2416</v>
      </c>
      <c r="F87" s="166" t="str">
        <f>VLOOKUP(MP_registro[[#This Row],[TAG]],'DB-EQUIPOS GEN'!$C$11:$H$833,2,0)</f>
        <v>Vista Conductor Auxiliar - Superior</v>
      </c>
      <c r="G87" s="167" t="str">
        <f>VLOOKUP(MP_registro[[#This Row],[TAG]],'DB-EQUIPOS GEN'!$C$11:$H$833,3,0)</f>
        <v>EXTRACCION</v>
      </c>
      <c r="H87" s="166" t="str">
        <f>VLOOKUP(MP_registro[[#This Row],[TAG]],'DB-EQUIPOS GEN'!$C$11:$H$833,4,0)</f>
        <v>PREPARACIÓN DE CAÑA</v>
      </c>
      <c r="I87" s="166" t="str">
        <f>VLOOKUP(MP_registro[[#This Row],[TAG]],'DB-EQUIPOS GEN'!$C$11:$H$833,5,0)</f>
        <v>CONDUCTOR AUXILIAR DE CAÑA</v>
      </c>
      <c r="J87" s="166" t="str">
        <f>VLOOKUP(MP_registro[[#This Row],[TAG]],'DB-EQUIPOS GEN'!$C$11:$H$833,6,0)</f>
        <v>0115CV010</v>
      </c>
      <c r="K87" s="67">
        <v>44666</v>
      </c>
      <c r="L87" s="65" t="s">
        <v>247</v>
      </c>
      <c r="M87" s="65" t="s">
        <v>2404</v>
      </c>
      <c r="N87" s="64" t="s">
        <v>1664</v>
      </c>
      <c r="O87" s="64" t="s">
        <v>1696</v>
      </c>
    </row>
    <row r="88" spans="1:15" s="42" customFormat="1" ht="35.25" customHeight="1">
      <c r="A88" s="64">
        <v>87</v>
      </c>
      <c r="B88" s="64" t="s">
        <v>1373</v>
      </c>
      <c r="C88" s="64" t="s">
        <v>1376</v>
      </c>
      <c r="D88" s="65" t="s">
        <v>1468</v>
      </c>
      <c r="E88" s="162" t="s">
        <v>2407</v>
      </c>
      <c r="F88" s="166" t="str">
        <f>VLOOKUP(MP_registro[[#This Row],[TAG]],'DB-EQUIPOS GEN'!$C$11:$H$833,2,0)</f>
        <v>Vista Molino Secador - Conductor Intermedio</v>
      </c>
      <c r="G88" s="167" t="str">
        <f>VLOOKUP(MP_registro[[#This Row],[TAG]],'DB-EQUIPOS GEN'!$C$11:$H$833,3,0)</f>
        <v>EXTRACCION</v>
      </c>
      <c r="H88" s="167" t="str">
        <f>VLOOKUP(MP_registro[[#This Row],[TAG]],'DB-EQUIPOS GEN'!$C$11:$H$833,4,0)</f>
        <v>MOLINOS</v>
      </c>
      <c r="I88" s="167" t="str">
        <f>VLOOKUP(MP_registro[[#This Row],[TAG]],'DB-EQUIPOS GEN'!$C$11:$H$833,5,0)</f>
        <v>CONDUCTOR INTERMEDIO - MOLINO SECADOR</v>
      </c>
      <c r="J88" s="167" t="str">
        <f>VLOOKUP(MP_registro[[#This Row],[TAG]],'DB-EQUIPOS GEN'!$C$11:$H$833,6,0)</f>
        <v>0210CV070</v>
      </c>
      <c r="K88" s="66">
        <v>44663</v>
      </c>
      <c r="L88" s="65" t="s">
        <v>247</v>
      </c>
      <c r="M88" s="65" t="s">
        <v>2404</v>
      </c>
      <c r="N88" s="64" t="s">
        <v>1664</v>
      </c>
      <c r="O88" s="64" t="s">
        <v>1696</v>
      </c>
    </row>
    <row r="89" spans="1:15" s="42" customFormat="1" ht="35.25" customHeight="1">
      <c r="A89" s="65">
        <v>88</v>
      </c>
      <c r="B89" s="64" t="s">
        <v>1373</v>
      </c>
      <c r="C89" s="64" t="s">
        <v>1376</v>
      </c>
      <c r="D89" s="65" t="s">
        <v>1469</v>
      </c>
      <c r="E89" s="65" t="s">
        <v>1640</v>
      </c>
      <c r="F89" s="166" t="str">
        <f>VLOOKUP(MP_registro[[#This Row],[TAG]],'DB-EQUIPOS GEN'!$C$11:$H$833,2,0)</f>
        <v>Conductor de alimentación a difusor y retorno</v>
      </c>
      <c r="G89" s="167" t="str">
        <f>VLOOKUP(MP_registro[[#This Row],[TAG]],'DB-EQUIPOS GEN'!$C$11:$H$833,3,0)</f>
        <v>EXTRACCION</v>
      </c>
      <c r="H89" s="166" t="str">
        <f>VLOOKUP(MP_registro[[#This Row],[TAG]],'DB-EQUIPOS GEN'!$C$11:$H$833,4,0)</f>
        <v>PREPARACIÓN DE CAÑA</v>
      </c>
      <c r="I89" s="166" t="str">
        <f>VLOOKUP(MP_registro[[#This Row],[TAG]],'DB-EQUIPOS GEN'!$C$11:$H$833,5,0)</f>
        <v>CONDUCTOR DE RETORNO</v>
      </c>
      <c r="J89" s="166" t="str">
        <f>VLOOKUP(MP_registro[[#This Row],[TAG]],'DB-EQUIPOS GEN'!$C$11:$H$833,6,0)</f>
        <v>0115CV090</v>
      </c>
      <c r="K89" s="67">
        <v>44667</v>
      </c>
      <c r="L89" s="65" t="s">
        <v>247</v>
      </c>
      <c r="M89" s="65" t="s">
        <v>2404</v>
      </c>
      <c r="N89" s="64" t="s">
        <v>1664</v>
      </c>
      <c r="O89" s="64" t="s">
        <v>1696</v>
      </c>
    </row>
    <row r="90" spans="1:15" s="42" customFormat="1" ht="35.25" customHeight="1">
      <c r="A90" s="64">
        <v>89</v>
      </c>
      <c r="B90" s="64" t="s">
        <v>1373</v>
      </c>
      <c r="C90" s="64" t="s">
        <v>1376</v>
      </c>
      <c r="D90" s="65" t="s">
        <v>1470</v>
      </c>
      <c r="E90" s="65" t="s">
        <v>1641</v>
      </c>
      <c r="F90" s="166" t="str">
        <f>VLOOKUP(MP_registro[[#This Row],[TAG]],'DB-EQUIPOS GEN'!$C$11:$H$833,2,0)</f>
        <v>Mesa de caña</v>
      </c>
      <c r="G90" s="167" t="str">
        <f>VLOOKUP(MP_registro[[#This Row],[TAG]],'DB-EQUIPOS GEN'!$C$11:$H$833,3,0)</f>
        <v>EXTRACCION</v>
      </c>
      <c r="H90" s="167" t="str">
        <f>VLOOKUP(MP_registro[[#This Row],[TAG]],'DB-EQUIPOS GEN'!$C$11:$H$833,4,0)</f>
        <v>RECEPCIÓN DE CAÑA</v>
      </c>
      <c r="I90" s="167" t="str">
        <f>VLOOKUP(MP_registro[[#This Row],[TAG]],'DB-EQUIPOS GEN'!$C$11:$H$833,5,0)</f>
        <v>MESA DE CAÑA</v>
      </c>
      <c r="J90" s="167" t="str">
        <f>VLOOKUP(MP_registro[[#This Row],[TAG]],'DB-EQUIPOS GEN'!$C$11:$H$833,6,0)</f>
        <v>0110FE019</v>
      </c>
      <c r="K90" s="66">
        <v>44666</v>
      </c>
      <c r="L90" s="65" t="s">
        <v>247</v>
      </c>
      <c r="M90" s="65" t="s">
        <v>2404</v>
      </c>
      <c r="N90" s="64" t="s">
        <v>1664</v>
      </c>
      <c r="O90" s="64" t="s">
        <v>1696</v>
      </c>
    </row>
    <row r="91" spans="1:15" s="42" customFormat="1" ht="35.25" customHeight="1">
      <c r="A91" s="65">
        <v>90</v>
      </c>
      <c r="B91" s="64" t="s">
        <v>1373</v>
      </c>
      <c r="C91" s="64" t="s">
        <v>1376</v>
      </c>
      <c r="D91" s="65" t="s">
        <v>1471</v>
      </c>
      <c r="E91" s="65" t="s">
        <v>1642</v>
      </c>
      <c r="F91" s="166" t="str">
        <f>VLOOKUP(MP_registro[[#This Row],[TAG]],'DB-EQUIPOS GEN'!$C$11:$H$833,2,0)</f>
        <v>Salida de bagazo de molino secador</v>
      </c>
      <c r="G91" s="167" t="str">
        <f>VLOOKUP(MP_registro[[#This Row],[TAG]],'DB-EQUIPOS GEN'!$C$11:$H$833,3,0)</f>
        <v>EXTRACCION</v>
      </c>
      <c r="H91" s="166" t="str">
        <f>VLOOKUP(MP_registro[[#This Row],[TAG]],'DB-EQUIPOS GEN'!$C$11:$H$833,4,0)</f>
        <v>MOLINOS</v>
      </c>
      <c r="I91" s="166" t="str">
        <f>VLOOKUP(MP_registro[[#This Row],[TAG]],'DB-EQUIPOS GEN'!$C$11:$H$833,5,0)</f>
        <v>MOLINO SECADOR</v>
      </c>
      <c r="J91" s="166" t="str">
        <f>VLOOKUP(MP_registro[[#This Row],[TAG]],'DB-EQUIPOS GEN'!$C$11:$H$833,6,0)</f>
        <v>0210MM090</v>
      </c>
      <c r="K91" s="67">
        <v>44667</v>
      </c>
      <c r="L91" s="65" t="s">
        <v>247</v>
      </c>
      <c r="M91" s="65" t="s">
        <v>2404</v>
      </c>
      <c r="N91" s="64" t="s">
        <v>1664</v>
      </c>
      <c r="O91" s="64" t="s">
        <v>1696</v>
      </c>
    </row>
    <row r="92" spans="1:15" s="42" customFormat="1" ht="35.25" customHeight="1">
      <c r="A92" s="64">
        <v>91</v>
      </c>
      <c r="B92" s="64" t="s">
        <v>1373</v>
      </c>
      <c r="C92" s="64" t="s">
        <v>1376</v>
      </c>
      <c r="D92" s="65" t="s">
        <v>1472</v>
      </c>
      <c r="E92" s="65" t="s">
        <v>1643</v>
      </c>
      <c r="F92" s="166" t="str">
        <f>VLOOKUP(MP_registro[[#This Row],[TAG]],'DB-EQUIPOS GEN'!$C$11:$H$833,2,0)</f>
        <v>Nivelador de cama de bagazo en difusor</v>
      </c>
      <c r="G92" s="167" t="str">
        <f>VLOOKUP(MP_registro[[#This Row],[TAG]],'DB-EQUIPOS GEN'!$C$11:$H$833,3,0)</f>
        <v>EXTRACCION</v>
      </c>
      <c r="H92" s="167" t="str">
        <f>VLOOKUP(MP_registro[[#This Row],[TAG]],'DB-EQUIPOS GEN'!$C$11:$H$833,4,0)</f>
        <v>DIFUSOR</v>
      </c>
      <c r="I92" s="167" t="str">
        <f>VLOOKUP(MP_registro[[#This Row],[TAG]],'DB-EQUIPOS GEN'!$C$11:$H$833,5,0)</f>
        <v>CONDUCTOR TRANSVERSAL</v>
      </c>
      <c r="J92" s="167" t="str">
        <f>VLOOKUP(MP_registro[[#This Row],[TAG]],'DB-EQUIPOS GEN'!$C$11:$H$833,6,0)</f>
        <v>0205CV190</v>
      </c>
      <c r="K92" s="66">
        <v>44666</v>
      </c>
      <c r="L92" s="65" t="s">
        <v>247</v>
      </c>
      <c r="M92" s="65" t="s">
        <v>2404</v>
      </c>
      <c r="N92" s="64" t="s">
        <v>1664</v>
      </c>
      <c r="O92" s="64" t="s">
        <v>1696</v>
      </c>
    </row>
    <row r="93" spans="1:15" s="42" customFormat="1" ht="35.25" customHeight="1">
      <c r="A93" s="65">
        <v>92</v>
      </c>
      <c r="B93" s="64" t="s">
        <v>1373</v>
      </c>
      <c r="C93" s="64" t="s">
        <v>1376</v>
      </c>
      <c r="D93" s="65" t="s">
        <v>1473</v>
      </c>
      <c r="E93" s="65" t="s">
        <v>1644</v>
      </c>
      <c r="F93" s="166" t="str">
        <f>VLOOKUP(MP_registro[[#This Row],[TAG]],'DB-EQUIPOS GEN'!$C$11:$H$833,2,0)</f>
        <v>Explanada de Turbina Triveni</v>
      </c>
      <c r="G93" s="167" t="str">
        <f>VLOOKUP(MP_registro[[#This Row],[TAG]],'DB-EQUIPOS GEN'!$C$11:$H$833,3,0)</f>
        <v>E. ELECTRICA</v>
      </c>
      <c r="H93" s="166" t="str">
        <f>VLOOKUP(MP_registro[[#This Row],[TAG]],'DB-EQUIPOS GEN'!$C$11:$H$833,4,0)</f>
        <v>GENERACIÓN ENERG. ELEC. TURBO GENERADOR</v>
      </c>
      <c r="I93" s="166" t="str">
        <f>VLOOKUP(MP_registro[[#This Row],[TAG]],'DB-EQUIPOS GEN'!$C$11:$H$833,5,0)</f>
        <v>TURBOGENERADOR TRIVENI 23.2 MW</v>
      </c>
      <c r="J93" s="166" t="str">
        <f>VLOOKUP(MP_registro[[#This Row],[TAG]],'DB-EQUIPOS GEN'!$C$11:$H$833,6,0)</f>
        <v>0430TG020</v>
      </c>
      <c r="K93" s="67">
        <v>44667</v>
      </c>
      <c r="L93" s="65" t="s">
        <v>245</v>
      </c>
      <c r="M93" s="65" t="s">
        <v>2396</v>
      </c>
      <c r="N93" s="64" t="s">
        <v>1664</v>
      </c>
      <c r="O93" s="64" t="s">
        <v>1696</v>
      </c>
    </row>
    <row r="94" spans="1:15" s="42" customFormat="1" ht="35.25" customHeight="1">
      <c r="A94" s="64">
        <v>93</v>
      </c>
      <c r="B94" s="64" t="s">
        <v>1373</v>
      </c>
      <c r="C94" s="64" t="s">
        <v>1376</v>
      </c>
      <c r="D94" s="65" t="s">
        <v>1474</v>
      </c>
      <c r="E94" s="65" t="s">
        <v>1645</v>
      </c>
      <c r="F94" s="166" t="str">
        <f>VLOOKUP(MP_registro[[#This Row],[TAG]],'DB-EQUIPOS GEN'!$C$11:$H$833,2,0)</f>
        <v>Tamiz rotativo</v>
      </c>
      <c r="G94" s="167" t="str">
        <f>VLOOKUP(MP_registro[[#This Row],[TAG]],'DB-EQUIPOS GEN'!$C$11:$H$833,3,0)</f>
        <v>EXTRACCION</v>
      </c>
      <c r="H94" s="167" t="str">
        <f>VLOOKUP(MP_registro[[#This Row],[TAG]],'DB-EQUIPOS GEN'!$C$11:$H$833,4,0)</f>
        <v>DIFUSOR</v>
      </c>
      <c r="I94" s="167" t="str">
        <f>VLOOKUP(MP_registro[[#This Row],[TAG]],'DB-EQUIPOS GEN'!$C$11:$H$833,5,0)</f>
        <v>TAMIZ ROTATIVO</v>
      </c>
      <c r="J94" s="167" t="str">
        <f>VLOOKUP(MP_registro[[#This Row],[TAG]],'DB-EQUIPOS GEN'!$C$11:$H$833,6,0)</f>
        <v>0305FL010</v>
      </c>
      <c r="K94" s="66">
        <v>44666</v>
      </c>
      <c r="L94" s="65" t="s">
        <v>245</v>
      </c>
      <c r="M94" s="64" t="s">
        <v>2396</v>
      </c>
      <c r="N94" s="64" t="s">
        <v>1664</v>
      </c>
      <c r="O94" s="64" t="s">
        <v>1696</v>
      </c>
    </row>
    <row r="95" spans="1:15" s="42" customFormat="1" ht="35.25" customHeight="1">
      <c r="A95" s="65">
        <v>94</v>
      </c>
      <c r="B95" s="64" t="s">
        <v>1373</v>
      </c>
      <c r="C95" s="64" t="s">
        <v>1376</v>
      </c>
      <c r="D95" s="65" t="s">
        <v>1475</v>
      </c>
      <c r="E95" s="65" t="s">
        <v>1646</v>
      </c>
      <c r="F95" s="166" t="str">
        <f>VLOOKUP(MP_registro[[#This Row],[TAG]],'DB-EQUIPOS GEN'!$C$11:$H$833,2,0)</f>
        <v>Segundo nivel de Turbina TGM</v>
      </c>
      <c r="G95" s="167" t="str">
        <f>VLOOKUP(MP_registro[[#This Row],[TAG]],'DB-EQUIPOS GEN'!$C$11:$H$833,3,0)</f>
        <v>E. ELECTRICA</v>
      </c>
      <c r="H95" s="166" t="str">
        <f>VLOOKUP(MP_registro[[#This Row],[TAG]],'DB-EQUIPOS GEN'!$C$11:$H$833,4,0)</f>
        <v>SISTEMA DE ENFRIAMIENTO</v>
      </c>
      <c r="I95" s="166" t="str">
        <f>VLOOKUP(MP_registro[[#This Row],[TAG]],'DB-EQUIPOS GEN'!$C$11:$H$833,5,0)</f>
        <v>TORRE DE ENFRIAMIENTO MARLEY - TG TGM</v>
      </c>
      <c r="J95" s="166" t="str">
        <f>VLOOKUP(MP_registro[[#This Row],[TAG]],'DB-EQUIPOS GEN'!$C$11:$H$833,6,0)</f>
        <v>0430CT050</v>
      </c>
      <c r="K95" s="67">
        <v>44668</v>
      </c>
      <c r="L95" s="65" t="s">
        <v>245</v>
      </c>
      <c r="M95" s="65" t="s">
        <v>2396</v>
      </c>
      <c r="N95" s="64" t="s">
        <v>1664</v>
      </c>
      <c r="O95" s="64" t="s">
        <v>1696</v>
      </c>
    </row>
    <row r="96" spans="1:15" s="42" customFormat="1" ht="35.25" customHeight="1">
      <c r="A96" s="64">
        <v>95</v>
      </c>
      <c r="B96" s="64" t="s">
        <v>1373</v>
      </c>
      <c r="C96" s="64" t="s">
        <v>1376</v>
      </c>
      <c r="D96" s="65" t="s">
        <v>1476</v>
      </c>
      <c r="E96" s="65" t="s">
        <v>1647</v>
      </c>
      <c r="F96" s="166" t="str">
        <f>VLOOKUP(MP_registro[[#This Row],[TAG]],'DB-EQUIPOS GEN'!$C$11:$H$833,2,0)</f>
        <v>Explanada frontal de Turbina Triveni</v>
      </c>
      <c r="G96" s="167" t="str">
        <f>VLOOKUP(MP_registro[[#This Row],[TAG]],'DB-EQUIPOS GEN'!$C$11:$H$833,3,0)</f>
        <v>E. ELECTRICA</v>
      </c>
      <c r="H96" s="167" t="str">
        <f>VLOOKUP(MP_registro[[#This Row],[TAG]],'DB-EQUIPOS GEN'!$C$11:$H$833,4,0)</f>
        <v>GENERACIÓN ENERG. ELEC. TURBO GENERADOR</v>
      </c>
      <c r="I96" s="167" t="str">
        <f>VLOOKUP(MP_registro[[#This Row],[TAG]],'DB-EQUIPOS GEN'!$C$11:$H$833,5,0)</f>
        <v>TURBOGENERADOR TRIVENI 23.2 MW</v>
      </c>
      <c r="J96" s="167" t="str">
        <f>VLOOKUP(MP_registro[[#This Row],[TAG]],'DB-EQUIPOS GEN'!$C$11:$H$833,6,0)</f>
        <v>0430TG020</v>
      </c>
      <c r="K96" s="66">
        <v>44663</v>
      </c>
      <c r="L96" s="65" t="s">
        <v>245</v>
      </c>
      <c r="M96" s="64" t="s">
        <v>2396</v>
      </c>
      <c r="N96" s="64" t="s">
        <v>1664</v>
      </c>
      <c r="O96" s="64" t="s">
        <v>1696</v>
      </c>
    </row>
    <row r="97" spans="1:15" s="42" customFormat="1" ht="35.25" customHeight="1">
      <c r="A97" s="65">
        <v>96</v>
      </c>
      <c r="B97" s="64" t="s">
        <v>1373</v>
      </c>
      <c r="C97" s="64" t="s">
        <v>1376</v>
      </c>
      <c r="D97" s="65" t="s">
        <v>1477</v>
      </c>
      <c r="E97" s="65" t="s">
        <v>1648</v>
      </c>
      <c r="F97" s="166" t="str">
        <f>VLOOKUP(MP_registro[[#This Row],[TAG]],'DB-EQUIPOS GEN'!$C$11:$H$833,2,0)</f>
        <v>Nivel de agua en domo</v>
      </c>
      <c r="G97" s="167" t="str">
        <f>VLOOKUP(MP_registro[[#This Row],[TAG]],'DB-EQUIPOS GEN'!$C$11:$H$833,3,0)</f>
        <v>E. TERMICA</v>
      </c>
      <c r="H97" s="166" t="str">
        <f>VLOOKUP(MP_registro[[#This Row],[TAG]],'DB-EQUIPOS GEN'!$C$11:$H$833,4,0)</f>
        <v>GENERACIÓN DE VAPOR</v>
      </c>
      <c r="I97" s="166" t="str">
        <f>VLOOKUP(MP_registro[[#This Row],[TAG]],'DB-EQUIPOS GEN'!$C$11:$H$833,5,0)</f>
        <v>DOMO SUPERIOR</v>
      </c>
      <c r="J97" s="166" t="str">
        <f>VLOOKUP(MP_registro[[#This Row],[TAG]],'DB-EQUIPOS GEN'!$C$11:$H$833,6,0)</f>
        <v>0405DO020</v>
      </c>
      <c r="K97" s="67">
        <v>44662</v>
      </c>
      <c r="L97" s="65" t="s">
        <v>245</v>
      </c>
      <c r="M97" s="65" t="s">
        <v>2396</v>
      </c>
      <c r="N97" s="64" t="s">
        <v>1664</v>
      </c>
      <c r="O97" s="64" t="s">
        <v>1696</v>
      </c>
    </row>
    <row r="98" spans="1:15" s="42" customFormat="1" ht="35.25" customHeight="1">
      <c r="A98" s="64">
        <v>97</v>
      </c>
      <c r="B98" s="64" t="s">
        <v>1373</v>
      </c>
      <c r="C98" s="64" t="s">
        <v>1376</v>
      </c>
      <c r="D98" s="65" t="s">
        <v>1478</v>
      </c>
      <c r="E98" s="65" t="s">
        <v>1649</v>
      </c>
      <c r="F98" s="166" t="str">
        <f>VLOOKUP(MP_registro[[#This Row],[TAG]],'DB-EQUIPOS GEN'!$C$11:$H$833,2,0)</f>
        <v>Chute alimentadores de bagazo</v>
      </c>
      <c r="G98" s="167" t="str">
        <f>VLOOKUP(MP_registro[[#This Row],[TAG]],'DB-EQUIPOS GEN'!$C$11:$H$833,3,0)</f>
        <v>E. TERMICA</v>
      </c>
      <c r="H98" s="167" t="str">
        <f>VLOOKUP(MP_registro[[#This Row],[TAG]],'DB-EQUIPOS GEN'!$C$11:$H$833,4,0)</f>
        <v>TRANSPORTE DE BAGAZO</v>
      </c>
      <c r="I98" s="167" t="str">
        <f>VLOOKUP(MP_registro[[#This Row],[TAG]],'DB-EQUIPOS GEN'!$C$11:$H$833,5,0)</f>
        <v>ALIMENTADOR DE BAGAZO 1</v>
      </c>
      <c r="J98" s="167" t="str">
        <f>VLOOKUP(MP_registro[[#This Row],[TAG]],'DB-EQUIPOS GEN'!$C$11:$H$833,6,0)</f>
        <v>0405RV240</v>
      </c>
      <c r="K98" s="66">
        <v>44662</v>
      </c>
      <c r="L98" s="65" t="s">
        <v>245</v>
      </c>
      <c r="M98" s="64" t="s">
        <v>2396</v>
      </c>
      <c r="N98" s="64" t="s">
        <v>1664</v>
      </c>
      <c r="O98" s="64" t="s">
        <v>1696</v>
      </c>
    </row>
    <row r="99" spans="1:15" s="42" customFormat="1" ht="35.25" customHeight="1">
      <c r="A99" s="65">
        <v>98</v>
      </c>
      <c r="B99" s="64" t="s">
        <v>1373</v>
      </c>
      <c r="C99" s="64" t="s">
        <v>1376</v>
      </c>
      <c r="D99" s="65" t="s">
        <v>1479</v>
      </c>
      <c r="E99" s="65" t="s">
        <v>1650</v>
      </c>
      <c r="F99" s="166" t="str">
        <f>VLOOKUP(MP_registro[[#This Row],[TAG]],'DB-EQUIPOS GEN'!$C$11:$H$833,2,0)</f>
        <v>Faja 1003 - Conductor distribuidor de bagazo</v>
      </c>
      <c r="G99" s="167" t="str">
        <f>VLOOKUP(MP_registro[[#This Row],[TAG]],'DB-EQUIPOS GEN'!$C$11:$H$833,3,0)</f>
        <v>E. TERMICA</v>
      </c>
      <c r="H99" s="166" t="str">
        <f>VLOOKUP(MP_registro[[#This Row],[TAG]],'DB-EQUIPOS GEN'!$C$11:$H$833,4,0)</f>
        <v>TRANSPORTE DE BAGAZO</v>
      </c>
      <c r="I99" s="166" t="str">
        <f>VLOOKUP(MP_registro[[#This Row],[TAG]],'DB-EQUIPOS GEN'!$C$11:$H$833,5,0)</f>
        <v>TRANSPORTADOR DE BAGAZO 1003</v>
      </c>
      <c r="J99" s="166" t="str">
        <f>VLOOKUP(MP_registro[[#This Row],[TAG]],'DB-EQUIPOS GEN'!$C$11:$H$833,6,0)</f>
        <v>0805CV060</v>
      </c>
      <c r="K99" s="67">
        <v>44662</v>
      </c>
      <c r="L99" s="64" t="s">
        <v>249</v>
      </c>
      <c r="M99" s="64" t="s">
        <v>2403</v>
      </c>
      <c r="N99" s="64" t="s">
        <v>1664</v>
      </c>
      <c r="O99" s="64" t="s">
        <v>1696</v>
      </c>
    </row>
    <row r="100" spans="1:15" s="42" customFormat="1" ht="35.25" customHeight="1">
      <c r="A100" s="64">
        <v>99</v>
      </c>
      <c r="B100" s="64" t="s">
        <v>1373</v>
      </c>
      <c r="C100" s="64" t="s">
        <v>1376</v>
      </c>
      <c r="D100" s="65" t="s">
        <v>1480</v>
      </c>
      <c r="E100" s="65" t="s">
        <v>1651</v>
      </c>
      <c r="F100" s="166" t="str">
        <f>VLOOKUP(MP_registro[[#This Row],[TAG]],'DB-EQUIPOS GEN'!$C$11:$H$833,2,0)</f>
        <v>Faja 1008 - Tolva de retorno de bagazo</v>
      </c>
      <c r="G100" s="167" t="str">
        <f>VLOOKUP(MP_registro[[#This Row],[TAG]],'DB-EQUIPOS GEN'!$C$11:$H$833,3,0)</f>
        <v>E. TERMICA</v>
      </c>
      <c r="H100" s="167" t="str">
        <f>VLOOKUP(MP_registro[[#This Row],[TAG]],'DB-EQUIPOS GEN'!$C$11:$H$833,4,0)</f>
        <v>TRANSPORTE DE BAGAZO</v>
      </c>
      <c r="I100" s="167" t="str">
        <f>VLOOKUP(MP_registro[[#This Row],[TAG]],'DB-EQUIPOS GEN'!$C$11:$H$833,5,0)</f>
        <v>FAJA TRANSPORTADORA 1008</v>
      </c>
      <c r="J100" s="167" t="str">
        <f>VLOOKUP(MP_registro[[#This Row],[TAG]],'DB-EQUIPOS GEN'!$C$11:$H$833,6,0)</f>
        <v>0805CV100</v>
      </c>
      <c r="K100" s="66">
        <v>44662</v>
      </c>
      <c r="L100" s="64" t="s">
        <v>249</v>
      </c>
      <c r="M100" s="64" t="s">
        <v>2403</v>
      </c>
      <c r="N100" s="64" t="s">
        <v>1664</v>
      </c>
      <c r="O100" s="64" t="s">
        <v>1696</v>
      </c>
    </row>
    <row r="101" spans="1:15" s="42" customFormat="1" ht="35.25" customHeight="1">
      <c r="A101" s="65">
        <v>100</v>
      </c>
      <c r="B101" s="64" t="s">
        <v>1373</v>
      </c>
      <c r="C101" s="64" t="s">
        <v>1376</v>
      </c>
      <c r="D101" s="65" t="s">
        <v>1481</v>
      </c>
      <c r="E101" s="65" t="s">
        <v>1652</v>
      </c>
      <c r="F101" s="166" t="str">
        <f>VLOOKUP(MP_registro[[#This Row],[TAG]],'DB-EQUIPOS GEN'!$C$11:$H$833,2,0)</f>
        <v>Faja 1006A - Patio de Bagazo</v>
      </c>
      <c r="G101" s="167" t="str">
        <f>VLOOKUP(MP_registro[[#This Row],[TAG]],'DB-EQUIPOS GEN'!$C$11:$H$833,3,0)</f>
        <v>E. TERMICA</v>
      </c>
      <c r="H101" s="166" t="str">
        <f>VLOOKUP(MP_registro[[#This Row],[TAG]],'DB-EQUIPOS GEN'!$C$11:$H$833,4,0)</f>
        <v>TRANSPORTE DE BAGAZO</v>
      </c>
      <c r="I101" s="166" t="str">
        <f>VLOOKUP(MP_registro[[#This Row],[TAG]],'DB-EQUIPOS GEN'!$C$11:$H$833,5,0)</f>
        <v>FAJA TRANSPORTADORA 1006 A</v>
      </c>
      <c r="J101" s="166" t="str">
        <f>VLOOKUP(MP_registro[[#This Row],[TAG]],'DB-EQUIPOS GEN'!$C$11:$H$833,6,0)</f>
        <v>0805CV080</v>
      </c>
      <c r="K101" s="67">
        <v>44662</v>
      </c>
      <c r="L101" s="64" t="s">
        <v>249</v>
      </c>
      <c r="M101" s="64" t="s">
        <v>2403</v>
      </c>
      <c r="N101" s="64" t="s">
        <v>1664</v>
      </c>
      <c r="O101" s="64" t="s">
        <v>1696</v>
      </c>
    </row>
    <row r="102" spans="1:15" s="42" customFormat="1" ht="35.25" customHeight="1">
      <c r="A102" s="64">
        <v>101</v>
      </c>
      <c r="B102" s="64" t="s">
        <v>1373</v>
      </c>
      <c r="C102" s="64" t="s">
        <v>1376</v>
      </c>
      <c r="D102" s="65" t="s">
        <v>1482</v>
      </c>
      <c r="E102" s="65" t="s">
        <v>1653</v>
      </c>
      <c r="F102" s="166" t="str">
        <f>VLOOKUP(MP_registro[[#This Row],[TAG]],'DB-EQUIPOS GEN'!$C$11:$H$833,2,0)</f>
        <v>Operación del desviador de bagazo</v>
      </c>
      <c r="G102" s="167" t="str">
        <f>VLOOKUP(MP_registro[[#This Row],[TAG]],'DB-EQUIPOS GEN'!$C$11:$H$833,3,0)</f>
        <v>E. TERMICA</v>
      </c>
      <c r="H102" s="167" t="str">
        <f>VLOOKUP(MP_registro[[#This Row],[TAG]],'DB-EQUIPOS GEN'!$C$11:$H$833,4,0)</f>
        <v>TRANSPORTE DE BAGAZO</v>
      </c>
      <c r="I102" s="167" t="str">
        <f>VLOOKUP(MP_registro[[#This Row],[TAG]],'DB-EQUIPOS GEN'!$C$11:$H$833,5,0)</f>
        <v>FAJA TRANSPORTADORA 1004</v>
      </c>
      <c r="J102" s="167" t="str">
        <f>VLOOKUP(MP_registro[[#This Row],[TAG]],'DB-EQUIPOS GEN'!$C$11:$H$833,6,0)</f>
        <v>0805CV070</v>
      </c>
      <c r="K102" s="66">
        <v>44662</v>
      </c>
      <c r="L102" s="64" t="s">
        <v>249</v>
      </c>
      <c r="M102" s="64" t="s">
        <v>2403</v>
      </c>
      <c r="N102" s="64" t="s">
        <v>1664</v>
      </c>
      <c r="O102" s="64" t="s">
        <v>1696</v>
      </c>
    </row>
    <row r="103" spans="1:15" s="42" customFormat="1" ht="35.25" customHeight="1">
      <c r="A103" s="65">
        <v>102</v>
      </c>
      <c r="B103" s="64" t="s">
        <v>1373</v>
      </c>
      <c r="C103" s="64" t="s">
        <v>1376</v>
      </c>
      <c r="D103" s="65" t="s">
        <v>1483</v>
      </c>
      <c r="E103" s="65" t="s">
        <v>1654</v>
      </c>
      <c r="F103" s="166" t="str">
        <f>VLOOKUP(MP_registro[[#This Row],[TAG]],'DB-EQUIPOS GEN'!$C$11:$H$833,2,0)</f>
        <v>Vista global de sala turbina TGM</v>
      </c>
      <c r="G103" s="167" t="str">
        <f>VLOOKUP(MP_registro[[#This Row],[TAG]],'DB-EQUIPOS GEN'!$C$11:$H$833,3,0)</f>
        <v>E. ELECTRICA</v>
      </c>
      <c r="H103" s="166" t="str">
        <f>VLOOKUP(MP_registro[[#This Row],[TAG]],'DB-EQUIPOS GEN'!$C$11:$H$833,4,0)</f>
        <v>SISTEMA DE ENFRIAMIENTO</v>
      </c>
      <c r="I103" s="166" t="str">
        <f>VLOOKUP(MP_registro[[#This Row],[TAG]],'DB-EQUIPOS GEN'!$C$11:$H$833,5,0)</f>
        <v>TORRE DE ENFRIAMIENTO MARLEY - TG TGM</v>
      </c>
      <c r="J103" s="166" t="str">
        <f>VLOOKUP(MP_registro[[#This Row],[TAG]],'DB-EQUIPOS GEN'!$C$11:$H$833,6,0)</f>
        <v>0430CT050</v>
      </c>
      <c r="K103" s="67">
        <v>44663</v>
      </c>
      <c r="L103" s="64" t="s">
        <v>249</v>
      </c>
      <c r="M103" s="64" t="s">
        <v>2403</v>
      </c>
      <c r="N103" s="64" t="s">
        <v>1664</v>
      </c>
      <c r="O103" s="64" t="s">
        <v>1696</v>
      </c>
    </row>
    <row r="104" spans="1:15" s="42" customFormat="1" ht="35.25" customHeight="1">
      <c r="A104" s="64">
        <v>103</v>
      </c>
      <c r="B104" s="64" t="s">
        <v>1373</v>
      </c>
      <c r="C104" s="64" t="s">
        <v>1376</v>
      </c>
      <c r="D104" s="65" t="s">
        <v>1484</v>
      </c>
      <c r="E104" s="65" t="s">
        <v>1655</v>
      </c>
      <c r="F104" s="166" t="str">
        <f>VLOOKUP(MP_registro[[#This Row],[TAG]],'DB-EQUIPOS GEN'!$C$11:$H$833,2,0)</f>
        <v>Vista global de planta de osmosis</v>
      </c>
      <c r="G104" s="167" t="str">
        <f>VLOOKUP(MP_registro[[#This Row],[TAG]],'DB-EQUIPOS GEN'!$C$11:$H$833,3,0)</f>
        <v>E. TERMICA</v>
      </c>
      <c r="H104" s="167" t="str">
        <f>VLOOKUP(MP_registro[[#This Row],[TAG]],'DB-EQUIPOS GEN'!$C$11:$H$833,4,0)</f>
        <v>PLANTA TRATAMIENTO OSMOSIS INVERSA</v>
      </c>
      <c r="I104" s="167" t="str">
        <f>VLOOKUP(MP_registro[[#This Row],[TAG]],'DB-EQUIPOS GEN'!$C$11:$H$833,5,0)</f>
        <v>PLANTA DE OSMOSIS INVERSA</v>
      </c>
      <c r="J104" s="167" t="str">
        <f>VLOOKUP(MP_registro[[#This Row],[TAG]],'DB-EQUIPOS GEN'!$C$11:$H$833,6,0)</f>
        <v>0425OI101</v>
      </c>
      <c r="K104" s="66">
        <v>44666</v>
      </c>
      <c r="L104" s="64" t="s">
        <v>249</v>
      </c>
      <c r="M104" s="64" t="s">
        <v>2403</v>
      </c>
      <c r="N104" s="64" t="s">
        <v>1664</v>
      </c>
      <c r="O104" s="64" t="s">
        <v>1696</v>
      </c>
    </row>
    <row r="105" spans="1:15" s="42" customFormat="1" ht="35.25" customHeight="1">
      <c r="A105" s="65">
        <v>104</v>
      </c>
      <c r="B105" s="64" t="s">
        <v>261</v>
      </c>
      <c r="C105" s="64" t="s">
        <v>1377</v>
      </c>
      <c r="D105" s="65" t="s">
        <v>1485</v>
      </c>
      <c r="E105" s="65" t="s">
        <v>288</v>
      </c>
      <c r="F105" s="166" t="str">
        <f>VLOOKUP(MP_registro[[#This Row],[TAG]],'DB-EQUIPOS GEN'!$C$11:$H$833,2,0)</f>
        <v>Nivel de jugo del tanque flash</v>
      </c>
      <c r="G105" s="167" t="str">
        <f>VLOOKUP(MP_registro[[#This Row],[TAG]],'DB-EQUIPOS GEN'!$C$11:$H$833,3,0)</f>
        <v>PRODUCCION</v>
      </c>
      <c r="H105" s="166" t="str">
        <f>VLOOKUP(MP_registro[[#This Row],[TAG]],'DB-EQUIPOS GEN'!$C$11:$H$833,4,0)</f>
        <v>CLARIFICACION DE JUGO</v>
      </c>
      <c r="I105" s="166" t="str">
        <f>VLOOKUP(MP_registro[[#This Row],[TAG]],'DB-EQUIPOS GEN'!$C$11:$H$833,5,0)</f>
        <v>TANQUE FLASH</v>
      </c>
      <c r="J105" s="166" t="str">
        <f>VLOOKUP(MP_registro[[#This Row],[TAG]],'DB-EQUIPOS GEN'!$C$11:$H$833,6,0)</f>
        <v>0305TK270</v>
      </c>
      <c r="K105" s="67">
        <v>44692</v>
      </c>
      <c r="L105" s="65" t="s">
        <v>247</v>
      </c>
      <c r="M105" s="65" t="s">
        <v>2404</v>
      </c>
      <c r="N105" s="64" t="s">
        <v>1664</v>
      </c>
      <c r="O105" s="64" t="s">
        <v>1696</v>
      </c>
    </row>
    <row r="106" spans="1:15" s="42" customFormat="1" ht="35.25" customHeight="1">
      <c r="A106" s="64">
        <v>105</v>
      </c>
      <c r="B106" s="64" t="s">
        <v>261</v>
      </c>
      <c r="C106" s="64" t="s">
        <v>1377</v>
      </c>
      <c r="D106" s="65" t="s">
        <v>1486</v>
      </c>
      <c r="E106" s="65" t="s">
        <v>344</v>
      </c>
      <c r="F106" s="166" t="str">
        <f>VLOOKUP(MP_registro[[#This Row],[TAG]],'DB-EQUIPOS GEN'!$C$11:$H$833,2,0)</f>
        <v>Nivel de bagazo de chute donelly de molino secador</v>
      </c>
      <c r="G106" s="167" t="str">
        <f>VLOOKUP(MP_registro[[#This Row],[TAG]],'DB-EQUIPOS GEN'!$C$11:$H$833,3,0)</f>
        <v>EXTRACCION</v>
      </c>
      <c r="H106" s="167" t="str">
        <f>VLOOKUP(MP_registro[[#This Row],[TAG]],'DB-EQUIPOS GEN'!$C$11:$H$833,4,0)</f>
        <v>MOLINOS</v>
      </c>
      <c r="I106" s="167" t="str">
        <f>VLOOKUP(MP_registro[[#This Row],[TAG]],'DB-EQUIPOS GEN'!$C$11:$H$833,5,0)</f>
        <v xml:space="preserve">MOLINO SECADOR </v>
      </c>
      <c r="J106" s="167" t="str">
        <f>VLOOKUP(MP_registro[[#This Row],[TAG]],'DB-EQUIPOS GEN'!$C$11:$H$833,6,0)</f>
        <v>0210MM090</v>
      </c>
      <c r="K106" s="66">
        <v>44688</v>
      </c>
      <c r="L106" s="64" t="s">
        <v>249</v>
      </c>
      <c r="M106" s="64" t="s">
        <v>2403</v>
      </c>
      <c r="N106" s="64" t="s">
        <v>1664</v>
      </c>
      <c r="O106" s="64" t="s">
        <v>1696</v>
      </c>
    </row>
    <row r="107" spans="1:15" s="42" customFormat="1" ht="35.25" customHeight="1">
      <c r="A107" s="65">
        <v>106</v>
      </c>
      <c r="B107" s="64" t="s">
        <v>261</v>
      </c>
      <c r="C107" s="64" t="s">
        <v>1377</v>
      </c>
      <c r="D107" s="65" t="s">
        <v>1487</v>
      </c>
      <c r="E107" s="65" t="s">
        <v>338</v>
      </c>
      <c r="F107" s="166" t="str">
        <f>VLOOKUP(MP_registro[[#This Row],[TAG]],'DB-EQUIPOS GEN'!$C$11:$H$833,2,0)</f>
        <v>Flotacion de masa lado motor</v>
      </c>
      <c r="G107" s="167" t="str">
        <f>VLOOKUP(MP_registro[[#This Row],[TAG]],'DB-EQUIPOS GEN'!$C$11:$H$833,3,0)</f>
        <v>EXTRACCION</v>
      </c>
      <c r="H107" s="166" t="str">
        <f>VLOOKUP(MP_registro[[#This Row],[TAG]],'DB-EQUIPOS GEN'!$C$11:$H$833,4,0)</f>
        <v>MOLINOS</v>
      </c>
      <c r="I107" s="166" t="str">
        <f>VLOOKUP(MP_registro[[#This Row],[TAG]],'DB-EQUIPOS GEN'!$C$11:$H$833,5,0)</f>
        <v xml:space="preserve">MOLINO SECADOR </v>
      </c>
      <c r="J107" s="166" t="str">
        <f>VLOOKUP(MP_registro[[#This Row],[TAG]],'DB-EQUIPOS GEN'!$C$11:$H$833,6,0)</f>
        <v>0210MM090</v>
      </c>
      <c r="K107" s="67">
        <v>44686</v>
      </c>
      <c r="L107" s="65" t="s">
        <v>247</v>
      </c>
      <c r="M107" s="65" t="s">
        <v>2404</v>
      </c>
      <c r="N107" s="64" t="s">
        <v>1664</v>
      </c>
      <c r="O107" s="64" t="s">
        <v>1696</v>
      </c>
    </row>
    <row r="108" spans="1:15" s="42" customFormat="1" ht="35.25" customHeight="1">
      <c r="A108" s="64">
        <v>107</v>
      </c>
      <c r="B108" s="64" t="s">
        <v>261</v>
      </c>
      <c r="C108" s="64" t="s">
        <v>1377</v>
      </c>
      <c r="D108" s="65" t="s">
        <v>1488</v>
      </c>
      <c r="E108" s="65" t="s">
        <v>339</v>
      </c>
      <c r="F108" s="166" t="str">
        <f>VLOOKUP(MP_registro[[#This Row],[TAG]],'DB-EQUIPOS GEN'!$C$11:$H$833,2,0)</f>
        <v>Flotacion de masa lado libre</v>
      </c>
      <c r="G108" s="167" t="str">
        <f>VLOOKUP(MP_registro[[#This Row],[TAG]],'DB-EQUIPOS GEN'!$C$11:$H$833,3,0)</f>
        <v>EXTRACCION</v>
      </c>
      <c r="H108" s="167" t="str">
        <f>VLOOKUP(MP_registro[[#This Row],[TAG]],'DB-EQUIPOS GEN'!$C$11:$H$833,4,0)</f>
        <v>MOLINOS</v>
      </c>
      <c r="I108" s="167" t="str">
        <f>VLOOKUP(MP_registro[[#This Row],[TAG]],'DB-EQUIPOS GEN'!$C$11:$H$833,5,0)</f>
        <v xml:space="preserve">MOLINO SECADOR </v>
      </c>
      <c r="J108" s="167" t="str">
        <f>VLOOKUP(MP_registro[[#This Row],[TAG]],'DB-EQUIPOS GEN'!$C$11:$H$833,6,0)</f>
        <v>0210MM090</v>
      </c>
      <c r="K108" s="66">
        <v>44687</v>
      </c>
      <c r="L108" s="64" t="s">
        <v>249</v>
      </c>
      <c r="M108" s="64" t="s">
        <v>2403</v>
      </c>
      <c r="N108" s="64" t="s">
        <v>1664</v>
      </c>
      <c r="O108" s="64" t="s">
        <v>1696</v>
      </c>
    </row>
    <row r="109" spans="1:15" s="42" customFormat="1" ht="35.25" customHeight="1">
      <c r="A109" s="65">
        <v>108</v>
      </c>
      <c r="B109" s="64" t="s">
        <v>261</v>
      </c>
      <c r="C109" s="64" t="s">
        <v>1377</v>
      </c>
      <c r="D109" s="65" t="s">
        <v>1489</v>
      </c>
      <c r="E109" s="65" t="s">
        <v>1179</v>
      </c>
      <c r="F109" s="166" t="str">
        <f>VLOOKUP(MP_registro[[#This Row],[TAG]],'DB-EQUIPOS GEN'!$C$11:$H$833,2,0)</f>
        <v>Valvula control de nivel FFE - 5A</v>
      </c>
      <c r="G109" s="167" t="str">
        <f>VLOOKUP(MP_registro[[#This Row],[TAG]],'DB-EQUIPOS GEN'!$C$11:$H$833,3,0)</f>
        <v>PRODUCCION</v>
      </c>
      <c r="H109" s="166" t="str">
        <f>VLOOKUP(MP_registro[[#This Row],[TAG]],'DB-EQUIPOS GEN'!$C$11:$H$833,4,0)</f>
        <v>EVAPORACION DE JUGO</v>
      </c>
      <c r="I109" s="166" t="str">
        <f>VLOOKUP(MP_registro[[#This Row],[TAG]],'DB-EQUIPOS GEN'!$C$11:$H$833,5,0)</f>
        <v>EVAPORADOR FFE 5A</v>
      </c>
      <c r="J109" s="166" t="str">
        <f>VLOOKUP(MP_registro[[#This Row],[TAG]],'DB-EQUIPOS GEN'!$C$11:$H$833,6,0)</f>
        <v>0320EV060</v>
      </c>
      <c r="K109" s="67">
        <v>44691</v>
      </c>
      <c r="L109" s="65" t="s">
        <v>247</v>
      </c>
      <c r="M109" s="65" t="s">
        <v>2404</v>
      </c>
      <c r="N109" s="64" t="s">
        <v>1664</v>
      </c>
      <c r="O109" s="64" t="s">
        <v>1696</v>
      </c>
    </row>
    <row r="110" spans="1:15" s="42" customFormat="1" ht="35.25" customHeight="1">
      <c r="A110" s="64">
        <v>109</v>
      </c>
      <c r="B110" s="64" t="s">
        <v>261</v>
      </c>
      <c r="C110" s="64" t="s">
        <v>1377</v>
      </c>
      <c r="D110" s="65" t="s">
        <v>1490</v>
      </c>
      <c r="E110" s="65" t="s">
        <v>523</v>
      </c>
      <c r="F110" s="166" t="str">
        <f>VLOOKUP(MP_registro[[#This Row],[TAG]],'DB-EQUIPOS GEN'!$C$11:$H$833,2,0)</f>
        <v>Presion del jugo de recirculacion</v>
      </c>
      <c r="G110" s="167" t="str">
        <f>VLOOKUP(MP_registro[[#This Row],[TAG]],'DB-EQUIPOS GEN'!$C$11:$H$833,3,0)</f>
        <v>PRODUCCION</v>
      </c>
      <c r="H110" s="167" t="str">
        <f>VLOOKUP(MP_registro[[#This Row],[TAG]],'DB-EQUIPOS GEN'!$C$11:$H$833,4,0)</f>
        <v>EVAPORACION DE JUGO</v>
      </c>
      <c r="I110" s="167" t="str">
        <f>VLOOKUP(MP_registro[[#This Row],[TAG]],'DB-EQUIPOS GEN'!$C$11:$H$833,5,0)</f>
        <v>FFE 5A</v>
      </c>
      <c r="J110" s="167" t="str">
        <f>VLOOKUP(MP_registro[[#This Row],[TAG]],'DB-EQUIPOS GEN'!$C$11:$H$833,6,0)</f>
        <v xml:space="preserve"> 0320EV060</v>
      </c>
      <c r="K110" s="66">
        <v>44686</v>
      </c>
      <c r="L110" s="64" t="s">
        <v>249</v>
      </c>
      <c r="M110" s="64" t="s">
        <v>2403</v>
      </c>
      <c r="N110" s="64" t="s">
        <v>1664</v>
      </c>
      <c r="O110" s="64" t="s">
        <v>1696</v>
      </c>
    </row>
    <row r="111" spans="1:15" s="42" customFormat="1" ht="35.25" customHeight="1">
      <c r="A111" s="65">
        <v>110</v>
      </c>
      <c r="B111" s="64" t="s">
        <v>261</v>
      </c>
      <c r="C111" s="64" t="s">
        <v>1377</v>
      </c>
      <c r="D111" s="65" t="s">
        <v>1491</v>
      </c>
      <c r="E111" s="65" t="s">
        <v>1178</v>
      </c>
      <c r="F111" s="166" t="str">
        <f>VLOOKUP(MP_registro[[#This Row],[TAG]],'DB-EQUIPOS GEN'!$C$11:$H$833,2,0)</f>
        <v>Valvula control de nivel FFE - 4B</v>
      </c>
      <c r="G111" s="167" t="str">
        <f>VLOOKUP(MP_registro[[#This Row],[TAG]],'DB-EQUIPOS GEN'!$C$11:$H$833,3,0)</f>
        <v>PRODUCCION</v>
      </c>
      <c r="H111" s="166" t="str">
        <f>VLOOKUP(MP_registro[[#This Row],[TAG]],'DB-EQUIPOS GEN'!$C$11:$H$833,4,0)</f>
        <v>EVAPORACION DE JUGO</v>
      </c>
      <c r="I111" s="166" t="str">
        <f>VLOOKUP(MP_registro[[#This Row],[TAG]],'DB-EQUIPOS GEN'!$C$11:$H$833,5,0)</f>
        <v>EVAPORADOR FFE 4B</v>
      </c>
      <c r="J111" s="166" t="str">
        <f>VLOOKUP(MP_registro[[#This Row],[TAG]],'DB-EQUIPOS GEN'!$C$11:$H$833,6,0)</f>
        <v>0320EV070</v>
      </c>
      <c r="K111" s="67">
        <v>44690</v>
      </c>
      <c r="L111" s="65" t="s">
        <v>247</v>
      </c>
      <c r="M111" s="65" t="s">
        <v>2404</v>
      </c>
      <c r="N111" s="64" t="s">
        <v>1664</v>
      </c>
      <c r="O111" s="64" t="s">
        <v>1696</v>
      </c>
    </row>
    <row r="112" spans="1:15" s="42" customFormat="1" ht="35.25" customHeight="1">
      <c r="A112" s="64">
        <v>111</v>
      </c>
      <c r="B112" s="64" t="s">
        <v>261</v>
      </c>
      <c r="C112" s="64" t="s">
        <v>1377</v>
      </c>
      <c r="D112" s="65" t="s">
        <v>1492</v>
      </c>
      <c r="E112" s="65" t="s">
        <v>531</v>
      </c>
      <c r="F112" s="166" t="str">
        <f>VLOOKUP(MP_registro[[#This Row],[TAG]],'DB-EQUIPOS GEN'!$C$11:$H$833,2,0)</f>
        <v>Presion del jugo de recirculacion</v>
      </c>
      <c r="G112" s="167" t="str">
        <f>VLOOKUP(MP_registro[[#This Row],[TAG]],'DB-EQUIPOS GEN'!$C$11:$H$833,3,0)</f>
        <v>PRODUCCION</v>
      </c>
      <c r="H112" s="167" t="str">
        <f>VLOOKUP(MP_registro[[#This Row],[TAG]],'DB-EQUIPOS GEN'!$C$11:$H$833,4,0)</f>
        <v>EVAPORACION DE JUGO</v>
      </c>
      <c r="I112" s="167" t="str">
        <f>VLOOKUP(MP_registro[[#This Row],[TAG]],'DB-EQUIPOS GEN'!$C$11:$H$833,5,0)</f>
        <v>FFE 4B</v>
      </c>
      <c r="J112" s="167" t="str">
        <f>VLOOKUP(MP_registro[[#This Row],[TAG]],'DB-EQUIPOS GEN'!$C$11:$H$833,6,0)</f>
        <v xml:space="preserve"> 0320EV070</v>
      </c>
      <c r="K112" s="66">
        <v>44687</v>
      </c>
      <c r="L112" s="64" t="s">
        <v>249</v>
      </c>
      <c r="M112" s="64" t="s">
        <v>2403</v>
      </c>
      <c r="N112" s="64" t="s">
        <v>1664</v>
      </c>
      <c r="O112" s="64" t="s">
        <v>1696</v>
      </c>
    </row>
    <row r="113" spans="1:15" s="42" customFormat="1" ht="35.25" customHeight="1">
      <c r="A113" s="65">
        <v>112</v>
      </c>
      <c r="B113" s="64" t="s">
        <v>261</v>
      </c>
      <c r="C113" s="64" t="s">
        <v>1377</v>
      </c>
      <c r="D113" s="65" t="s">
        <v>1493</v>
      </c>
      <c r="E113" s="65" t="s">
        <v>1061</v>
      </c>
      <c r="F113" s="166" t="str">
        <f>VLOOKUP(MP_registro[[#This Row],[TAG]],'DB-EQUIPOS GEN'!$C$11:$H$833,2,0)</f>
        <v>Valvula reductora 1</v>
      </c>
      <c r="G113" s="167" t="str">
        <f>VLOOKUP(MP_registro[[#This Row],[TAG]],'DB-EQUIPOS GEN'!$C$11:$H$833,3,0)</f>
        <v>E. TERMICA</v>
      </c>
      <c r="H113" s="166" t="str">
        <f>VLOOKUP(MP_registro[[#This Row],[TAG]],'DB-EQUIPOS GEN'!$C$11:$H$833,4,0)</f>
        <v>DISTRIBUCION DE VAPOR</v>
      </c>
      <c r="I113" s="166" t="str">
        <f>VLOOKUP(MP_registro[[#This Row],[TAG]],'DB-EQUIPOS GEN'!$C$11:$H$833,5,0)</f>
        <v>REDUCTOR DE DESPACHO DE VAPOR 1</v>
      </c>
      <c r="J113" s="166" t="str">
        <f>VLOOKUP(MP_registro[[#This Row],[TAG]],'DB-EQUIPOS GEN'!$C$11:$H$833,6,0)</f>
        <v>0405RE010</v>
      </c>
      <c r="K113" s="67">
        <v>44689</v>
      </c>
      <c r="L113" s="65" t="s">
        <v>247</v>
      </c>
      <c r="M113" s="65" t="s">
        <v>2404</v>
      </c>
      <c r="N113" s="64" t="s">
        <v>1664</v>
      </c>
      <c r="O113" s="64" t="s">
        <v>1696</v>
      </c>
    </row>
    <row r="114" spans="1:15" s="42" customFormat="1" ht="35.25" customHeight="1">
      <c r="A114" s="64">
        <v>113</v>
      </c>
      <c r="B114" s="64" t="s">
        <v>261</v>
      </c>
      <c r="C114" s="64" t="s">
        <v>1377</v>
      </c>
      <c r="D114" s="65" t="s">
        <v>1494</v>
      </c>
      <c r="E114" s="65" t="s">
        <v>252</v>
      </c>
      <c r="F114" s="166" t="str">
        <f>VLOOKUP(MP_registro[[#This Row],[TAG]],'DB-EQUIPOS GEN'!$C$11:$H$833,2,0)</f>
        <v>Valvula reductora 2</v>
      </c>
      <c r="G114" s="167" t="str">
        <f>VLOOKUP(MP_registro[[#This Row],[TAG]],'DB-EQUIPOS GEN'!$C$11:$H$833,3,0)</f>
        <v>E. TERMICA</v>
      </c>
      <c r="H114" s="167" t="str">
        <f>VLOOKUP(MP_registro[[#This Row],[TAG]],'DB-EQUIPOS GEN'!$C$11:$H$833,4,0)</f>
        <v>DISTRIBUCION DE VAPOR</v>
      </c>
      <c r="I114" s="167" t="str">
        <f>VLOOKUP(MP_registro[[#This Row],[TAG]],'DB-EQUIPOS GEN'!$C$11:$H$833,5,0)</f>
        <v>REDUCTOR DE DESPACHO DE VAPOR 2</v>
      </c>
      <c r="J114" s="167" t="str">
        <f>VLOOKUP(MP_registro[[#This Row],[TAG]],'DB-EQUIPOS GEN'!$C$11:$H$833,6,0)</f>
        <v>0405RE020</v>
      </c>
      <c r="K114" s="66">
        <v>44691</v>
      </c>
      <c r="L114" s="64" t="s">
        <v>249</v>
      </c>
      <c r="M114" s="64" t="s">
        <v>2403</v>
      </c>
      <c r="N114" s="64" t="s">
        <v>1664</v>
      </c>
      <c r="O114" s="64" t="s">
        <v>1696</v>
      </c>
    </row>
    <row r="115" spans="1:15" s="42" customFormat="1" ht="35.25" customHeight="1">
      <c r="A115" s="65">
        <v>114</v>
      </c>
      <c r="B115" s="64" t="s">
        <v>261</v>
      </c>
      <c r="C115" s="64" t="s">
        <v>1377</v>
      </c>
      <c r="D115" s="65" t="s">
        <v>1495</v>
      </c>
      <c r="E115" s="65" t="s">
        <v>734</v>
      </c>
      <c r="F115" s="166" t="str">
        <f>VLOOKUP(MP_registro[[#This Row],[TAG]],'DB-EQUIPOS GEN'!$C$11:$H$833,2,0)</f>
        <v>Brix de masa A - Celda 3</v>
      </c>
      <c r="G115" s="167" t="str">
        <f>VLOOKUP(MP_registro[[#This Row],[TAG]],'DB-EQUIPOS GEN'!$C$11:$H$833,3,0)</f>
        <v>PRODUCCION</v>
      </c>
      <c r="H115" s="166" t="str">
        <f>VLOOKUP(MP_registro[[#This Row],[TAG]],'DB-EQUIPOS GEN'!$C$11:$H$833,4,0)</f>
        <v>CRISTALIZACION POR COCCION</v>
      </c>
      <c r="I115" s="166" t="str">
        <f>VLOOKUP(MP_registro[[#This Row],[TAG]],'DB-EQUIPOS GEN'!$C$11:$H$833,5,0)</f>
        <v xml:space="preserve">TACHO CONTINUO A </v>
      </c>
      <c r="J115" s="166" t="str">
        <f>VLOOKUP(MP_registro[[#This Row],[TAG]],'DB-EQUIPOS GEN'!$C$11:$H$833,6,0)</f>
        <v xml:space="preserve"> 0335HX200</v>
      </c>
      <c r="K115" s="67">
        <v>44696</v>
      </c>
      <c r="L115" s="65" t="s">
        <v>245</v>
      </c>
      <c r="M115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15" s="64" t="s">
        <v>1664</v>
      </c>
      <c r="O115" s="64" t="s">
        <v>1696</v>
      </c>
    </row>
    <row r="116" spans="1:15" s="42" customFormat="1" ht="35.25" customHeight="1">
      <c r="A116" s="64">
        <v>115</v>
      </c>
      <c r="B116" s="64" t="s">
        <v>261</v>
      </c>
      <c r="C116" s="64" t="s">
        <v>1377</v>
      </c>
      <c r="D116" s="65" t="s">
        <v>1496</v>
      </c>
      <c r="E116" s="65" t="s">
        <v>736</v>
      </c>
      <c r="F116" s="166" t="str">
        <f>VLOOKUP(MP_registro[[#This Row],[TAG]],'DB-EQUIPOS GEN'!$C$11:$H$833,2,0)</f>
        <v>Brix de masa A - Celda 4</v>
      </c>
      <c r="G116" s="167" t="str">
        <f>VLOOKUP(MP_registro[[#This Row],[TAG]],'DB-EQUIPOS GEN'!$C$11:$H$833,3,0)</f>
        <v>PRODUCCION</v>
      </c>
      <c r="H116" s="167" t="str">
        <f>VLOOKUP(MP_registro[[#This Row],[TAG]],'DB-EQUIPOS GEN'!$C$11:$H$833,4,0)</f>
        <v>CRISTALIZACION POR COCCION</v>
      </c>
      <c r="I116" s="167" t="str">
        <f>VLOOKUP(MP_registro[[#This Row],[TAG]],'DB-EQUIPOS GEN'!$C$11:$H$833,5,0)</f>
        <v xml:space="preserve">TACHO CONTINUO A </v>
      </c>
      <c r="J116" s="167" t="str">
        <f>VLOOKUP(MP_registro[[#This Row],[TAG]],'DB-EQUIPOS GEN'!$C$11:$H$833,6,0)</f>
        <v xml:space="preserve"> 0335HX200</v>
      </c>
      <c r="K116" s="66">
        <v>44696</v>
      </c>
      <c r="L116" s="64" t="s">
        <v>245</v>
      </c>
      <c r="M116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16" s="64" t="s">
        <v>1664</v>
      </c>
      <c r="O116" s="64" t="s">
        <v>1696</v>
      </c>
    </row>
    <row r="117" spans="1:15" s="42" customFormat="1" ht="35.25" customHeight="1">
      <c r="A117" s="65">
        <v>116</v>
      </c>
      <c r="B117" s="64" t="s">
        <v>261</v>
      </c>
      <c r="C117" s="64" t="s">
        <v>1377</v>
      </c>
      <c r="D117" s="65" t="s">
        <v>1497</v>
      </c>
      <c r="E117" s="65" t="s">
        <v>738</v>
      </c>
      <c r="F117" s="166" t="str">
        <f>VLOOKUP(MP_registro[[#This Row],[TAG]],'DB-EQUIPOS GEN'!$C$11:$H$833,2,0)</f>
        <v>Brix de masa A - Celda 5</v>
      </c>
      <c r="G117" s="167" t="str">
        <f>VLOOKUP(MP_registro[[#This Row],[TAG]],'DB-EQUIPOS GEN'!$C$11:$H$833,3,0)</f>
        <v>PRODUCCION</v>
      </c>
      <c r="H117" s="166" t="str">
        <f>VLOOKUP(MP_registro[[#This Row],[TAG]],'DB-EQUIPOS GEN'!$C$11:$H$833,4,0)</f>
        <v>CRISTALIZACION POR COCCION</v>
      </c>
      <c r="I117" s="166" t="str">
        <f>VLOOKUP(MP_registro[[#This Row],[TAG]],'DB-EQUIPOS GEN'!$C$11:$H$833,5,0)</f>
        <v xml:space="preserve">TACHO CONTINUO A </v>
      </c>
      <c r="J117" s="166" t="str">
        <f>VLOOKUP(MP_registro[[#This Row],[TAG]],'DB-EQUIPOS GEN'!$C$11:$H$833,6,0)</f>
        <v xml:space="preserve"> 0335HX200</v>
      </c>
      <c r="K117" s="67">
        <v>44696</v>
      </c>
      <c r="L117" s="65" t="s">
        <v>245</v>
      </c>
      <c r="M117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17" s="64" t="s">
        <v>1664</v>
      </c>
      <c r="O117" s="64" t="s">
        <v>1696</v>
      </c>
    </row>
    <row r="118" spans="1:15" s="42" customFormat="1" ht="35.25" customHeight="1">
      <c r="A118" s="64">
        <v>117</v>
      </c>
      <c r="B118" s="64" t="s">
        <v>261</v>
      </c>
      <c r="C118" s="64" t="s">
        <v>1377</v>
      </c>
      <c r="D118" s="65" t="s">
        <v>1498</v>
      </c>
      <c r="E118" s="65" t="s">
        <v>740</v>
      </c>
      <c r="F118" s="166" t="str">
        <f>VLOOKUP(MP_registro[[#This Row],[TAG]],'DB-EQUIPOS GEN'!$C$11:$H$833,2,0)</f>
        <v>Brix de masa A - Celda 6</v>
      </c>
      <c r="G118" s="167" t="str">
        <f>VLOOKUP(MP_registro[[#This Row],[TAG]],'DB-EQUIPOS GEN'!$C$11:$H$833,3,0)</f>
        <v>PRODUCCION</v>
      </c>
      <c r="H118" s="167" t="str">
        <f>VLOOKUP(MP_registro[[#This Row],[TAG]],'DB-EQUIPOS GEN'!$C$11:$H$833,4,0)</f>
        <v>CRISTALIZACION POR COCCION</v>
      </c>
      <c r="I118" s="167" t="str">
        <f>VLOOKUP(MP_registro[[#This Row],[TAG]],'DB-EQUIPOS GEN'!$C$11:$H$833,5,0)</f>
        <v xml:space="preserve">TACHO CONTINUO A </v>
      </c>
      <c r="J118" s="167" t="str">
        <f>VLOOKUP(MP_registro[[#This Row],[TAG]],'DB-EQUIPOS GEN'!$C$11:$H$833,6,0)</f>
        <v xml:space="preserve"> 0335HX200</v>
      </c>
      <c r="K118" s="66">
        <v>44696</v>
      </c>
      <c r="L118" s="64" t="s">
        <v>245</v>
      </c>
      <c r="M118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18" s="64" t="s">
        <v>1664</v>
      </c>
      <c r="O118" s="64" t="s">
        <v>1696</v>
      </c>
    </row>
    <row r="119" spans="1:15" s="42" customFormat="1" ht="35.25" customHeight="1">
      <c r="A119" s="65">
        <v>118</v>
      </c>
      <c r="B119" s="64" t="s">
        <v>261</v>
      </c>
      <c r="C119" s="64" t="s">
        <v>1377</v>
      </c>
      <c r="D119" s="65" t="s">
        <v>1499</v>
      </c>
      <c r="E119" s="65" t="s">
        <v>744</v>
      </c>
      <c r="F119" s="166" t="str">
        <f>VLOOKUP(MP_registro[[#This Row],[TAG]],'DB-EQUIPOS GEN'!$C$11:$H$833,2,0)</f>
        <v>Brix de masa A - Celda 8</v>
      </c>
      <c r="G119" s="167" t="str">
        <f>VLOOKUP(MP_registro[[#This Row],[TAG]],'DB-EQUIPOS GEN'!$C$11:$H$833,3,0)</f>
        <v>PRODUCCION</v>
      </c>
      <c r="H119" s="166" t="str">
        <f>VLOOKUP(MP_registro[[#This Row],[TAG]],'DB-EQUIPOS GEN'!$C$11:$H$833,4,0)</f>
        <v>CRISTALIZACION POR COCCION</v>
      </c>
      <c r="I119" s="166" t="str">
        <f>VLOOKUP(MP_registro[[#This Row],[TAG]],'DB-EQUIPOS GEN'!$C$11:$H$833,5,0)</f>
        <v xml:space="preserve">TACHO CONTINUO A </v>
      </c>
      <c r="J119" s="166" t="str">
        <f>VLOOKUP(MP_registro[[#This Row],[TAG]],'DB-EQUIPOS GEN'!$C$11:$H$833,6,0)</f>
        <v xml:space="preserve"> 0335HX200</v>
      </c>
      <c r="K119" s="67">
        <v>44696</v>
      </c>
      <c r="L119" s="65" t="s">
        <v>245</v>
      </c>
      <c r="M119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19" s="64" t="s">
        <v>1664</v>
      </c>
      <c r="O119" s="64" t="s">
        <v>1696</v>
      </c>
    </row>
    <row r="120" spans="1:15" s="42" customFormat="1" ht="35.25" customHeight="1">
      <c r="A120" s="64">
        <v>119</v>
      </c>
      <c r="B120" s="64" t="s">
        <v>261</v>
      </c>
      <c r="C120" s="64" t="s">
        <v>1377</v>
      </c>
      <c r="D120" s="65" t="s">
        <v>1500</v>
      </c>
      <c r="E120" s="153" t="s">
        <v>802</v>
      </c>
      <c r="F120" s="166" t="str">
        <f>VLOOKUP(MP_registro[[#This Row],[TAG]],'DB-EQUIPOS GEN'!$C$11:$H$833,2,0)</f>
        <v>Peso de azucar balanza A - Silo 2</v>
      </c>
      <c r="G120" s="167" t="str">
        <f>VLOOKUP(MP_registro[[#This Row],[TAG]],'DB-EQUIPOS GEN'!$C$11:$H$833,3,0)</f>
        <v>PRODUCCION</v>
      </c>
      <c r="H120" s="167" t="str">
        <f>VLOOKUP(MP_registro[[#This Row],[TAG]],'DB-EQUIPOS GEN'!$C$11:$H$833,4,0)</f>
        <v>ENVASADO DE AZUCAR RUBIA</v>
      </c>
      <c r="I120" s="167" t="str">
        <f>VLOOKUP(MP_registro[[#This Row],[TAG]],'DB-EQUIPOS GEN'!$C$11:$H$833,5,0)</f>
        <v>SILO 2</v>
      </c>
      <c r="J120" s="167" t="str">
        <f>VLOOKUP(MP_registro[[#This Row],[TAG]],'DB-EQUIPOS GEN'!$C$11:$H$833,6,0)</f>
        <v>0355BI100</v>
      </c>
      <c r="K120" s="66">
        <v>44692</v>
      </c>
      <c r="L120" s="64" t="s">
        <v>247</v>
      </c>
      <c r="M120" s="65" t="s">
        <v>2404</v>
      </c>
      <c r="N120" s="64" t="s">
        <v>1664</v>
      </c>
      <c r="O120" s="64" t="s">
        <v>1696</v>
      </c>
    </row>
    <row r="121" spans="1:15" s="42" customFormat="1" ht="35.25" customHeight="1">
      <c r="A121" s="65">
        <v>120</v>
      </c>
      <c r="B121" s="64" t="s">
        <v>261</v>
      </c>
      <c r="C121" s="64" t="s">
        <v>1377</v>
      </c>
      <c r="D121" s="65" t="s">
        <v>1501</v>
      </c>
      <c r="E121" s="153" t="s">
        <v>803</v>
      </c>
      <c r="F121" s="166" t="str">
        <f>VLOOKUP(MP_registro[[#This Row],[TAG]],'DB-EQUIPOS GEN'!$C$11:$H$833,2,0)</f>
        <v>Peso de azucar balanza B - Silo 2</v>
      </c>
      <c r="G121" s="167" t="str">
        <f>VLOOKUP(MP_registro[[#This Row],[TAG]],'DB-EQUIPOS GEN'!$C$11:$H$833,3,0)</f>
        <v>PRODUCCION</v>
      </c>
      <c r="H121" s="166" t="str">
        <f>VLOOKUP(MP_registro[[#This Row],[TAG]],'DB-EQUIPOS GEN'!$C$11:$H$833,4,0)</f>
        <v>ENVASADO DE AZUCAR RUBIA</v>
      </c>
      <c r="I121" s="166" t="str">
        <f>VLOOKUP(MP_registro[[#This Row],[TAG]],'DB-EQUIPOS GEN'!$C$11:$H$833,5,0)</f>
        <v>SILO 2</v>
      </c>
      <c r="J121" s="166" t="str">
        <f>VLOOKUP(MP_registro[[#This Row],[TAG]],'DB-EQUIPOS GEN'!$C$11:$H$833,6,0)</f>
        <v>0355BI100</v>
      </c>
      <c r="K121" s="67">
        <v>44692</v>
      </c>
      <c r="L121" s="65" t="s">
        <v>249</v>
      </c>
      <c r="M121" s="64" t="s">
        <v>2403</v>
      </c>
      <c r="N121" s="64" t="s">
        <v>1664</v>
      </c>
      <c r="O121" s="64" t="s">
        <v>1696</v>
      </c>
    </row>
    <row r="122" spans="1:15" s="42" customFormat="1" ht="35.25" customHeight="1">
      <c r="A122" s="64">
        <v>121</v>
      </c>
      <c r="B122" s="64" t="s">
        <v>261</v>
      </c>
      <c r="C122" s="64" t="s">
        <v>1377</v>
      </c>
      <c r="D122" s="65" t="s">
        <v>1502</v>
      </c>
      <c r="E122" s="153" t="s">
        <v>1750</v>
      </c>
      <c r="F122" s="166" t="str">
        <f>VLOOKUP(MP_registro[[#This Row],[TAG]],'DB-EQUIPOS GEN'!$C$11:$H$833,2,0)</f>
        <v>Aire Instrumentacion p/ Caldera</v>
      </c>
      <c r="G122" s="167" t="str">
        <f>VLOOKUP(MP_registro[[#This Row],[TAG]],'DB-EQUIPOS GEN'!$C$11:$H$833,3,0)</f>
        <v>E. ELECTRICA</v>
      </c>
      <c r="H122" s="167" t="str">
        <f>VLOOKUP(MP_registro[[#This Row],[TAG]],'DB-EQUIPOS GEN'!$C$11:$H$833,4,0)</f>
        <v>GENERACION ENERG. ELEC. TURBO GENERADOR</v>
      </c>
      <c r="I122" s="167" t="str">
        <f>VLOOKUP(MP_registro[[#This Row],[TAG]],'DB-EQUIPOS GEN'!$C$11:$H$833,5,0)</f>
        <v/>
      </c>
      <c r="J122" s="167" t="str">
        <f>VLOOKUP(MP_registro[[#This Row],[TAG]],'DB-EQUIPOS GEN'!$C$11:$H$833,6,0)</f>
        <v/>
      </c>
      <c r="K122" s="66">
        <v>44690</v>
      </c>
      <c r="L122" s="64" t="s">
        <v>247</v>
      </c>
      <c r="M122" s="65" t="s">
        <v>2404</v>
      </c>
      <c r="N122" s="64" t="s">
        <v>1664</v>
      </c>
      <c r="O122" s="64" t="s">
        <v>1696</v>
      </c>
    </row>
    <row r="123" spans="1:15" s="42" customFormat="1" ht="35.25" customHeight="1">
      <c r="A123" s="65">
        <v>122</v>
      </c>
      <c r="B123" s="64" t="s">
        <v>261</v>
      </c>
      <c r="C123" s="64" t="s">
        <v>1377</v>
      </c>
      <c r="D123" s="65" t="s">
        <v>1503</v>
      </c>
      <c r="E123" s="65" t="s">
        <v>254</v>
      </c>
      <c r="F123" s="166" t="str">
        <f>VLOOKUP(MP_registro[[#This Row],[TAG]],'DB-EQUIPOS GEN'!$C$11:$H$833,2,0)</f>
        <v>Tablero de periferia en Asset Caldera</v>
      </c>
      <c r="G123" s="167" t="str">
        <f>VLOOKUP(MP_registro[[#This Row],[TAG]],'DB-EQUIPOS GEN'!$C$11:$H$833,3,0)</f>
        <v>E. TERMICA</v>
      </c>
      <c r="H123" s="166" t="str">
        <f>VLOOKUP(MP_registro[[#This Row],[TAG]],'DB-EQUIPOS GEN'!$C$11:$H$833,4,0)</f>
        <v>GENERACION DE VAPOR</v>
      </c>
      <c r="I123" s="166" t="str">
        <f>VLOOKUP(MP_registro[[#This Row],[TAG]],'DB-EQUIPOS GEN'!$C$11:$H$833,5,0)</f>
        <v>CALDERA</v>
      </c>
      <c r="J123" s="166" t="str">
        <f>VLOOKUP(MP_registro[[#This Row],[TAG]],'DB-EQUIPOS GEN'!$C$11:$H$833,6,0)</f>
        <v>0405BR010</v>
      </c>
      <c r="K123" s="67">
        <v>44688</v>
      </c>
      <c r="L123" s="65" t="s">
        <v>248</v>
      </c>
      <c r="M123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123" s="64" t="s">
        <v>1664</v>
      </c>
      <c r="O123" s="64" t="s">
        <v>1696</v>
      </c>
    </row>
    <row r="124" spans="1:15" s="42" customFormat="1" ht="35.25" customHeight="1">
      <c r="A124" s="64">
        <v>123</v>
      </c>
      <c r="B124" s="64" t="s">
        <v>261</v>
      </c>
      <c r="C124" s="64" t="s">
        <v>1377</v>
      </c>
      <c r="D124" s="65" t="s">
        <v>1504</v>
      </c>
      <c r="E124" s="65" t="s">
        <v>255</v>
      </c>
      <c r="F124" s="166" t="str">
        <f>VLOOKUP(MP_registro[[#This Row],[TAG]],'DB-EQUIPOS GEN'!$C$11:$H$833,2,0)</f>
        <v>Tablero de periferia en Asset Turbina</v>
      </c>
      <c r="G124" s="167" t="str">
        <f>VLOOKUP(MP_registro[[#This Row],[TAG]],'DB-EQUIPOS GEN'!$C$11:$H$833,3,0)</f>
        <v>E. ELECTRICA</v>
      </c>
      <c r="H124" s="167" t="str">
        <f>VLOOKUP(MP_registro[[#This Row],[TAG]],'DB-EQUIPOS GEN'!$C$11:$H$833,4,0)</f>
        <v>GENERACION ENERG. ELEC. TURBO GENERADOR</v>
      </c>
      <c r="I124" s="167" t="str">
        <f>VLOOKUP(MP_registro[[#This Row],[TAG]],'DB-EQUIPOS GEN'!$C$11:$H$833,5,0)</f>
        <v>TURBOGENERADOR 7.5 MW</v>
      </c>
      <c r="J124" s="167" t="str">
        <f>VLOOKUP(MP_registro[[#This Row],[TAG]],'DB-EQUIPOS GEN'!$C$11:$H$833,6,0)</f>
        <v>0430TG010</v>
      </c>
      <c r="K124" s="66">
        <v>44695</v>
      </c>
      <c r="L124" s="64" t="s">
        <v>248</v>
      </c>
      <c r="M124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124" s="64" t="s">
        <v>1664</v>
      </c>
      <c r="O124" s="64" t="s">
        <v>1696</v>
      </c>
    </row>
    <row r="125" spans="1:15" s="42" customFormat="1" ht="35.25" customHeight="1">
      <c r="A125" s="65">
        <v>124</v>
      </c>
      <c r="B125" s="64" t="s">
        <v>261</v>
      </c>
      <c r="C125" s="64" t="s">
        <v>1377</v>
      </c>
      <c r="D125" s="65" t="s">
        <v>1505</v>
      </c>
      <c r="E125" s="65" t="s">
        <v>256</v>
      </c>
      <c r="F125" s="166" t="str">
        <f>VLOOKUP(MP_registro[[#This Row],[TAG]],'DB-EQUIPOS GEN'!$C$11:$H$833,2,0)</f>
        <v>Tablero de periferia en Asset Difusor</v>
      </c>
      <c r="G125" s="167" t="str">
        <f>VLOOKUP(MP_registro[[#This Row],[TAG]],'DB-EQUIPOS GEN'!$C$11:$H$833,3,0)</f>
        <v>EXTRACCION</v>
      </c>
      <c r="H125" s="166" t="str">
        <f>VLOOKUP(MP_registro[[#This Row],[TAG]],'DB-EQUIPOS GEN'!$C$11:$H$833,4,0)</f>
        <v>DIFUSOR</v>
      </c>
      <c r="I125" s="166" t="str">
        <f>VLOOKUP(MP_registro[[#This Row],[TAG]],'DB-EQUIPOS GEN'!$C$11:$H$833,5,0)</f>
        <v>DIFUSOR</v>
      </c>
      <c r="J125" s="166" t="str">
        <f>VLOOKUP(MP_registro[[#This Row],[TAG]],'DB-EQUIPOS GEN'!$C$11:$H$833,6,0)</f>
        <v>0205DF180</v>
      </c>
      <c r="K125" s="67">
        <v>44694</v>
      </c>
      <c r="L125" s="65" t="s">
        <v>248</v>
      </c>
      <c r="M125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125" s="64" t="s">
        <v>1664</v>
      </c>
      <c r="O125" s="64" t="s">
        <v>1696</v>
      </c>
    </row>
    <row r="126" spans="1:15" s="42" customFormat="1" ht="35.25" customHeight="1">
      <c r="A126" s="64">
        <v>125</v>
      </c>
      <c r="B126" s="64" t="s">
        <v>261</v>
      </c>
      <c r="C126" s="64" t="s">
        <v>1377</v>
      </c>
      <c r="D126" s="65" t="s">
        <v>1506</v>
      </c>
      <c r="E126" s="65" t="s">
        <v>257</v>
      </c>
      <c r="F126" s="166" t="str">
        <f>VLOOKUP(MP_registro[[#This Row],[TAG]],'DB-EQUIPOS GEN'!$C$11:$H$833,2,0)</f>
        <v>Tablero de periferia en Asset Process House</v>
      </c>
      <c r="G126" s="167" t="str">
        <f>VLOOKUP(MP_registro[[#This Row],[TAG]],'DB-EQUIPOS GEN'!$C$11:$H$833,3,0)</f>
        <v>PRODUCCION</v>
      </c>
      <c r="H126" s="167" t="str">
        <f>VLOOKUP(MP_registro[[#This Row],[TAG]],'DB-EQUIPOS GEN'!$C$11:$H$833,4,0)</f>
        <v>EVAPORACION DE JUGO</v>
      </c>
      <c r="I126" s="167" t="str">
        <f>VLOOKUP(MP_registro[[#This Row],[TAG]],'DB-EQUIPOS GEN'!$C$11:$H$833,5,0)</f>
        <v>EVAPORADOR FFE 1</v>
      </c>
      <c r="J126" s="167" t="str">
        <f>VLOOKUP(MP_registro[[#This Row],[TAG]],'DB-EQUIPOS GEN'!$C$11:$H$833,6,0)</f>
        <v>0320EV010</v>
      </c>
      <c r="K126" s="66">
        <v>44693</v>
      </c>
      <c r="L126" s="64" t="s">
        <v>248</v>
      </c>
      <c r="M126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126" s="64" t="s">
        <v>1664</v>
      </c>
      <c r="O126" s="64" t="s">
        <v>1696</v>
      </c>
    </row>
    <row r="127" spans="1:15" s="42" customFormat="1" ht="35.25" customHeight="1">
      <c r="A127" s="65">
        <v>126</v>
      </c>
      <c r="B127" s="64" t="s">
        <v>261</v>
      </c>
      <c r="C127" s="64" t="s">
        <v>1377</v>
      </c>
      <c r="D127" s="65" t="s">
        <v>1507</v>
      </c>
      <c r="E127" s="65" t="s">
        <v>258</v>
      </c>
      <c r="F127" s="166" t="str">
        <f>VLOOKUP(MP_registro[[#This Row],[TAG]],'DB-EQUIPOS GEN'!$C$11:$H$833,2,0)</f>
        <v>Tablero de periferia en Asset Cocimiento</v>
      </c>
      <c r="G127" s="167" t="str">
        <f>VLOOKUP(MP_registro[[#This Row],[TAG]],'DB-EQUIPOS GEN'!$C$11:$H$833,3,0)</f>
        <v>PRODUCCION</v>
      </c>
      <c r="H127" s="166" t="str">
        <f>VLOOKUP(MP_registro[[#This Row],[TAG]],'DB-EQUIPOS GEN'!$C$11:$H$833,4,0)</f>
        <v>CRISTALIZACION POR COCCION</v>
      </c>
      <c r="I127" s="166" t="str">
        <f>VLOOKUP(MP_registro[[#This Row],[TAG]],'DB-EQUIPOS GEN'!$C$11:$H$833,5,0)</f>
        <v>TACHO CONTINUO - A</v>
      </c>
      <c r="J127" s="166" t="str">
        <f>VLOOKUP(MP_registro[[#This Row],[TAG]],'DB-EQUIPOS GEN'!$C$11:$H$833,6,0)</f>
        <v>0335HX200</v>
      </c>
      <c r="K127" s="67">
        <v>44692</v>
      </c>
      <c r="L127" s="65" t="s">
        <v>248</v>
      </c>
      <c r="M127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127" s="64" t="s">
        <v>1664</v>
      </c>
      <c r="O127" s="64" t="s">
        <v>1696</v>
      </c>
    </row>
    <row r="128" spans="1:15" s="42" customFormat="1" ht="35.25" customHeight="1">
      <c r="A128" s="64">
        <v>127</v>
      </c>
      <c r="B128" s="64" t="s">
        <v>261</v>
      </c>
      <c r="C128" s="64" t="s">
        <v>1377</v>
      </c>
      <c r="D128" s="65" t="s">
        <v>1508</v>
      </c>
      <c r="E128" s="65" t="s">
        <v>259</v>
      </c>
      <c r="F128" s="166" t="str">
        <f>VLOOKUP(MP_registro[[#This Row],[TAG]],'DB-EQUIPOS GEN'!$C$11:$H$833,2,0)</f>
        <v>Tablero de periferia en Asset PH &amp; Cpan</v>
      </c>
      <c r="G128" s="167" t="str">
        <f>VLOOKUP(MP_registro[[#This Row],[TAG]],'DB-EQUIPOS GEN'!$C$11:$H$833,3,0)</f>
        <v>PRODUCCION</v>
      </c>
      <c r="H128" s="167" t="str">
        <f>VLOOKUP(MP_registro[[#This Row],[TAG]],'DB-EQUIPOS GEN'!$C$11:$H$833,4,0)</f>
        <v>CRISTALIZACION POR COCCION</v>
      </c>
      <c r="I128" s="167" t="str">
        <f>VLOOKUP(MP_registro[[#This Row],[TAG]],'DB-EQUIPOS GEN'!$C$11:$H$833,5,0)</f>
        <v>TACHO CONTINUO - A</v>
      </c>
      <c r="J128" s="167" t="str">
        <f>VLOOKUP(MP_registro[[#This Row],[TAG]],'DB-EQUIPOS GEN'!$C$11:$H$833,6,0)</f>
        <v>0335HX200</v>
      </c>
      <c r="K128" s="66">
        <v>44691</v>
      </c>
      <c r="L128" s="64" t="s">
        <v>248</v>
      </c>
      <c r="M128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128" s="64" t="s">
        <v>1664</v>
      </c>
      <c r="O128" s="64" t="s">
        <v>1696</v>
      </c>
    </row>
    <row r="129" spans="1:15" s="42" customFormat="1" ht="35.25" customHeight="1">
      <c r="A129" s="65">
        <v>128</v>
      </c>
      <c r="B129" s="64" t="s">
        <v>261</v>
      </c>
      <c r="C129" s="64" t="s">
        <v>1377</v>
      </c>
      <c r="D129" s="65" t="s">
        <v>1509</v>
      </c>
      <c r="E129" s="65" t="s">
        <v>1340</v>
      </c>
      <c r="F129" s="166" t="str">
        <f>VLOOKUP(MP_registro[[#This Row],[TAG]],'DB-EQUIPOS GEN'!$C$11:$H$833,2,0)</f>
        <v>Controlador C300 en Asset Caldera</v>
      </c>
      <c r="G129" s="167" t="str">
        <f>VLOOKUP(MP_registro[[#This Row],[TAG]],'DB-EQUIPOS GEN'!$C$11:$H$833,3,0)</f>
        <v>E. TERMICA</v>
      </c>
      <c r="H129" s="166" t="str">
        <f>VLOOKUP(MP_registro[[#This Row],[TAG]],'DB-EQUIPOS GEN'!$C$11:$H$833,4,0)</f>
        <v>GENERACION DE VAPOR</v>
      </c>
      <c r="I129" s="166" t="str">
        <f>VLOOKUP(MP_registro[[#This Row],[TAG]],'DB-EQUIPOS GEN'!$C$11:$H$833,5,0)</f>
        <v>CALDERA</v>
      </c>
      <c r="J129" s="166" t="str">
        <f>VLOOKUP(MP_registro[[#This Row],[TAG]],'DB-EQUIPOS GEN'!$C$11:$H$833,6,0)</f>
        <v>0405BR010</v>
      </c>
      <c r="K129" s="67">
        <v>44692</v>
      </c>
      <c r="L129" s="65" t="s">
        <v>248</v>
      </c>
      <c r="M129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129" s="64" t="s">
        <v>1664</v>
      </c>
      <c r="O129" s="64" t="s">
        <v>1696</v>
      </c>
    </row>
    <row r="130" spans="1:15" s="42" customFormat="1" ht="35.25" customHeight="1">
      <c r="A130" s="64">
        <v>129</v>
      </c>
      <c r="B130" s="64" t="s">
        <v>261</v>
      </c>
      <c r="C130" s="64" t="s">
        <v>1377</v>
      </c>
      <c r="D130" s="65" t="s">
        <v>1510</v>
      </c>
      <c r="E130" s="65" t="s">
        <v>1342</v>
      </c>
      <c r="F130" s="166" t="str">
        <f>VLOOKUP(MP_registro[[#This Row],[TAG]],'DB-EQUIPOS GEN'!$C$11:$H$833,2,0)</f>
        <v>Controlador C300 en Asset Turbina</v>
      </c>
      <c r="G130" s="167" t="str">
        <f>VLOOKUP(MP_registro[[#This Row],[TAG]],'DB-EQUIPOS GEN'!$C$11:$H$833,3,0)</f>
        <v>E. ELECTRICA</v>
      </c>
      <c r="H130" s="167" t="str">
        <f>VLOOKUP(MP_registro[[#This Row],[TAG]],'DB-EQUIPOS GEN'!$C$11:$H$833,4,0)</f>
        <v>GENERACION ENERG. ELEC. TURBO GENERADOR</v>
      </c>
      <c r="I130" s="167" t="str">
        <f>VLOOKUP(MP_registro[[#This Row],[TAG]],'DB-EQUIPOS GEN'!$C$11:$H$833,5,0)</f>
        <v>TURBOGENERADOR 7.5 MW</v>
      </c>
      <c r="J130" s="167" t="str">
        <f>VLOOKUP(MP_registro[[#This Row],[TAG]],'DB-EQUIPOS GEN'!$C$11:$H$833,6,0)</f>
        <v>0430TG010</v>
      </c>
      <c r="K130" s="66">
        <v>44695</v>
      </c>
      <c r="L130" s="64" t="s">
        <v>248</v>
      </c>
      <c r="M130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130" s="64" t="s">
        <v>1664</v>
      </c>
      <c r="O130" s="64" t="s">
        <v>1696</v>
      </c>
    </row>
    <row r="131" spans="1:15" s="42" customFormat="1" ht="35.25" customHeight="1">
      <c r="A131" s="65">
        <v>130</v>
      </c>
      <c r="B131" s="64" t="s">
        <v>261</v>
      </c>
      <c r="C131" s="64" t="s">
        <v>1377</v>
      </c>
      <c r="D131" s="65" t="s">
        <v>1511</v>
      </c>
      <c r="E131" s="65" t="s">
        <v>1344</v>
      </c>
      <c r="F131" s="166" t="str">
        <f>VLOOKUP(MP_registro[[#This Row],[TAG]],'DB-EQUIPOS GEN'!$C$11:$H$833,2,0)</f>
        <v>Controlador C300 en Asset Difusor</v>
      </c>
      <c r="G131" s="167" t="str">
        <f>VLOOKUP(MP_registro[[#This Row],[TAG]],'DB-EQUIPOS GEN'!$C$11:$H$833,3,0)</f>
        <v>EXTRACCION</v>
      </c>
      <c r="H131" s="166" t="str">
        <f>VLOOKUP(MP_registro[[#This Row],[TAG]],'DB-EQUIPOS GEN'!$C$11:$H$833,4,0)</f>
        <v>DIFUSOR</v>
      </c>
      <c r="I131" s="166" t="str">
        <f>VLOOKUP(MP_registro[[#This Row],[TAG]],'DB-EQUIPOS GEN'!$C$11:$H$833,5,0)</f>
        <v>DIFUSOR</v>
      </c>
      <c r="J131" s="166" t="str">
        <f>VLOOKUP(MP_registro[[#This Row],[TAG]],'DB-EQUIPOS GEN'!$C$11:$H$833,6,0)</f>
        <v>0205DF180</v>
      </c>
      <c r="K131" s="67">
        <v>44695</v>
      </c>
      <c r="L131" s="65" t="s">
        <v>248</v>
      </c>
      <c r="M131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131" s="64" t="s">
        <v>1664</v>
      </c>
      <c r="O131" s="64" t="s">
        <v>1696</v>
      </c>
    </row>
    <row r="132" spans="1:15" s="42" customFormat="1" ht="35.25" customHeight="1">
      <c r="A132" s="64">
        <v>131</v>
      </c>
      <c r="B132" s="64" t="s">
        <v>261</v>
      </c>
      <c r="C132" s="64" t="s">
        <v>1377</v>
      </c>
      <c r="D132" s="65" t="s">
        <v>1512</v>
      </c>
      <c r="E132" s="65" t="s">
        <v>1346</v>
      </c>
      <c r="F132" s="166" t="str">
        <f>VLOOKUP(MP_registro[[#This Row],[TAG]],'DB-EQUIPOS GEN'!$C$11:$H$833,2,0)</f>
        <v>Controlador C300 en Asset Process House</v>
      </c>
      <c r="G132" s="167" t="str">
        <f>VLOOKUP(MP_registro[[#This Row],[TAG]],'DB-EQUIPOS GEN'!$C$11:$H$833,3,0)</f>
        <v>PRODUCCION</v>
      </c>
      <c r="H132" s="167" t="str">
        <f>VLOOKUP(MP_registro[[#This Row],[TAG]],'DB-EQUIPOS GEN'!$C$11:$H$833,4,0)</f>
        <v>EVAPORACION DE JUGO</v>
      </c>
      <c r="I132" s="167" t="str">
        <f>VLOOKUP(MP_registro[[#This Row],[TAG]],'DB-EQUIPOS GEN'!$C$11:$H$833,5,0)</f>
        <v>EVAPORADOR FFE 1</v>
      </c>
      <c r="J132" s="167" t="str">
        <f>VLOOKUP(MP_registro[[#This Row],[TAG]],'DB-EQUIPOS GEN'!$C$11:$H$833,6,0)</f>
        <v>0320EV010</v>
      </c>
      <c r="K132" s="66">
        <v>44694</v>
      </c>
      <c r="L132" s="64" t="s">
        <v>248</v>
      </c>
      <c r="M132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132" s="64" t="s">
        <v>1664</v>
      </c>
      <c r="O132" s="64" t="s">
        <v>1696</v>
      </c>
    </row>
    <row r="133" spans="1:15" s="42" customFormat="1" ht="35.25" customHeight="1">
      <c r="A133" s="65">
        <v>132</v>
      </c>
      <c r="B133" s="64" t="s">
        <v>261</v>
      </c>
      <c r="C133" s="64" t="s">
        <v>1377</v>
      </c>
      <c r="D133" s="65" t="s">
        <v>1513</v>
      </c>
      <c r="E133" s="65" t="s">
        <v>1348</v>
      </c>
      <c r="F133" s="166" t="str">
        <f>VLOOKUP(MP_registro[[#This Row],[TAG]],'DB-EQUIPOS GEN'!$C$11:$H$833,2,0)</f>
        <v>Controlador C300 en Asset Cocimiento</v>
      </c>
      <c r="G133" s="167" t="str">
        <f>VLOOKUP(MP_registro[[#This Row],[TAG]],'DB-EQUIPOS GEN'!$C$11:$H$833,3,0)</f>
        <v>PRODUCCION</v>
      </c>
      <c r="H133" s="166" t="str">
        <f>VLOOKUP(MP_registro[[#This Row],[TAG]],'DB-EQUIPOS GEN'!$C$11:$H$833,4,0)</f>
        <v>CRISTALIZACION POR COCCION</v>
      </c>
      <c r="I133" s="166" t="str">
        <f>VLOOKUP(MP_registro[[#This Row],[TAG]],'DB-EQUIPOS GEN'!$C$11:$H$833,5,0)</f>
        <v>TACHO CONTINUO - A</v>
      </c>
      <c r="J133" s="166" t="str">
        <f>VLOOKUP(MP_registro[[#This Row],[TAG]],'DB-EQUIPOS GEN'!$C$11:$H$833,6,0)</f>
        <v>0335HX200</v>
      </c>
      <c r="K133" s="67">
        <v>44693</v>
      </c>
      <c r="L133" s="65" t="s">
        <v>248</v>
      </c>
      <c r="M133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133" s="64" t="s">
        <v>1664</v>
      </c>
      <c r="O133" s="64" t="s">
        <v>1696</v>
      </c>
    </row>
    <row r="134" spans="1:15" s="42" customFormat="1" ht="35.25" customHeight="1">
      <c r="A134" s="64">
        <v>133</v>
      </c>
      <c r="B134" s="64" t="s">
        <v>261</v>
      </c>
      <c r="C134" s="64" t="s">
        <v>1377</v>
      </c>
      <c r="D134" s="65" t="s">
        <v>1514</v>
      </c>
      <c r="E134" s="65" t="s">
        <v>1350</v>
      </c>
      <c r="F134" s="166" t="str">
        <f>VLOOKUP(MP_registro[[#This Row],[TAG]],'DB-EQUIPOS GEN'!$C$11:$H$833,2,0)</f>
        <v>Controlador C300 en Asset PH &amp; Cpan</v>
      </c>
      <c r="G134" s="167" t="str">
        <f>VLOOKUP(MP_registro[[#This Row],[TAG]],'DB-EQUIPOS GEN'!$C$11:$H$833,3,0)</f>
        <v>PRODUCCION</v>
      </c>
      <c r="H134" s="167" t="str">
        <f>VLOOKUP(MP_registro[[#This Row],[TAG]],'DB-EQUIPOS GEN'!$C$11:$H$833,4,0)</f>
        <v>CRISTALIZACION POR COCCION</v>
      </c>
      <c r="I134" s="167" t="str">
        <f>VLOOKUP(MP_registro[[#This Row],[TAG]],'DB-EQUIPOS GEN'!$C$11:$H$833,5,0)</f>
        <v>TACHO CONTINUO - A</v>
      </c>
      <c r="J134" s="167" t="str">
        <f>VLOOKUP(MP_registro[[#This Row],[TAG]],'DB-EQUIPOS GEN'!$C$11:$H$833,6,0)</f>
        <v>0335HX200</v>
      </c>
      <c r="K134" s="66">
        <v>44692</v>
      </c>
      <c r="L134" s="64" t="s">
        <v>248</v>
      </c>
      <c r="M134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134" s="64" t="s">
        <v>1664</v>
      </c>
      <c r="O134" s="64" t="s">
        <v>1696</v>
      </c>
    </row>
    <row r="135" spans="1:15" s="42" customFormat="1" ht="35.25" customHeight="1">
      <c r="A135" s="65">
        <v>134</v>
      </c>
      <c r="B135" s="64" t="s">
        <v>261</v>
      </c>
      <c r="C135" s="64" t="s">
        <v>1377</v>
      </c>
      <c r="D135" s="65" t="s">
        <v>1515</v>
      </c>
      <c r="E135" s="164" t="s">
        <v>2416</v>
      </c>
      <c r="F135" s="166" t="str">
        <f>VLOOKUP(MP_registro[[#This Row],[TAG]],'DB-EQUIPOS GEN'!$C$11:$H$833,2,0)</f>
        <v>Vista Conductor Auxiliar - Superior</v>
      </c>
      <c r="G135" s="167" t="str">
        <f>VLOOKUP(MP_registro[[#This Row],[TAG]],'DB-EQUIPOS GEN'!$C$11:$H$833,3,0)</f>
        <v>EXTRACCION</v>
      </c>
      <c r="H135" s="166" t="str">
        <f>VLOOKUP(MP_registro[[#This Row],[TAG]],'DB-EQUIPOS GEN'!$C$11:$H$833,4,0)</f>
        <v>PREPARACIÓN DE CAÑA</v>
      </c>
      <c r="I135" s="166" t="str">
        <f>VLOOKUP(MP_registro[[#This Row],[TAG]],'DB-EQUIPOS GEN'!$C$11:$H$833,5,0)</f>
        <v>CONDUCTOR AUXILIAR DE CAÑA</v>
      </c>
      <c r="J135" s="166" t="str">
        <f>VLOOKUP(MP_registro[[#This Row],[TAG]],'DB-EQUIPOS GEN'!$C$11:$H$833,6,0)</f>
        <v>0115CV010</v>
      </c>
      <c r="K135" s="67">
        <v>44690</v>
      </c>
      <c r="L135" s="65" t="s">
        <v>249</v>
      </c>
      <c r="M135" s="64" t="s">
        <v>2403</v>
      </c>
      <c r="N135" s="64" t="s">
        <v>1664</v>
      </c>
      <c r="O135" s="64" t="s">
        <v>1696</v>
      </c>
    </row>
    <row r="136" spans="1:15" s="42" customFormat="1" ht="35.25" customHeight="1">
      <c r="A136" s="64">
        <v>135</v>
      </c>
      <c r="B136" s="64" t="s">
        <v>261</v>
      </c>
      <c r="C136" s="64" t="s">
        <v>1377</v>
      </c>
      <c r="D136" s="65" t="s">
        <v>1516</v>
      </c>
      <c r="E136" s="164" t="s">
        <v>2406</v>
      </c>
      <c r="F136" s="166" t="str">
        <f>VLOOKUP(MP_registro[[#This Row],[TAG]],'DB-EQUIPOS GEN'!$C$11:$H$833,2,0)</f>
        <v>Vista Mesa de Caña - Descarga de Tetras</v>
      </c>
      <c r="G136" s="167" t="str">
        <f>VLOOKUP(MP_registro[[#This Row],[TAG]],'DB-EQUIPOS GEN'!$C$11:$H$833,3,0)</f>
        <v>EXTRACCION</v>
      </c>
      <c r="H136" s="167" t="str">
        <f>VLOOKUP(MP_registro[[#This Row],[TAG]],'DB-EQUIPOS GEN'!$C$11:$H$833,4,0)</f>
        <v>RECEPCIÓN DE CAÑA</v>
      </c>
      <c r="I136" s="167" t="str">
        <f>VLOOKUP(MP_registro[[#This Row],[TAG]],'DB-EQUIPOS GEN'!$C$11:$H$833,5,0)</f>
        <v>MESA DE CAÑA</v>
      </c>
      <c r="J136" s="167" t="str">
        <f>VLOOKUP(MP_registro[[#This Row],[TAG]],'DB-EQUIPOS GEN'!$C$11:$H$833,6,0)</f>
        <v>0110FE019</v>
      </c>
      <c r="K136" s="66">
        <v>44688</v>
      </c>
      <c r="L136" s="64" t="s">
        <v>247</v>
      </c>
      <c r="M136" s="65" t="s">
        <v>2404</v>
      </c>
      <c r="N136" s="64" t="s">
        <v>1664</v>
      </c>
      <c r="O136" s="64" t="s">
        <v>1696</v>
      </c>
    </row>
    <row r="137" spans="1:15" s="42" customFormat="1" ht="35.25" customHeight="1">
      <c r="A137" s="65">
        <v>136</v>
      </c>
      <c r="B137" s="64" t="s">
        <v>261</v>
      </c>
      <c r="C137" s="64" t="s">
        <v>1377</v>
      </c>
      <c r="D137" s="65" t="s">
        <v>1517</v>
      </c>
      <c r="E137" s="164" t="s">
        <v>2406</v>
      </c>
      <c r="F137" s="166" t="str">
        <f>VLOOKUP(MP_registro[[#This Row],[TAG]],'DB-EQUIPOS GEN'!$C$11:$H$833,2,0)</f>
        <v>Vista Mesa de Caña - Descarga de Tetras</v>
      </c>
      <c r="G137" s="167" t="str">
        <f>VLOOKUP(MP_registro[[#This Row],[TAG]],'DB-EQUIPOS GEN'!$C$11:$H$833,3,0)</f>
        <v>EXTRACCION</v>
      </c>
      <c r="H137" s="166" t="str">
        <f>VLOOKUP(MP_registro[[#This Row],[TAG]],'DB-EQUIPOS GEN'!$C$11:$H$833,4,0)</f>
        <v>RECEPCIÓN DE CAÑA</v>
      </c>
      <c r="I137" s="166" t="str">
        <f>VLOOKUP(MP_registro[[#This Row],[TAG]],'DB-EQUIPOS GEN'!$C$11:$H$833,5,0)</f>
        <v>MESA DE CAÑA</v>
      </c>
      <c r="J137" s="166" t="str">
        <f>VLOOKUP(MP_registro[[#This Row],[TAG]],'DB-EQUIPOS GEN'!$C$11:$H$833,6,0)</f>
        <v>0110FE019</v>
      </c>
      <c r="K137" s="67">
        <v>44695</v>
      </c>
      <c r="L137" s="65" t="s">
        <v>247</v>
      </c>
      <c r="M137" s="65" t="s">
        <v>2404</v>
      </c>
      <c r="N137" s="64" t="s">
        <v>1664</v>
      </c>
      <c r="O137" s="64" t="s">
        <v>1696</v>
      </c>
    </row>
    <row r="138" spans="1:15" s="42" customFormat="1" ht="35.25" customHeight="1">
      <c r="A138" s="64">
        <v>137</v>
      </c>
      <c r="B138" s="64" t="s">
        <v>261</v>
      </c>
      <c r="C138" s="64" t="s">
        <v>1377</v>
      </c>
      <c r="D138" s="65" t="s">
        <v>1518</v>
      </c>
      <c r="E138" s="164" t="s">
        <v>2407</v>
      </c>
      <c r="F138" s="166" t="str">
        <f>VLOOKUP(MP_registro[[#This Row],[TAG]],'DB-EQUIPOS GEN'!$C$11:$H$833,2,0)</f>
        <v>Vista Molino Secador - Conductor Intermedio</v>
      </c>
      <c r="G138" s="167" t="str">
        <f>VLOOKUP(MP_registro[[#This Row],[TAG]],'DB-EQUIPOS GEN'!$C$11:$H$833,3,0)</f>
        <v>EXTRACCION</v>
      </c>
      <c r="H138" s="167" t="str">
        <f>VLOOKUP(MP_registro[[#This Row],[TAG]],'DB-EQUIPOS GEN'!$C$11:$H$833,4,0)</f>
        <v>MOLINOS</v>
      </c>
      <c r="I138" s="167" t="str">
        <f>VLOOKUP(MP_registro[[#This Row],[TAG]],'DB-EQUIPOS GEN'!$C$11:$H$833,5,0)</f>
        <v>CONDUCTOR INTERMEDIO - MOLINO SECADOR</v>
      </c>
      <c r="J138" s="167" t="str">
        <f>VLOOKUP(MP_registro[[#This Row],[TAG]],'DB-EQUIPOS GEN'!$C$11:$H$833,6,0)</f>
        <v>0210CV070</v>
      </c>
      <c r="K138" s="66">
        <v>44690</v>
      </c>
      <c r="L138" s="64" t="s">
        <v>249</v>
      </c>
      <c r="M138" s="64" t="s">
        <v>2403</v>
      </c>
      <c r="N138" s="64" t="s">
        <v>1664</v>
      </c>
      <c r="O138" s="64" t="s">
        <v>1696</v>
      </c>
    </row>
    <row r="139" spans="1:15" s="42" customFormat="1" ht="35.25" customHeight="1">
      <c r="A139" s="65">
        <v>138</v>
      </c>
      <c r="B139" s="64" t="s">
        <v>261</v>
      </c>
      <c r="C139" s="64" t="s">
        <v>1377</v>
      </c>
      <c r="D139" s="65" t="s">
        <v>1519</v>
      </c>
      <c r="E139" s="65" t="s">
        <v>1640</v>
      </c>
      <c r="F139" s="166" t="str">
        <f>VLOOKUP(MP_registro[[#This Row],[TAG]],'DB-EQUIPOS GEN'!$C$11:$H$833,2,0)</f>
        <v>Conductor de alimentación a difusor y retorno</v>
      </c>
      <c r="G139" s="167" t="str">
        <f>VLOOKUP(MP_registro[[#This Row],[TAG]],'DB-EQUIPOS GEN'!$C$11:$H$833,3,0)</f>
        <v>EXTRACCION</v>
      </c>
      <c r="H139" s="166" t="str">
        <f>VLOOKUP(MP_registro[[#This Row],[TAG]],'DB-EQUIPOS GEN'!$C$11:$H$833,4,0)</f>
        <v>PREPARACIÓN DE CAÑA</v>
      </c>
      <c r="I139" s="166" t="str">
        <f>VLOOKUP(MP_registro[[#This Row],[TAG]],'DB-EQUIPOS GEN'!$C$11:$H$833,5,0)</f>
        <v>CONDUCTOR DE RETORNO</v>
      </c>
      <c r="J139" s="166" t="str">
        <f>VLOOKUP(MP_registro[[#This Row],[TAG]],'DB-EQUIPOS GEN'!$C$11:$H$833,6,0)</f>
        <v>0115CV090</v>
      </c>
      <c r="K139" s="67">
        <v>44689</v>
      </c>
      <c r="L139" s="65" t="s">
        <v>245</v>
      </c>
      <c r="M139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39" s="64" t="s">
        <v>1664</v>
      </c>
      <c r="O139" s="64" t="s">
        <v>1696</v>
      </c>
    </row>
    <row r="140" spans="1:15" s="42" customFormat="1" ht="35.25" customHeight="1">
      <c r="A140" s="64">
        <v>139</v>
      </c>
      <c r="B140" s="64" t="s">
        <v>261</v>
      </c>
      <c r="C140" s="64" t="s">
        <v>1377</v>
      </c>
      <c r="D140" s="65" t="s">
        <v>1520</v>
      </c>
      <c r="E140" s="65" t="s">
        <v>1640</v>
      </c>
      <c r="F140" s="166" t="str">
        <f>VLOOKUP(MP_registro[[#This Row],[TAG]],'DB-EQUIPOS GEN'!$C$11:$H$833,2,0)</f>
        <v>Conductor de alimentación a difusor y retorno</v>
      </c>
      <c r="G140" s="167" t="str">
        <f>VLOOKUP(MP_registro[[#This Row],[TAG]],'DB-EQUIPOS GEN'!$C$11:$H$833,3,0)</f>
        <v>EXTRACCION</v>
      </c>
      <c r="H140" s="167" t="str">
        <f>VLOOKUP(MP_registro[[#This Row],[TAG]],'DB-EQUIPOS GEN'!$C$11:$H$833,4,0)</f>
        <v>PREPARACIÓN DE CAÑA</v>
      </c>
      <c r="I140" s="167" t="str">
        <f>VLOOKUP(MP_registro[[#This Row],[TAG]],'DB-EQUIPOS GEN'!$C$11:$H$833,5,0)</f>
        <v>CONDUCTOR DE RETORNO</v>
      </c>
      <c r="J140" s="167" t="str">
        <f>VLOOKUP(MP_registro[[#This Row],[TAG]],'DB-EQUIPOS GEN'!$C$11:$H$833,6,0)</f>
        <v>0115CV090</v>
      </c>
      <c r="K140" s="66">
        <v>44696</v>
      </c>
      <c r="L140" s="64" t="s">
        <v>245</v>
      </c>
      <c r="M140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40" s="64" t="s">
        <v>1664</v>
      </c>
      <c r="O140" s="64" t="s">
        <v>1696</v>
      </c>
    </row>
    <row r="141" spans="1:15" s="42" customFormat="1" ht="35.25" customHeight="1">
      <c r="A141" s="65">
        <v>140</v>
      </c>
      <c r="B141" s="64" t="s">
        <v>261</v>
      </c>
      <c r="C141" s="64" t="s">
        <v>1377</v>
      </c>
      <c r="D141" s="65" t="s">
        <v>1521</v>
      </c>
      <c r="E141" s="65" t="s">
        <v>1641</v>
      </c>
      <c r="F141" s="166" t="str">
        <f>VLOOKUP(MP_registro[[#This Row],[TAG]],'DB-EQUIPOS GEN'!$C$11:$H$833,2,0)</f>
        <v>Mesa de caña</v>
      </c>
      <c r="G141" s="167" t="str">
        <f>VLOOKUP(MP_registro[[#This Row],[TAG]],'DB-EQUIPOS GEN'!$C$11:$H$833,3,0)</f>
        <v>EXTRACCION</v>
      </c>
      <c r="H141" s="166" t="str">
        <f>VLOOKUP(MP_registro[[#This Row],[TAG]],'DB-EQUIPOS GEN'!$C$11:$H$833,4,0)</f>
        <v>RECEPCIÓN DE CAÑA</v>
      </c>
      <c r="I141" s="166" t="str">
        <f>VLOOKUP(MP_registro[[#This Row],[TAG]],'DB-EQUIPOS GEN'!$C$11:$H$833,5,0)</f>
        <v>MESA DE CAÑA</v>
      </c>
      <c r="J141" s="166" t="str">
        <f>VLOOKUP(MP_registro[[#This Row],[TAG]],'DB-EQUIPOS GEN'!$C$11:$H$833,6,0)</f>
        <v>0110FE019</v>
      </c>
      <c r="K141" s="67">
        <v>44689</v>
      </c>
      <c r="L141" s="65" t="s">
        <v>247</v>
      </c>
      <c r="M141" s="65" t="s">
        <v>2404</v>
      </c>
      <c r="N141" s="64" t="s">
        <v>1664</v>
      </c>
      <c r="O141" s="64" t="s">
        <v>1696</v>
      </c>
    </row>
    <row r="142" spans="1:15" s="42" customFormat="1" ht="35.25" customHeight="1">
      <c r="A142" s="64">
        <v>141</v>
      </c>
      <c r="B142" s="64" t="s">
        <v>261</v>
      </c>
      <c r="C142" s="64" t="s">
        <v>1377</v>
      </c>
      <c r="D142" s="65" t="s">
        <v>1522</v>
      </c>
      <c r="E142" s="65" t="s">
        <v>1641</v>
      </c>
      <c r="F142" s="166" t="str">
        <f>VLOOKUP(MP_registro[[#This Row],[TAG]],'DB-EQUIPOS GEN'!$C$11:$H$833,2,0)</f>
        <v>Mesa de caña</v>
      </c>
      <c r="G142" s="167" t="str">
        <f>VLOOKUP(MP_registro[[#This Row],[TAG]],'DB-EQUIPOS GEN'!$C$11:$H$833,3,0)</f>
        <v>EXTRACCION</v>
      </c>
      <c r="H142" s="167" t="str">
        <f>VLOOKUP(MP_registro[[#This Row],[TAG]],'DB-EQUIPOS GEN'!$C$11:$H$833,4,0)</f>
        <v>RECEPCIÓN DE CAÑA</v>
      </c>
      <c r="I142" s="167" t="str">
        <f>VLOOKUP(MP_registro[[#This Row],[TAG]],'DB-EQUIPOS GEN'!$C$11:$H$833,5,0)</f>
        <v>MESA DE CAÑA</v>
      </c>
      <c r="J142" s="167" t="str">
        <f>VLOOKUP(MP_registro[[#This Row],[TAG]],'DB-EQUIPOS GEN'!$C$11:$H$833,6,0)</f>
        <v>0110FE019</v>
      </c>
      <c r="K142" s="66">
        <v>44696</v>
      </c>
      <c r="L142" s="64" t="s">
        <v>247</v>
      </c>
      <c r="M142" s="65" t="s">
        <v>2404</v>
      </c>
      <c r="N142" s="64" t="s">
        <v>1664</v>
      </c>
      <c r="O142" s="64" t="s">
        <v>1696</v>
      </c>
    </row>
    <row r="143" spans="1:15" s="42" customFormat="1" ht="35.25" customHeight="1">
      <c r="A143" s="65">
        <v>142</v>
      </c>
      <c r="B143" s="64" t="s">
        <v>261</v>
      </c>
      <c r="C143" s="64" t="s">
        <v>1377</v>
      </c>
      <c r="D143" s="65" t="s">
        <v>1523</v>
      </c>
      <c r="E143" s="65" t="s">
        <v>1642</v>
      </c>
      <c r="F143" s="166" t="str">
        <f>VLOOKUP(MP_registro[[#This Row],[TAG]],'DB-EQUIPOS GEN'!$C$11:$H$833,2,0)</f>
        <v>Salida de bagazo de molino secador</v>
      </c>
      <c r="G143" s="167" t="str">
        <f>VLOOKUP(MP_registro[[#This Row],[TAG]],'DB-EQUIPOS GEN'!$C$11:$H$833,3,0)</f>
        <v>EXTRACCION</v>
      </c>
      <c r="H143" s="166" t="str">
        <f>VLOOKUP(MP_registro[[#This Row],[TAG]],'DB-EQUIPOS GEN'!$C$11:$H$833,4,0)</f>
        <v>MOLINOS</v>
      </c>
      <c r="I143" s="166" t="str">
        <f>VLOOKUP(MP_registro[[#This Row],[TAG]],'DB-EQUIPOS GEN'!$C$11:$H$833,5,0)</f>
        <v>MOLINO SECADOR</v>
      </c>
      <c r="J143" s="166" t="str">
        <f>VLOOKUP(MP_registro[[#This Row],[TAG]],'DB-EQUIPOS GEN'!$C$11:$H$833,6,0)</f>
        <v>0210MM090</v>
      </c>
      <c r="K143" s="67">
        <v>44690</v>
      </c>
      <c r="L143" s="65" t="s">
        <v>245</v>
      </c>
      <c r="M143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43" s="64" t="s">
        <v>1664</v>
      </c>
      <c r="O143" s="64" t="s">
        <v>1696</v>
      </c>
    </row>
    <row r="144" spans="1:15" s="42" customFormat="1" ht="35.25" customHeight="1">
      <c r="A144" s="64">
        <v>143</v>
      </c>
      <c r="B144" s="64" t="s">
        <v>261</v>
      </c>
      <c r="C144" s="64" t="s">
        <v>1377</v>
      </c>
      <c r="D144" s="65" t="s">
        <v>1524</v>
      </c>
      <c r="E144" s="65" t="s">
        <v>1643</v>
      </c>
      <c r="F144" s="166" t="str">
        <f>VLOOKUP(MP_registro[[#This Row],[TAG]],'DB-EQUIPOS GEN'!$C$11:$H$833,2,0)</f>
        <v>Nivelador de cama de bagazo en difusor</v>
      </c>
      <c r="G144" s="167" t="str">
        <f>VLOOKUP(MP_registro[[#This Row],[TAG]],'DB-EQUIPOS GEN'!$C$11:$H$833,3,0)</f>
        <v>EXTRACCION</v>
      </c>
      <c r="H144" s="167" t="str">
        <f>VLOOKUP(MP_registro[[#This Row],[TAG]],'DB-EQUIPOS GEN'!$C$11:$H$833,4,0)</f>
        <v>DIFUSOR</v>
      </c>
      <c r="I144" s="167" t="str">
        <f>VLOOKUP(MP_registro[[#This Row],[TAG]],'DB-EQUIPOS GEN'!$C$11:$H$833,5,0)</f>
        <v>CONDUCTOR TRANSVERSAL</v>
      </c>
      <c r="J144" s="167" t="str">
        <f>VLOOKUP(MP_registro[[#This Row],[TAG]],'DB-EQUIPOS GEN'!$C$11:$H$833,6,0)</f>
        <v>0205CV190</v>
      </c>
      <c r="K144" s="66">
        <v>44689</v>
      </c>
      <c r="L144" s="64" t="s">
        <v>245</v>
      </c>
      <c r="M144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44" s="64" t="s">
        <v>1664</v>
      </c>
      <c r="O144" s="64" t="s">
        <v>1696</v>
      </c>
    </row>
    <row r="145" spans="1:15" s="42" customFormat="1" ht="35.25" customHeight="1">
      <c r="A145" s="65">
        <v>144</v>
      </c>
      <c r="B145" s="64" t="s">
        <v>261</v>
      </c>
      <c r="C145" s="64" t="s">
        <v>1377</v>
      </c>
      <c r="D145" s="65" t="s">
        <v>1525</v>
      </c>
      <c r="E145" s="65" t="s">
        <v>1643</v>
      </c>
      <c r="F145" s="166" t="str">
        <f>VLOOKUP(MP_registro[[#This Row],[TAG]],'DB-EQUIPOS GEN'!$C$11:$H$833,2,0)</f>
        <v>Nivelador de cama de bagazo en difusor</v>
      </c>
      <c r="G145" s="167" t="str">
        <f>VLOOKUP(MP_registro[[#This Row],[TAG]],'DB-EQUIPOS GEN'!$C$11:$H$833,3,0)</f>
        <v>EXTRACCION</v>
      </c>
      <c r="H145" s="166" t="str">
        <f>VLOOKUP(MP_registro[[#This Row],[TAG]],'DB-EQUIPOS GEN'!$C$11:$H$833,4,0)</f>
        <v>DIFUSOR</v>
      </c>
      <c r="I145" s="166" t="str">
        <f>VLOOKUP(MP_registro[[#This Row],[TAG]],'DB-EQUIPOS GEN'!$C$11:$H$833,5,0)</f>
        <v>CONDUCTOR TRANSVERSAL</v>
      </c>
      <c r="J145" s="166" t="str">
        <f>VLOOKUP(MP_registro[[#This Row],[TAG]],'DB-EQUIPOS GEN'!$C$11:$H$833,6,0)</f>
        <v>0205CV190</v>
      </c>
      <c r="K145" s="67">
        <v>44696</v>
      </c>
      <c r="L145" s="65" t="s">
        <v>245</v>
      </c>
      <c r="M145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45" s="64" t="s">
        <v>1664</v>
      </c>
      <c r="O145" s="64" t="s">
        <v>1696</v>
      </c>
    </row>
    <row r="146" spans="1:15" s="42" customFormat="1" ht="35.25" customHeight="1">
      <c r="A146" s="64">
        <v>145</v>
      </c>
      <c r="B146" s="64" t="s">
        <v>261</v>
      </c>
      <c r="C146" s="64" t="s">
        <v>1377</v>
      </c>
      <c r="D146" s="65" t="s">
        <v>1526</v>
      </c>
      <c r="E146" s="65" t="s">
        <v>1644</v>
      </c>
      <c r="F146" s="166" t="str">
        <f>VLOOKUP(MP_registro[[#This Row],[TAG]],'DB-EQUIPOS GEN'!$C$11:$H$833,2,0)</f>
        <v>Explanada de Turbina Triveni</v>
      </c>
      <c r="G146" s="167" t="str">
        <f>VLOOKUP(MP_registro[[#This Row],[TAG]],'DB-EQUIPOS GEN'!$C$11:$H$833,3,0)</f>
        <v>E. ELECTRICA</v>
      </c>
      <c r="H146" s="167" t="str">
        <f>VLOOKUP(MP_registro[[#This Row],[TAG]],'DB-EQUIPOS GEN'!$C$11:$H$833,4,0)</f>
        <v>GENERACIÓN ENERG. ELEC. TURBO GENERADOR</v>
      </c>
      <c r="I146" s="167" t="str">
        <f>VLOOKUP(MP_registro[[#This Row],[TAG]],'DB-EQUIPOS GEN'!$C$11:$H$833,5,0)</f>
        <v>TURBOGENERADOR TRIVENI 23.2 MW</v>
      </c>
      <c r="J146" s="167" t="str">
        <f>VLOOKUP(MP_registro[[#This Row],[TAG]],'DB-EQUIPOS GEN'!$C$11:$H$833,6,0)</f>
        <v>0430TG020</v>
      </c>
      <c r="K146" s="66">
        <v>44688</v>
      </c>
      <c r="L146" s="64" t="s">
        <v>245</v>
      </c>
      <c r="M146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46" s="64" t="s">
        <v>1664</v>
      </c>
      <c r="O146" s="64" t="s">
        <v>1696</v>
      </c>
    </row>
    <row r="147" spans="1:15" s="42" customFormat="1" ht="35.25" customHeight="1">
      <c r="A147" s="65">
        <v>146</v>
      </c>
      <c r="B147" s="64" t="s">
        <v>261</v>
      </c>
      <c r="C147" s="64" t="s">
        <v>1377</v>
      </c>
      <c r="D147" s="65" t="s">
        <v>1527</v>
      </c>
      <c r="E147" s="65" t="s">
        <v>1644</v>
      </c>
      <c r="F147" s="166" t="str">
        <f>VLOOKUP(MP_registro[[#This Row],[TAG]],'DB-EQUIPOS GEN'!$C$11:$H$833,2,0)</f>
        <v>Explanada de Turbina Triveni</v>
      </c>
      <c r="G147" s="167" t="str">
        <f>VLOOKUP(MP_registro[[#This Row],[TAG]],'DB-EQUIPOS GEN'!$C$11:$H$833,3,0)</f>
        <v>E. ELECTRICA</v>
      </c>
      <c r="H147" s="166" t="str">
        <f>VLOOKUP(MP_registro[[#This Row],[TAG]],'DB-EQUIPOS GEN'!$C$11:$H$833,4,0)</f>
        <v>GENERACIÓN ENERG. ELEC. TURBO GENERADOR</v>
      </c>
      <c r="I147" s="166" t="str">
        <f>VLOOKUP(MP_registro[[#This Row],[TAG]],'DB-EQUIPOS GEN'!$C$11:$H$833,5,0)</f>
        <v>TURBOGENERADOR TRIVENI 23.2 MW</v>
      </c>
      <c r="J147" s="166" t="str">
        <f>VLOOKUP(MP_registro[[#This Row],[TAG]],'DB-EQUIPOS GEN'!$C$11:$H$833,6,0)</f>
        <v>0430TG020</v>
      </c>
      <c r="K147" s="67">
        <v>44695</v>
      </c>
      <c r="L147" s="65" t="s">
        <v>245</v>
      </c>
      <c r="M147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47" s="64" t="s">
        <v>1664</v>
      </c>
      <c r="O147" s="64" t="s">
        <v>1696</v>
      </c>
    </row>
    <row r="148" spans="1:15" s="42" customFormat="1" ht="35.25" customHeight="1">
      <c r="A148" s="64">
        <v>147</v>
      </c>
      <c r="B148" s="64" t="s">
        <v>261</v>
      </c>
      <c r="C148" s="64" t="s">
        <v>1377</v>
      </c>
      <c r="D148" s="65" t="s">
        <v>1528</v>
      </c>
      <c r="E148" s="65" t="s">
        <v>1645</v>
      </c>
      <c r="F148" s="166" t="str">
        <f>VLOOKUP(MP_registro[[#This Row],[TAG]],'DB-EQUIPOS GEN'!$C$11:$H$833,2,0)</f>
        <v>Tamiz rotativo</v>
      </c>
      <c r="G148" s="167" t="str">
        <f>VLOOKUP(MP_registro[[#This Row],[TAG]],'DB-EQUIPOS GEN'!$C$11:$H$833,3,0)</f>
        <v>EXTRACCION</v>
      </c>
      <c r="H148" s="167" t="str">
        <f>VLOOKUP(MP_registro[[#This Row],[TAG]],'DB-EQUIPOS GEN'!$C$11:$H$833,4,0)</f>
        <v>DIFUSOR</v>
      </c>
      <c r="I148" s="167" t="str">
        <f>VLOOKUP(MP_registro[[#This Row],[TAG]],'DB-EQUIPOS GEN'!$C$11:$H$833,5,0)</f>
        <v>TAMIZ ROTATIVO</v>
      </c>
      <c r="J148" s="167" t="str">
        <f>VLOOKUP(MP_registro[[#This Row],[TAG]],'DB-EQUIPOS GEN'!$C$11:$H$833,6,0)</f>
        <v>0305FL010</v>
      </c>
      <c r="K148" s="66">
        <v>44688</v>
      </c>
      <c r="L148" s="64" t="s">
        <v>245</v>
      </c>
      <c r="M148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48" s="64" t="s">
        <v>1664</v>
      </c>
      <c r="O148" s="64" t="s">
        <v>1696</v>
      </c>
    </row>
    <row r="149" spans="1:15" s="42" customFormat="1" ht="35.25" customHeight="1">
      <c r="A149" s="65">
        <v>148</v>
      </c>
      <c r="B149" s="64" t="s">
        <v>261</v>
      </c>
      <c r="C149" s="64" t="s">
        <v>1377</v>
      </c>
      <c r="D149" s="65" t="s">
        <v>1529</v>
      </c>
      <c r="E149" s="65" t="s">
        <v>1645</v>
      </c>
      <c r="F149" s="166" t="str">
        <f>VLOOKUP(MP_registro[[#This Row],[TAG]],'DB-EQUIPOS GEN'!$C$11:$H$833,2,0)</f>
        <v>Tamiz rotativo</v>
      </c>
      <c r="G149" s="167" t="str">
        <f>VLOOKUP(MP_registro[[#This Row],[TAG]],'DB-EQUIPOS GEN'!$C$11:$H$833,3,0)</f>
        <v>EXTRACCION</v>
      </c>
      <c r="H149" s="166" t="str">
        <f>VLOOKUP(MP_registro[[#This Row],[TAG]],'DB-EQUIPOS GEN'!$C$11:$H$833,4,0)</f>
        <v>DIFUSOR</v>
      </c>
      <c r="I149" s="166" t="str">
        <f>VLOOKUP(MP_registro[[#This Row],[TAG]],'DB-EQUIPOS GEN'!$C$11:$H$833,5,0)</f>
        <v>TAMIZ ROTATIVO</v>
      </c>
      <c r="J149" s="166" t="str">
        <f>VLOOKUP(MP_registro[[#This Row],[TAG]],'DB-EQUIPOS GEN'!$C$11:$H$833,6,0)</f>
        <v>0305FL010</v>
      </c>
      <c r="K149" s="67">
        <v>44695</v>
      </c>
      <c r="L149" s="65" t="s">
        <v>245</v>
      </c>
      <c r="M149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49" s="64" t="s">
        <v>1664</v>
      </c>
      <c r="O149" s="64" t="s">
        <v>1696</v>
      </c>
    </row>
    <row r="150" spans="1:15" s="42" customFormat="1" ht="35.25" customHeight="1">
      <c r="A150" s="64">
        <v>149</v>
      </c>
      <c r="B150" s="64" t="s">
        <v>261</v>
      </c>
      <c r="C150" s="64" t="s">
        <v>1377</v>
      </c>
      <c r="D150" s="65" t="s">
        <v>1530</v>
      </c>
      <c r="E150" s="65" t="s">
        <v>1646</v>
      </c>
      <c r="F150" s="166" t="str">
        <f>VLOOKUP(MP_registro[[#This Row],[TAG]],'DB-EQUIPOS GEN'!$C$11:$H$833,2,0)</f>
        <v>Segundo nivel de Turbina TGM</v>
      </c>
      <c r="G150" s="167" t="str">
        <f>VLOOKUP(MP_registro[[#This Row],[TAG]],'DB-EQUIPOS GEN'!$C$11:$H$833,3,0)</f>
        <v>E. ELECTRICA</v>
      </c>
      <c r="H150" s="167" t="str">
        <f>VLOOKUP(MP_registro[[#This Row],[TAG]],'DB-EQUIPOS GEN'!$C$11:$H$833,4,0)</f>
        <v>SISTEMA DE ENFRIAMIENTO</v>
      </c>
      <c r="I150" s="167" t="str">
        <f>VLOOKUP(MP_registro[[#This Row],[TAG]],'DB-EQUIPOS GEN'!$C$11:$H$833,5,0)</f>
        <v>TORRE DE ENFRIAMIENTO MARLEY - TG TGM</v>
      </c>
      <c r="J150" s="167" t="str">
        <f>VLOOKUP(MP_registro[[#This Row],[TAG]],'DB-EQUIPOS GEN'!$C$11:$H$833,6,0)</f>
        <v>0430CT050</v>
      </c>
      <c r="K150" s="66">
        <v>44690</v>
      </c>
      <c r="L150" s="64" t="s">
        <v>245</v>
      </c>
      <c r="M150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50" s="64" t="s">
        <v>1664</v>
      </c>
      <c r="O150" s="64" t="s">
        <v>1696</v>
      </c>
    </row>
    <row r="151" spans="1:15" s="42" customFormat="1" ht="35.25" customHeight="1">
      <c r="A151" s="65">
        <v>150</v>
      </c>
      <c r="B151" s="64" t="s">
        <v>261</v>
      </c>
      <c r="C151" s="64" t="s">
        <v>1377</v>
      </c>
      <c r="D151" s="65" t="s">
        <v>1531</v>
      </c>
      <c r="E151" s="65" t="s">
        <v>1656</v>
      </c>
      <c r="F151" s="166" t="str">
        <f>VLOOKUP(MP_registro[[#This Row],[TAG]],'DB-EQUIPOS GEN'!$C$11:$H$833,2,0)</f>
        <v>Descarga de centrifugas continuas</v>
      </c>
      <c r="G151" s="167" t="str">
        <f>VLOOKUP(MP_registro[[#This Row],[TAG]],'DB-EQUIPOS GEN'!$C$11:$H$833,3,0)</f>
        <v>PRODUCCION</v>
      </c>
      <c r="H151" s="166" t="str">
        <f>VLOOKUP(MP_registro[[#This Row],[TAG]],'DB-EQUIPOS GEN'!$C$11:$H$833,4,0)</f>
        <v>CENTRIFUGACIÓN DE AZÚCAR</v>
      </c>
      <c r="I151" s="166" t="str">
        <f>VLOOKUP(MP_registro[[#This Row],[TAG]],'DB-EQUIPOS GEN'!$C$11:$H$833,5,0)</f>
        <v>CENTRIFUGA CONTINUA 1 - C (FRANCIA)</v>
      </c>
      <c r="J151" s="166" t="str">
        <f>VLOOKUP(MP_registro[[#This Row],[TAG]],'DB-EQUIPOS GEN'!$C$11:$H$833,6,0)</f>
        <v>0345SQ160</v>
      </c>
      <c r="K151" s="67">
        <v>44692</v>
      </c>
      <c r="L151" s="65" t="s">
        <v>247</v>
      </c>
      <c r="M151" s="65" t="s">
        <v>2404</v>
      </c>
      <c r="N151" s="64" t="s">
        <v>1664</v>
      </c>
      <c r="O151" s="64" t="s">
        <v>1696</v>
      </c>
    </row>
    <row r="152" spans="1:15" s="42" customFormat="1" ht="35.25" customHeight="1">
      <c r="A152" s="64">
        <v>151</v>
      </c>
      <c r="B152" s="64" t="s">
        <v>261</v>
      </c>
      <c r="C152" s="64" t="s">
        <v>1377</v>
      </c>
      <c r="D152" s="65" t="s">
        <v>1532</v>
      </c>
      <c r="E152" s="65" t="s">
        <v>1657</v>
      </c>
      <c r="F152" s="166" t="str">
        <f>VLOOKUP(MP_registro[[#This Row],[TAG]],'DB-EQUIPOS GEN'!$C$11:$H$833,2,0)</f>
        <v>Pug mill B, Cabezal C de centrifugas continuas</v>
      </c>
      <c r="G152" s="167" t="str">
        <f>VLOOKUP(MP_registro[[#This Row],[TAG]],'DB-EQUIPOS GEN'!$C$11:$H$833,3,0)</f>
        <v>PRODUCCION</v>
      </c>
      <c r="H152" s="167" t="str">
        <f>VLOOKUP(MP_registro[[#This Row],[TAG]],'DB-EQUIPOS GEN'!$C$11:$H$833,4,0)</f>
        <v>CENTRIFUGACIÓN DE AZÚCAR</v>
      </c>
      <c r="I152" s="167" t="str">
        <f>VLOOKUP(MP_registro[[#This Row],[TAG]],'DB-EQUIPOS GEN'!$C$11:$H$833,5,0)</f>
        <v>PUG MILL - B</v>
      </c>
      <c r="J152" s="167" t="str">
        <f>VLOOKUP(MP_registro[[#This Row],[TAG]],'DB-EQUIPOS GEN'!$C$11:$H$833,6,0)</f>
        <v>0345MM020</v>
      </c>
      <c r="K152" s="66">
        <v>44692</v>
      </c>
      <c r="L152" s="64" t="s">
        <v>249</v>
      </c>
      <c r="M152" s="64" t="s">
        <v>2403</v>
      </c>
      <c r="N152" s="64" t="s">
        <v>1664</v>
      </c>
      <c r="O152" s="64" t="s">
        <v>1696</v>
      </c>
    </row>
    <row r="153" spans="1:15" s="42" customFormat="1" ht="35.25" customHeight="1">
      <c r="A153" s="65">
        <v>152</v>
      </c>
      <c r="B153" s="64" t="s">
        <v>261</v>
      </c>
      <c r="C153" s="64" t="s">
        <v>1377</v>
      </c>
      <c r="D153" s="65" t="s">
        <v>1533</v>
      </c>
      <c r="E153" s="65" t="s">
        <v>1658</v>
      </c>
      <c r="F153" s="166" t="str">
        <f>VLOOKUP(MP_registro[[#This Row],[TAG]],'DB-EQUIPOS GEN'!$C$11:$H$833,2,0)</f>
        <v>Pug mill A - Centrifugas batch</v>
      </c>
      <c r="G153" s="167" t="str">
        <f>VLOOKUP(MP_registro[[#This Row],[TAG]],'DB-EQUIPOS GEN'!$C$11:$H$833,3,0)</f>
        <v>PRODUCCION</v>
      </c>
      <c r="H153" s="166" t="str">
        <f>VLOOKUP(MP_registro[[#This Row],[TAG]],'DB-EQUIPOS GEN'!$C$11:$H$833,4,0)</f>
        <v>CENTRIFUGACIÓN DE AZÚCAR</v>
      </c>
      <c r="I153" s="166" t="str">
        <f>VLOOKUP(MP_registro[[#This Row],[TAG]],'DB-EQUIPOS GEN'!$C$11:$H$833,5,0)</f>
        <v>PUG MILL - A</v>
      </c>
      <c r="J153" s="166" t="str">
        <f>VLOOKUP(MP_registro[[#This Row],[TAG]],'DB-EQUIPOS GEN'!$C$11:$H$833,6,0)</f>
        <v>0345MM010</v>
      </c>
      <c r="K153" s="67">
        <v>44686</v>
      </c>
      <c r="L153" s="65" t="s">
        <v>247</v>
      </c>
      <c r="M153" s="65" t="s">
        <v>2404</v>
      </c>
      <c r="N153" s="64" t="s">
        <v>1664</v>
      </c>
      <c r="O153" s="64" t="s">
        <v>1696</v>
      </c>
    </row>
    <row r="154" spans="1:15" s="42" customFormat="1" ht="35.25" customHeight="1">
      <c r="A154" s="64">
        <v>153</v>
      </c>
      <c r="B154" s="64" t="s">
        <v>261</v>
      </c>
      <c r="C154" s="64" t="s">
        <v>1377</v>
      </c>
      <c r="D154" s="65" t="s">
        <v>1534</v>
      </c>
      <c r="E154" s="65" t="s">
        <v>1658</v>
      </c>
      <c r="F154" s="166" t="str">
        <f>VLOOKUP(MP_registro[[#This Row],[TAG]],'DB-EQUIPOS GEN'!$C$11:$H$833,2,0)</f>
        <v>Pug mill A - Centrifugas batch</v>
      </c>
      <c r="G154" s="167" t="str">
        <f>VLOOKUP(MP_registro[[#This Row],[TAG]],'DB-EQUIPOS GEN'!$C$11:$H$833,3,0)</f>
        <v>PRODUCCION</v>
      </c>
      <c r="H154" s="167" t="str">
        <f>VLOOKUP(MP_registro[[#This Row],[TAG]],'DB-EQUIPOS GEN'!$C$11:$H$833,4,0)</f>
        <v>CENTRIFUGACIÓN DE AZÚCAR</v>
      </c>
      <c r="I154" s="167" t="str">
        <f>VLOOKUP(MP_registro[[#This Row],[TAG]],'DB-EQUIPOS GEN'!$C$11:$H$833,5,0)</f>
        <v>PUG MILL - A</v>
      </c>
      <c r="J154" s="167" t="str">
        <f>VLOOKUP(MP_registro[[#This Row],[TAG]],'DB-EQUIPOS GEN'!$C$11:$H$833,6,0)</f>
        <v>0345MM010</v>
      </c>
      <c r="K154" s="66">
        <v>44693</v>
      </c>
      <c r="L154" s="64" t="s">
        <v>247</v>
      </c>
      <c r="M154" s="65" t="s">
        <v>2404</v>
      </c>
      <c r="N154" s="64" t="s">
        <v>1664</v>
      </c>
      <c r="O154" s="64" t="s">
        <v>1696</v>
      </c>
    </row>
    <row r="155" spans="1:15" s="42" customFormat="1" ht="35.25" customHeight="1">
      <c r="A155" s="65">
        <v>154</v>
      </c>
      <c r="B155" s="64" t="s">
        <v>261</v>
      </c>
      <c r="C155" s="64" t="s">
        <v>1377</v>
      </c>
      <c r="D155" s="65" t="s">
        <v>1535</v>
      </c>
      <c r="E155" s="65" t="s">
        <v>1659</v>
      </c>
      <c r="F155" s="166" t="str">
        <f>VLOOKUP(MP_registro[[#This Row],[TAG]],'DB-EQUIPOS GEN'!$C$11:$H$833,2,0)</f>
        <v>Vista global de tanques de jarabe 1,2 y 3</v>
      </c>
      <c r="G155" s="167" t="str">
        <f>VLOOKUP(MP_registro[[#This Row],[TAG]],'DB-EQUIPOS GEN'!$C$11:$H$833,3,0)</f>
        <v>PRODUCCION</v>
      </c>
      <c r="H155" s="166" t="str">
        <f>VLOOKUP(MP_registro[[#This Row],[TAG]],'DB-EQUIPOS GEN'!$C$11:$H$833,4,0)</f>
        <v>CRISTALIZACIÓN POR COCCIÓN</v>
      </c>
      <c r="I155" s="166" t="str">
        <f>VLOOKUP(MP_registro[[#This Row],[TAG]],'DB-EQUIPOS GEN'!$C$11:$H$833,5,0)</f>
        <v>TANQUE DE JARABE 1</v>
      </c>
      <c r="J155" s="166" t="str">
        <f>VLOOKUP(MP_registro[[#This Row],[TAG]],'DB-EQUIPOS GEN'!$C$11:$H$833,6,0)</f>
        <v>0335TK010</v>
      </c>
      <c r="K155" s="67">
        <v>44691</v>
      </c>
      <c r="L155" s="65" t="s">
        <v>249</v>
      </c>
      <c r="M155" s="64" t="s">
        <v>2403</v>
      </c>
      <c r="N155" s="64" t="s">
        <v>1664</v>
      </c>
      <c r="O155" s="64" t="s">
        <v>1696</v>
      </c>
    </row>
    <row r="156" spans="1:15" s="42" customFormat="1" ht="35.25" customHeight="1">
      <c r="A156" s="64">
        <v>155</v>
      </c>
      <c r="B156" s="64" t="s">
        <v>261</v>
      </c>
      <c r="C156" s="64" t="s">
        <v>1377</v>
      </c>
      <c r="D156" s="65" t="s">
        <v>1536</v>
      </c>
      <c r="E156" s="65" t="s">
        <v>1660</v>
      </c>
      <c r="F156" s="166" t="str">
        <f>VLOOKUP(MP_registro[[#This Row],[TAG]],'DB-EQUIPOS GEN'!$C$11:$H$833,2,0)</f>
        <v>Vista global de tacho continuo A.</v>
      </c>
      <c r="G156" s="167" t="str">
        <f>VLOOKUP(MP_registro[[#This Row],[TAG]],'DB-EQUIPOS GEN'!$C$11:$H$833,3,0)</f>
        <v>PRODUCCION</v>
      </c>
      <c r="H156" s="167" t="str">
        <f>VLOOKUP(MP_registro[[#This Row],[TAG]],'DB-EQUIPOS GEN'!$C$11:$H$833,4,0)</f>
        <v>CRISTALIZACIÓN POR COCCIÓN</v>
      </c>
      <c r="I156" s="167" t="str">
        <f>VLOOKUP(MP_registro[[#This Row],[TAG]],'DB-EQUIPOS GEN'!$C$11:$H$833,5,0)</f>
        <v>TACHO CONTINUO - A</v>
      </c>
      <c r="J156" s="167" t="str">
        <f>VLOOKUP(MP_registro[[#This Row],[TAG]],'DB-EQUIPOS GEN'!$C$11:$H$833,6,0)</f>
        <v>0335HX200</v>
      </c>
      <c r="K156" s="66">
        <v>44686</v>
      </c>
      <c r="L156" s="64" t="s">
        <v>249</v>
      </c>
      <c r="M156" s="64" t="s">
        <v>2403</v>
      </c>
      <c r="N156" s="64" t="s">
        <v>1664</v>
      </c>
      <c r="O156" s="64" t="s">
        <v>1696</v>
      </c>
    </row>
    <row r="157" spans="1:15" s="42" customFormat="1" ht="35.25" customHeight="1">
      <c r="A157" s="65">
        <v>156</v>
      </c>
      <c r="B157" s="64" t="s">
        <v>261</v>
      </c>
      <c r="C157" s="64" t="s">
        <v>1377</v>
      </c>
      <c r="D157" s="65" t="s">
        <v>1537</v>
      </c>
      <c r="E157" s="65" t="s">
        <v>1660</v>
      </c>
      <c r="F157" s="166" t="str">
        <f>VLOOKUP(MP_registro[[#This Row],[TAG]],'DB-EQUIPOS GEN'!$C$11:$H$833,2,0)</f>
        <v>Vista global de tacho continuo A.</v>
      </c>
      <c r="G157" s="167" t="str">
        <f>VLOOKUP(MP_registro[[#This Row],[TAG]],'DB-EQUIPOS GEN'!$C$11:$H$833,3,0)</f>
        <v>PRODUCCION</v>
      </c>
      <c r="H157" s="166" t="str">
        <f>VLOOKUP(MP_registro[[#This Row],[TAG]],'DB-EQUIPOS GEN'!$C$11:$H$833,4,0)</f>
        <v>CRISTALIZACIÓN POR COCCIÓN</v>
      </c>
      <c r="I157" s="166" t="str">
        <f>VLOOKUP(MP_registro[[#This Row],[TAG]],'DB-EQUIPOS GEN'!$C$11:$H$833,5,0)</f>
        <v>TACHO CONTINUO - A</v>
      </c>
      <c r="J157" s="166" t="str">
        <f>VLOOKUP(MP_registro[[#This Row],[TAG]],'DB-EQUIPOS GEN'!$C$11:$H$833,6,0)</f>
        <v>0335HX200</v>
      </c>
      <c r="K157" s="67">
        <v>44693</v>
      </c>
      <c r="L157" s="65" t="s">
        <v>249</v>
      </c>
      <c r="M157" s="64" t="s">
        <v>2403</v>
      </c>
      <c r="N157" s="64" t="s">
        <v>1664</v>
      </c>
      <c r="O157" s="64" t="s">
        <v>1696</v>
      </c>
    </row>
    <row r="158" spans="1:15" s="42" customFormat="1" ht="35.25" customHeight="1">
      <c r="A158" s="64">
        <v>157</v>
      </c>
      <c r="B158" s="64" t="s">
        <v>261</v>
      </c>
      <c r="C158" s="64" t="s">
        <v>1377</v>
      </c>
      <c r="D158" s="65" t="s">
        <v>1538</v>
      </c>
      <c r="E158" s="65" t="s">
        <v>1661</v>
      </c>
      <c r="F158" s="166" t="str">
        <f>VLOOKUP(MP_registro[[#This Row],[TAG]],'DB-EQUIPOS GEN'!$C$11:$H$833,2,0)</f>
        <v xml:space="preserve">Faja de azucar seca a Silo </v>
      </c>
      <c r="G158" s="167" t="str">
        <f>VLOOKUP(MP_registro[[#This Row],[TAG]],'DB-EQUIPOS GEN'!$C$11:$H$833,3,0)</f>
        <v>PRODUCCION</v>
      </c>
      <c r="H158" s="167" t="str">
        <f>VLOOKUP(MP_registro[[#This Row],[TAG]],'DB-EQUIPOS GEN'!$C$11:$H$833,4,0)</f>
        <v>ENVASADO DE AZÚCAR RUBIA</v>
      </c>
      <c r="I158" s="167" t="str">
        <f>VLOOKUP(MP_registro[[#This Row],[TAG]],'DB-EQUIPOS GEN'!$C$11:$H$833,5,0)</f>
        <v>SILO DE AZUCAR 1</v>
      </c>
      <c r="J158" s="167" t="str">
        <f>VLOOKUP(MP_registro[[#This Row],[TAG]],'DB-EQUIPOS GEN'!$C$11:$H$833,6,0)</f>
        <v>0355BI090</v>
      </c>
      <c r="K158" s="66">
        <v>44692</v>
      </c>
      <c r="L158" s="64" t="s">
        <v>247</v>
      </c>
      <c r="M158" s="65" t="s">
        <v>2404</v>
      </c>
      <c r="N158" s="64" t="s">
        <v>1664</v>
      </c>
      <c r="O158" s="64" t="s">
        <v>1696</v>
      </c>
    </row>
    <row r="159" spans="1:15" s="42" customFormat="1" ht="35.25" customHeight="1">
      <c r="A159" s="65">
        <v>158</v>
      </c>
      <c r="B159" s="64" t="s">
        <v>261</v>
      </c>
      <c r="C159" s="64" t="s">
        <v>1377</v>
      </c>
      <c r="D159" s="65" t="s">
        <v>1539</v>
      </c>
      <c r="E159" s="65" t="s">
        <v>1647</v>
      </c>
      <c r="F159" s="166" t="str">
        <f>VLOOKUP(MP_registro[[#This Row],[TAG]],'DB-EQUIPOS GEN'!$C$11:$H$833,2,0)</f>
        <v>Explanada frontal de Turbina Triveni</v>
      </c>
      <c r="G159" s="167" t="str">
        <f>VLOOKUP(MP_registro[[#This Row],[TAG]],'DB-EQUIPOS GEN'!$C$11:$H$833,3,0)</f>
        <v>E. ELECTRICA</v>
      </c>
      <c r="H159" s="166" t="str">
        <f>VLOOKUP(MP_registro[[#This Row],[TAG]],'DB-EQUIPOS GEN'!$C$11:$H$833,4,0)</f>
        <v>GENERACIÓN ENERG. ELEC. TURBO GENERADOR</v>
      </c>
      <c r="I159" s="166" t="str">
        <f>VLOOKUP(MP_registro[[#This Row],[TAG]],'DB-EQUIPOS GEN'!$C$11:$H$833,5,0)</f>
        <v>TURBOGENERADOR TRIVENI 23.2 MW</v>
      </c>
      <c r="J159" s="166" t="str">
        <f>VLOOKUP(MP_registro[[#This Row],[TAG]],'DB-EQUIPOS GEN'!$C$11:$H$833,6,0)</f>
        <v>0430TG020</v>
      </c>
      <c r="K159" s="67">
        <v>44686</v>
      </c>
      <c r="L159" s="65" t="s">
        <v>245</v>
      </c>
      <c r="M159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59" s="64" t="s">
        <v>1664</v>
      </c>
      <c r="O159" s="64" t="s">
        <v>1696</v>
      </c>
    </row>
    <row r="160" spans="1:15" s="42" customFormat="1" ht="35.25" customHeight="1">
      <c r="A160" s="64">
        <v>159</v>
      </c>
      <c r="B160" s="64" t="s">
        <v>261</v>
      </c>
      <c r="C160" s="64" t="s">
        <v>1377</v>
      </c>
      <c r="D160" s="65" t="s">
        <v>1540</v>
      </c>
      <c r="E160" s="65" t="s">
        <v>1647</v>
      </c>
      <c r="F160" s="166" t="str">
        <f>VLOOKUP(MP_registro[[#This Row],[TAG]],'DB-EQUIPOS GEN'!$C$11:$H$833,2,0)</f>
        <v>Explanada frontal de Turbina Triveni</v>
      </c>
      <c r="G160" s="167" t="str">
        <f>VLOOKUP(MP_registro[[#This Row],[TAG]],'DB-EQUIPOS GEN'!$C$11:$H$833,3,0)</f>
        <v>E. ELECTRICA</v>
      </c>
      <c r="H160" s="167" t="str">
        <f>VLOOKUP(MP_registro[[#This Row],[TAG]],'DB-EQUIPOS GEN'!$C$11:$H$833,4,0)</f>
        <v>GENERACIÓN ENERG. ELEC. TURBO GENERADOR</v>
      </c>
      <c r="I160" s="167" t="str">
        <f>VLOOKUP(MP_registro[[#This Row],[TAG]],'DB-EQUIPOS GEN'!$C$11:$H$833,5,0)</f>
        <v>TURBOGENERADOR TRIVENI 23.2 MW</v>
      </c>
      <c r="J160" s="167" t="str">
        <f>VLOOKUP(MP_registro[[#This Row],[TAG]],'DB-EQUIPOS GEN'!$C$11:$H$833,6,0)</f>
        <v>0430TG020</v>
      </c>
      <c r="K160" s="66">
        <v>44693</v>
      </c>
      <c r="L160" s="64" t="s">
        <v>245</v>
      </c>
      <c r="M160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60" s="64" t="s">
        <v>1664</v>
      </c>
      <c r="O160" s="64" t="s">
        <v>1696</v>
      </c>
    </row>
    <row r="161" spans="1:15" s="42" customFormat="1" ht="35.25" customHeight="1">
      <c r="A161" s="65">
        <v>160</v>
      </c>
      <c r="B161" s="64" t="s">
        <v>261</v>
      </c>
      <c r="C161" s="64" t="s">
        <v>1377</v>
      </c>
      <c r="D161" s="65" t="s">
        <v>1541</v>
      </c>
      <c r="E161" s="65" t="s">
        <v>1648</v>
      </c>
      <c r="F161" s="166" t="str">
        <f>VLOOKUP(MP_registro[[#This Row],[TAG]],'DB-EQUIPOS GEN'!$C$11:$H$833,2,0)</f>
        <v>Nivel de agua en domo</v>
      </c>
      <c r="G161" s="167" t="str">
        <f>VLOOKUP(MP_registro[[#This Row],[TAG]],'DB-EQUIPOS GEN'!$C$11:$H$833,3,0)</f>
        <v>E. TERMICA</v>
      </c>
      <c r="H161" s="166" t="str">
        <f>VLOOKUP(MP_registro[[#This Row],[TAG]],'DB-EQUIPOS GEN'!$C$11:$H$833,4,0)</f>
        <v>GENERACIÓN DE VAPOR</v>
      </c>
      <c r="I161" s="166" t="str">
        <f>VLOOKUP(MP_registro[[#This Row],[TAG]],'DB-EQUIPOS GEN'!$C$11:$H$833,5,0)</f>
        <v>DOMO SUPERIOR</v>
      </c>
      <c r="J161" s="166" t="str">
        <f>VLOOKUP(MP_registro[[#This Row],[TAG]],'DB-EQUIPOS GEN'!$C$11:$H$833,6,0)</f>
        <v>0405DO020</v>
      </c>
      <c r="K161" s="67">
        <v>44687</v>
      </c>
      <c r="L161" s="65" t="s">
        <v>247</v>
      </c>
      <c r="M161" s="65" t="s">
        <v>2404</v>
      </c>
      <c r="N161" s="64" t="s">
        <v>1664</v>
      </c>
      <c r="O161" s="64" t="s">
        <v>1696</v>
      </c>
    </row>
    <row r="162" spans="1:15" s="42" customFormat="1" ht="35.25" customHeight="1">
      <c r="A162" s="64">
        <v>161</v>
      </c>
      <c r="B162" s="64" t="s">
        <v>261</v>
      </c>
      <c r="C162" s="64" t="s">
        <v>1377</v>
      </c>
      <c r="D162" s="65" t="s">
        <v>1542</v>
      </c>
      <c r="E162" s="65" t="s">
        <v>1648</v>
      </c>
      <c r="F162" s="166" t="str">
        <f>VLOOKUP(MP_registro[[#This Row],[TAG]],'DB-EQUIPOS GEN'!$C$11:$H$833,2,0)</f>
        <v>Nivel de agua en domo</v>
      </c>
      <c r="G162" s="167" t="str">
        <f>VLOOKUP(MP_registro[[#This Row],[TAG]],'DB-EQUIPOS GEN'!$C$11:$H$833,3,0)</f>
        <v>E. TERMICA</v>
      </c>
      <c r="H162" s="167" t="str">
        <f>VLOOKUP(MP_registro[[#This Row],[TAG]],'DB-EQUIPOS GEN'!$C$11:$H$833,4,0)</f>
        <v>GENERACIÓN DE VAPOR</v>
      </c>
      <c r="I162" s="167" t="str">
        <f>VLOOKUP(MP_registro[[#This Row],[TAG]],'DB-EQUIPOS GEN'!$C$11:$H$833,5,0)</f>
        <v>DOMO SUPERIOR</v>
      </c>
      <c r="J162" s="167" t="str">
        <f>VLOOKUP(MP_registro[[#This Row],[TAG]],'DB-EQUIPOS GEN'!$C$11:$H$833,6,0)</f>
        <v>0405DO020</v>
      </c>
      <c r="K162" s="66">
        <v>44694</v>
      </c>
      <c r="L162" s="64" t="s">
        <v>247</v>
      </c>
      <c r="M162" s="65" t="s">
        <v>2404</v>
      </c>
      <c r="N162" s="64" t="s">
        <v>1664</v>
      </c>
      <c r="O162" s="64" t="s">
        <v>1696</v>
      </c>
    </row>
    <row r="163" spans="1:15" s="42" customFormat="1" ht="35.25" customHeight="1">
      <c r="A163" s="65">
        <v>162</v>
      </c>
      <c r="B163" s="64" t="s">
        <v>261</v>
      </c>
      <c r="C163" s="64" t="s">
        <v>1377</v>
      </c>
      <c r="D163" s="65" t="s">
        <v>1543</v>
      </c>
      <c r="E163" s="65" t="s">
        <v>1649</v>
      </c>
      <c r="F163" s="166" t="str">
        <f>VLOOKUP(MP_registro[[#This Row],[TAG]],'DB-EQUIPOS GEN'!$C$11:$H$833,2,0)</f>
        <v>Chute alimentadores de bagazo</v>
      </c>
      <c r="G163" s="167" t="str">
        <f>VLOOKUP(MP_registro[[#This Row],[TAG]],'DB-EQUIPOS GEN'!$C$11:$H$833,3,0)</f>
        <v>E. TERMICA</v>
      </c>
      <c r="H163" s="166" t="str">
        <f>VLOOKUP(MP_registro[[#This Row],[TAG]],'DB-EQUIPOS GEN'!$C$11:$H$833,4,0)</f>
        <v>TRANSPORTE DE BAGAZO</v>
      </c>
      <c r="I163" s="166" t="str">
        <f>VLOOKUP(MP_registro[[#This Row],[TAG]],'DB-EQUIPOS GEN'!$C$11:$H$833,5,0)</f>
        <v>ALIMENTADOR DE BAGAZO 1</v>
      </c>
      <c r="J163" s="166" t="str">
        <f>VLOOKUP(MP_registro[[#This Row],[TAG]],'DB-EQUIPOS GEN'!$C$11:$H$833,6,0)</f>
        <v>0405RV240</v>
      </c>
      <c r="K163" s="67">
        <v>44686</v>
      </c>
      <c r="L163" s="65" t="s">
        <v>249</v>
      </c>
      <c r="M163" s="64" t="s">
        <v>2403</v>
      </c>
      <c r="N163" s="64" t="s">
        <v>1664</v>
      </c>
      <c r="O163" s="64" t="s">
        <v>1696</v>
      </c>
    </row>
    <row r="164" spans="1:15" s="42" customFormat="1" ht="35.25" customHeight="1">
      <c r="A164" s="64">
        <v>163</v>
      </c>
      <c r="B164" s="64" t="s">
        <v>261</v>
      </c>
      <c r="C164" s="64" t="s">
        <v>1377</v>
      </c>
      <c r="D164" s="65" t="s">
        <v>1544</v>
      </c>
      <c r="E164" s="65" t="s">
        <v>1649</v>
      </c>
      <c r="F164" s="166" t="str">
        <f>VLOOKUP(MP_registro[[#This Row],[TAG]],'DB-EQUIPOS GEN'!$C$11:$H$833,2,0)</f>
        <v>Chute alimentadores de bagazo</v>
      </c>
      <c r="G164" s="167" t="str">
        <f>VLOOKUP(MP_registro[[#This Row],[TAG]],'DB-EQUIPOS GEN'!$C$11:$H$833,3,0)</f>
        <v>E. TERMICA</v>
      </c>
      <c r="H164" s="167" t="str">
        <f>VLOOKUP(MP_registro[[#This Row],[TAG]],'DB-EQUIPOS GEN'!$C$11:$H$833,4,0)</f>
        <v>TRANSPORTE DE BAGAZO</v>
      </c>
      <c r="I164" s="167" t="str">
        <f>VLOOKUP(MP_registro[[#This Row],[TAG]],'DB-EQUIPOS GEN'!$C$11:$H$833,5,0)</f>
        <v>ALIMENTADOR DE BAGAZO 1</v>
      </c>
      <c r="J164" s="167" t="str">
        <f>VLOOKUP(MP_registro[[#This Row],[TAG]],'DB-EQUIPOS GEN'!$C$11:$H$833,6,0)</f>
        <v>0405RV240</v>
      </c>
      <c r="K164" s="66">
        <v>44693</v>
      </c>
      <c r="L164" s="64" t="s">
        <v>249</v>
      </c>
      <c r="M164" s="64" t="s">
        <v>2403</v>
      </c>
      <c r="N164" s="64" t="s">
        <v>1664</v>
      </c>
      <c r="O164" s="64" t="s">
        <v>1696</v>
      </c>
    </row>
    <row r="165" spans="1:15" s="42" customFormat="1" ht="35.25" customHeight="1">
      <c r="A165" s="65">
        <v>164</v>
      </c>
      <c r="B165" s="64" t="s">
        <v>261</v>
      </c>
      <c r="C165" s="64" t="s">
        <v>1377</v>
      </c>
      <c r="D165" s="65" t="s">
        <v>1545</v>
      </c>
      <c r="E165" s="65" t="s">
        <v>1650</v>
      </c>
      <c r="F165" s="166" t="str">
        <f>VLOOKUP(MP_registro[[#This Row],[TAG]],'DB-EQUIPOS GEN'!$C$11:$H$833,2,0)</f>
        <v>Faja 1003 - Conductor distribuidor de bagazo</v>
      </c>
      <c r="G165" s="167" t="str">
        <f>VLOOKUP(MP_registro[[#This Row],[TAG]],'DB-EQUIPOS GEN'!$C$11:$H$833,3,0)</f>
        <v>E. TERMICA</v>
      </c>
      <c r="H165" s="166" t="str">
        <f>VLOOKUP(MP_registro[[#This Row],[TAG]],'DB-EQUIPOS GEN'!$C$11:$H$833,4,0)</f>
        <v>TRANSPORTE DE BAGAZO</v>
      </c>
      <c r="I165" s="166" t="str">
        <f>VLOOKUP(MP_registro[[#This Row],[TAG]],'DB-EQUIPOS GEN'!$C$11:$H$833,5,0)</f>
        <v>TRANSPORTADOR DE BAGAZO 1003</v>
      </c>
      <c r="J165" s="166" t="str">
        <f>VLOOKUP(MP_registro[[#This Row],[TAG]],'DB-EQUIPOS GEN'!$C$11:$H$833,6,0)</f>
        <v>0805CV060</v>
      </c>
      <c r="K165" s="67">
        <v>44690</v>
      </c>
      <c r="L165" s="65" t="s">
        <v>247</v>
      </c>
      <c r="M165" s="65" t="s">
        <v>2404</v>
      </c>
      <c r="N165" s="64" t="s">
        <v>1664</v>
      </c>
      <c r="O165" s="64" t="s">
        <v>1696</v>
      </c>
    </row>
    <row r="166" spans="1:15" s="42" customFormat="1" ht="35.25" customHeight="1">
      <c r="A166" s="64">
        <v>165</v>
      </c>
      <c r="B166" s="64" t="s">
        <v>261</v>
      </c>
      <c r="C166" s="64" t="s">
        <v>1377</v>
      </c>
      <c r="D166" s="65" t="s">
        <v>1546</v>
      </c>
      <c r="E166" s="65" t="s">
        <v>1651</v>
      </c>
      <c r="F166" s="166" t="str">
        <f>VLOOKUP(MP_registro[[#This Row],[TAG]],'DB-EQUIPOS GEN'!$C$11:$H$833,2,0)</f>
        <v>Faja 1008 - Tolva de retorno de bagazo</v>
      </c>
      <c r="G166" s="167" t="str">
        <f>VLOOKUP(MP_registro[[#This Row],[TAG]],'DB-EQUIPOS GEN'!$C$11:$H$833,3,0)</f>
        <v>E. TERMICA</v>
      </c>
      <c r="H166" s="167" t="str">
        <f>VLOOKUP(MP_registro[[#This Row],[TAG]],'DB-EQUIPOS GEN'!$C$11:$H$833,4,0)</f>
        <v>TRANSPORTE DE BAGAZO</v>
      </c>
      <c r="I166" s="167" t="str">
        <f>VLOOKUP(MP_registro[[#This Row],[TAG]],'DB-EQUIPOS GEN'!$C$11:$H$833,5,0)</f>
        <v>FAJA TRANSPORTADORA 1008</v>
      </c>
      <c r="J166" s="167" t="str">
        <f>VLOOKUP(MP_registro[[#This Row],[TAG]],'DB-EQUIPOS GEN'!$C$11:$H$833,6,0)</f>
        <v>0805CV100</v>
      </c>
      <c r="K166" s="66">
        <v>44690</v>
      </c>
      <c r="L166" s="64" t="s">
        <v>249</v>
      </c>
      <c r="M166" s="64" t="s">
        <v>2403</v>
      </c>
      <c r="N166" s="64" t="s">
        <v>1664</v>
      </c>
      <c r="O166" s="64" t="s">
        <v>1696</v>
      </c>
    </row>
    <row r="167" spans="1:15" s="42" customFormat="1" ht="35.25" customHeight="1">
      <c r="A167" s="65">
        <v>166</v>
      </c>
      <c r="B167" s="64" t="s">
        <v>261</v>
      </c>
      <c r="C167" s="64" t="s">
        <v>1377</v>
      </c>
      <c r="D167" s="65" t="s">
        <v>1547</v>
      </c>
      <c r="E167" s="65" t="s">
        <v>1652</v>
      </c>
      <c r="F167" s="166" t="str">
        <f>VLOOKUP(MP_registro[[#This Row],[TAG]],'DB-EQUIPOS GEN'!$C$11:$H$833,2,0)</f>
        <v>Faja 1006A - Patio de Bagazo</v>
      </c>
      <c r="G167" s="167" t="str">
        <f>VLOOKUP(MP_registro[[#This Row],[TAG]],'DB-EQUIPOS GEN'!$C$11:$H$833,3,0)</f>
        <v>E. TERMICA</v>
      </c>
      <c r="H167" s="166" t="str">
        <f>VLOOKUP(MP_registro[[#This Row],[TAG]],'DB-EQUIPOS GEN'!$C$11:$H$833,4,0)</f>
        <v>TRANSPORTE DE BAGAZO</v>
      </c>
      <c r="I167" s="166" t="str">
        <f>VLOOKUP(MP_registro[[#This Row],[TAG]],'DB-EQUIPOS GEN'!$C$11:$H$833,5,0)</f>
        <v>FAJA TRANSPORTADORA 1006 A</v>
      </c>
      <c r="J167" s="166" t="str">
        <f>VLOOKUP(MP_registro[[#This Row],[TAG]],'DB-EQUIPOS GEN'!$C$11:$H$833,6,0)</f>
        <v>0805CV080</v>
      </c>
      <c r="K167" s="67">
        <v>44690</v>
      </c>
      <c r="L167" s="65" t="s">
        <v>247</v>
      </c>
      <c r="M167" s="65" t="s">
        <v>2404</v>
      </c>
      <c r="N167" s="64" t="s">
        <v>1664</v>
      </c>
      <c r="O167" s="64" t="s">
        <v>1696</v>
      </c>
    </row>
    <row r="168" spans="1:15" s="42" customFormat="1" ht="35.25" customHeight="1">
      <c r="A168" s="64">
        <v>167</v>
      </c>
      <c r="B168" s="64" t="s">
        <v>261</v>
      </c>
      <c r="C168" s="64" t="s">
        <v>1377</v>
      </c>
      <c r="D168" s="65" t="s">
        <v>1548</v>
      </c>
      <c r="E168" s="65" t="s">
        <v>1653</v>
      </c>
      <c r="F168" s="166" t="str">
        <f>VLOOKUP(MP_registro[[#This Row],[TAG]],'DB-EQUIPOS GEN'!$C$11:$H$833,2,0)</f>
        <v>Operación del desviador de bagazo</v>
      </c>
      <c r="G168" s="167" t="str">
        <f>VLOOKUP(MP_registro[[#This Row],[TAG]],'DB-EQUIPOS GEN'!$C$11:$H$833,3,0)</f>
        <v>E. TERMICA</v>
      </c>
      <c r="H168" s="167" t="str">
        <f>VLOOKUP(MP_registro[[#This Row],[TAG]],'DB-EQUIPOS GEN'!$C$11:$H$833,4,0)</f>
        <v>TRANSPORTE DE BAGAZO</v>
      </c>
      <c r="I168" s="167" t="str">
        <f>VLOOKUP(MP_registro[[#This Row],[TAG]],'DB-EQUIPOS GEN'!$C$11:$H$833,5,0)</f>
        <v>FAJA TRANSPORTADORA 1004</v>
      </c>
      <c r="J168" s="167" t="str">
        <f>VLOOKUP(MP_registro[[#This Row],[TAG]],'DB-EQUIPOS GEN'!$C$11:$H$833,6,0)</f>
        <v>0805CV070</v>
      </c>
      <c r="K168" s="66">
        <v>44690</v>
      </c>
      <c r="L168" s="64" t="s">
        <v>249</v>
      </c>
      <c r="M168" s="64" t="s">
        <v>2403</v>
      </c>
      <c r="N168" s="64" t="s">
        <v>1664</v>
      </c>
      <c r="O168" s="64" t="s">
        <v>1696</v>
      </c>
    </row>
    <row r="169" spans="1:15" s="42" customFormat="1" ht="35.25" customHeight="1">
      <c r="A169" s="65">
        <v>168</v>
      </c>
      <c r="B169" s="64" t="s">
        <v>261</v>
      </c>
      <c r="C169" s="64" t="s">
        <v>1377</v>
      </c>
      <c r="D169" s="65" t="s">
        <v>1549</v>
      </c>
      <c r="E169" s="65" t="s">
        <v>1654</v>
      </c>
      <c r="F169" s="166" t="str">
        <f>VLOOKUP(MP_registro[[#This Row],[TAG]],'DB-EQUIPOS GEN'!$C$11:$H$833,2,0)</f>
        <v>Vista global de sala turbina TGM</v>
      </c>
      <c r="G169" s="167" t="str">
        <f>VLOOKUP(MP_registro[[#This Row],[TAG]],'DB-EQUIPOS GEN'!$C$11:$H$833,3,0)</f>
        <v>E. ELECTRICA</v>
      </c>
      <c r="H169" s="166" t="str">
        <f>VLOOKUP(MP_registro[[#This Row],[TAG]],'DB-EQUIPOS GEN'!$C$11:$H$833,4,0)</f>
        <v>SISTEMA DE ENFRIAMIENTO</v>
      </c>
      <c r="I169" s="166" t="str">
        <f>VLOOKUP(MP_registro[[#This Row],[TAG]],'DB-EQUIPOS GEN'!$C$11:$H$833,5,0)</f>
        <v>TORRE DE ENFRIAMIENTO MARLEY - TG TGM</v>
      </c>
      <c r="J169" s="166" t="str">
        <f>VLOOKUP(MP_registro[[#This Row],[TAG]],'DB-EQUIPOS GEN'!$C$11:$H$833,6,0)</f>
        <v>0430CT050</v>
      </c>
      <c r="K169" s="67">
        <v>44691</v>
      </c>
      <c r="L169" s="65" t="s">
        <v>245</v>
      </c>
      <c r="M169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69" s="64" t="s">
        <v>1664</v>
      </c>
      <c r="O169" s="64" t="s">
        <v>1696</v>
      </c>
    </row>
    <row r="170" spans="1:15" s="42" customFormat="1" ht="35.25" customHeight="1">
      <c r="A170" s="64">
        <v>169</v>
      </c>
      <c r="B170" s="64" t="s">
        <v>261</v>
      </c>
      <c r="C170" s="64" t="s">
        <v>1377</v>
      </c>
      <c r="D170" s="65" t="s">
        <v>1550</v>
      </c>
      <c r="E170" s="65" t="s">
        <v>1655</v>
      </c>
      <c r="F170" s="166" t="str">
        <f>VLOOKUP(MP_registro[[#This Row],[TAG]],'DB-EQUIPOS GEN'!$C$11:$H$833,2,0)</f>
        <v>Vista global de planta de osmosis</v>
      </c>
      <c r="G170" s="167" t="str">
        <f>VLOOKUP(MP_registro[[#This Row],[TAG]],'DB-EQUIPOS GEN'!$C$11:$H$833,3,0)</f>
        <v>E. TERMICA</v>
      </c>
      <c r="H170" s="167" t="str">
        <f>VLOOKUP(MP_registro[[#This Row],[TAG]],'DB-EQUIPOS GEN'!$C$11:$H$833,4,0)</f>
        <v>PLANTA TRATAMIENTO OSMOSIS INVERSA</v>
      </c>
      <c r="I170" s="167" t="str">
        <f>VLOOKUP(MP_registro[[#This Row],[TAG]],'DB-EQUIPOS GEN'!$C$11:$H$833,5,0)</f>
        <v>PLANTA DE OSMOSIS INVERSA</v>
      </c>
      <c r="J170" s="167" t="str">
        <f>VLOOKUP(MP_registro[[#This Row],[TAG]],'DB-EQUIPOS GEN'!$C$11:$H$833,6,0)</f>
        <v>0425OI101</v>
      </c>
      <c r="K170" s="66">
        <v>44690</v>
      </c>
      <c r="L170" s="64" t="s">
        <v>245</v>
      </c>
      <c r="M170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70" s="64" t="s">
        <v>1664</v>
      </c>
      <c r="O170" s="64" t="s">
        <v>1696</v>
      </c>
    </row>
    <row r="171" spans="1:15" s="42" customFormat="1" ht="35.25" customHeight="1">
      <c r="A171" s="65">
        <v>170</v>
      </c>
      <c r="B171" s="64" t="s">
        <v>261</v>
      </c>
      <c r="C171" s="64" t="s">
        <v>1378</v>
      </c>
      <c r="D171" s="65" t="s">
        <v>1551</v>
      </c>
      <c r="E171" s="65" t="s">
        <v>276</v>
      </c>
      <c r="F171" s="166" t="str">
        <f>VLOOKUP(MP_registro[[#This Row],[TAG]],'DB-EQUIPOS GEN'!$C$11:$H$833,2,0)</f>
        <v>PH de jugo encalado - Principal</v>
      </c>
      <c r="G171" s="167" t="str">
        <f>VLOOKUP(MP_registro[[#This Row],[TAG]],'DB-EQUIPOS GEN'!$C$11:$H$833,3,0)</f>
        <v>PRODUCCION</v>
      </c>
      <c r="H171" s="166" t="str">
        <f>VLOOKUP(MP_registro[[#This Row],[TAG]],'DB-EQUIPOS GEN'!$C$11:$H$833,4,0)</f>
        <v>CLARIFICACION DE JUGO</v>
      </c>
      <c r="I171" s="166" t="str">
        <f>VLOOKUP(MP_registro[[#This Row],[TAG]],'DB-EQUIPOS GEN'!$C$11:$H$833,5,0)</f>
        <v xml:space="preserve">TANQUE DE JUGO COLADO </v>
      </c>
      <c r="J171" s="166" t="str">
        <f>VLOOKUP(MP_registro[[#This Row],[TAG]],'DB-EQUIPOS GEN'!$C$11:$H$833,6,0)</f>
        <v xml:space="preserve"> 0305TK040</v>
      </c>
      <c r="K171" s="67">
        <v>44702</v>
      </c>
      <c r="L171" s="65" t="s">
        <v>245</v>
      </c>
      <c r="M171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71" s="64" t="s">
        <v>1664</v>
      </c>
      <c r="O171" s="64" t="s">
        <v>1696</v>
      </c>
    </row>
    <row r="172" spans="1:15" s="42" customFormat="1" ht="35.25" customHeight="1">
      <c r="A172" s="64">
        <v>171</v>
      </c>
      <c r="B172" s="64" t="s">
        <v>261</v>
      </c>
      <c r="C172" s="64" t="s">
        <v>1378</v>
      </c>
      <c r="D172" s="65" t="s">
        <v>1552</v>
      </c>
      <c r="E172" s="65" t="s">
        <v>478</v>
      </c>
      <c r="F172" s="166" t="str">
        <f>VLOOKUP(MP_registro[[#This Row],[TAG]],'DB-EQUIPOS GEN'!$C$11:$H$833,2,0)</f>
        <v>Nivel de jugo Evap. 1</v>
      </c>
      <c r="G172" s="167" t="str">
        <f>VLOOKUP(MP_registro[[#This Row],[TAG]],'DB-EQUIPOS GEN'!$C$11:$H$833,3,0)</f>
        <v>PRODUCCION</v>
      </c>
      <c r="H172" s="167" t="str">
        <f>VLOOKUP(MP_registro[[#This Row],[TAG]],'DB-EQUIPOS GEN'!$C$11:$H$833,4,0)</f>
        <v>EVAPORACION DE JUGO</v>
      </c>
      <c r="I172" s="167" t="str">
        <f>VLOOKUP(MP_registro[[#This Row],[TAG]],'DB-EQUIPOS GEN'!$C$11:$H$833,5,0)</f>
        <v xml:space="preserve">FFE 1 </v>
      </c>
      <c r="J172" s="167" t="str">
        <f>VLOOKUP(MP_registro[[#This Row],[TAG]],'DB-EQUIPOS GEN'!$C$11:$H$833,6,0)</f>
        <v xml:space="preserve"> 0320EV010</v>
      </c>
      <c r="K172" s="66">
        <v>44700</v>
      </c>
      <c r="L172" s="64" t="s">
        <v>247</v>
      </c>
      <c r="M172" s="65" t="s">
        <v>2404</v>
      </c>
      <c r="N172" s="64" t="s">
        <v>1664</v>
      </c>
      <c r="O172" s="64" t="s">
        <v>1696</v>
      </c>
    </row>
    <row r="173" spans="1:15" s="42" customFormat="1" ht="35.25" customHeight="1">
      <c r="A173" s="65">
        <v>172</v>
      </c>
      <c r="B173" s="64" t="s">
        <v>261</v>
      </c>
      <c r="C173" s="64" t="s">
        <v>1378</v>
      </c>
      <c r="D173" s="65" t="s">
        <v>1553</v>
      </c>
      <c r="E173" s="65" t="s">
        <v>1173</v>
      </c>
      <c r="F173" s="166" t="str">
        <f>VLOOKUP(MP_registro[[#This Row],[TAG]],'DB-EQUIPOS GEN'!$C$11:$H$833,2,0)</f>
        <v>Valvula control de nivel FFE - 1</v>
      </c>
      <c r="G173" s="167" t="str">
        <f>VLOOKUP(MP_registro[[#This Row],[TAG]],'DB-EQUIPOS GEN'!$C$11:$H$833,3,0)</f>
        <v>PRODUCCION</v>
      </c>
      <c r="H173" s="166" t="str">
        <f>VLOOKUP(MP_registro[[#This Row],[TAG]],'DB-EQUIPOS GEN'!$C$11:$H$833,4,0)</f>
        <v>EVAPORACION DE JUGO</v>
      </c>
      <c r="I173" s="166" t="str">
        <f>VLOOKUP(MP_registro[[#This Row],[TAG]],'DB-EQUIPOS GEN'!$C$11:$H$833,5,0)</f>
        <v>EVAPORADOR FFE 1</v>
      </c>
      <c r="J173" s="166" t="str">
        <f>VLOOKUP(MP_registro[[#This Row],[TAG]],'DB-EQUIPOS GEN'!$C$11:$H$833,6,0)</f>
        <v>0320EV010</v>
      </c>
      <c r="K173" s="67">
        <v>44703</v>
      </c>
      <c r="L173" s="65" t="s">
        <v>249</v>
      </c>
      <c r="M173" s="64" t="s">
        <v>2403</v>
      </c>
      <c r="N173" s="64" t="s">
        <v>1664</v>
      </c>
      <c r="O173" s="64" t="s">
        <v>1696</v>
      </c>
    </row>
    <row r="174" spans="1:15" s="42" customFormat="1" ht="35.25" customHeight="1">
      <c r="A174" s="64">
        <v>173</v>
      </c>
      <c r="B174" s="64" t="s">
        <v>261</v>
      </c>
      <c r="C174" s="64" t="s">
        <v>1378</v>
      </c>
      <c r="D174" s="65" t="s">
        <v>1554</v>
      </c>
      <c r="E174" s="65" t="s">
        <v>1174</v>
      </c>
      <c r="F174" s="166" t="str">
        <f>VLOOKUP(MP_registro[[#This Row],[TAG]],'DB-EQUIPOS GEN'!$C$11:$H$833,2,0)</f>
        <v>Valvula control de nivel FFE - 1/2</v>
      </c>
      <c r="G174" s="167" t="str">
        <f>VLOOKUP(MP_registro[[#This Row],[TAG]],'DB-EQUIPOS GEN'!$C$11:$H$833,3,0)</f>
        <v>PRODUCCION</v>
      </c>
      <c r="H174" s="167" t="str">
        <f>VLOOKUP(MP_registro[[#This Row],[TAG]],'DB-EQUIPOS GEN'!$C$11:$H$833,4,0)</f>
        <v>EVAPORACION DE JUGO</v>
      </c>
      <c r="I174" s="167" t="str">
        <f>VLOOKUP(MP_registro[[#This Row],[TAG]],'DB-EQUIPOS GEN'!$C$11:$H$833,5,0)</f>
        <v>EVAPORADOR FFE 1/2</v>
      </c>
      <c r="J174" s="167" t="str">
        <f>VLOOKUP(MP_registro[[#This Row],[TAG]],'DB-EQUIPOS GEN'!$C$11:$H$833,6,0)</f>
        <v>0320EV020</v>
      </c>
      <c r="K174" s="66">
        <v>44703</v>
      </c>
      <c r="L174" s="64" t="s">
        <v>247</v>
      </c>
      <c r="M174" s="65" t="s">
        <v>2404</v>
      </c>
      <c r="N174" s="64" t="s">
        <v>1664</v>
      </c>
      <c r="O174" s="64" t="s">
        <v>1696</v>
      </c>
    </row>
    <row r="175" spans="1:15" s="42" customFormat="1" ht="35.25" customHeight="1">
      <c r="A175" s="65">
        <v>174</v>
      </c>
      <c r="B175" s="64" t="s">
        <v>261</v>
      </c>
      <c r="C175" s="64" t="s">
        <v>1378</v>
      </c>
      <c r="D175" s="65" t="s">
        <v>1555</v>
      </c>
      <c r="E175" s="65" t="s">
        <v>496</v>
      </c>
      <c r="F175" s="166" t="str">
        <f>VLOOKUP(MP_registro[[#This Row],[TAG]],'DB-EQUIPOS GEN'!$C$11:$H$833,2,0)</f>
        <v>Nivel de jugo Evap.2-3</v>
      </c>
      <c r="G175" s="167" t="str">
        <f>VLOOKUP(MP_registro[[#This Row],[TAG]],'DB-EQUIPOS GEN'!$C$11:$H$833,3,0)</f>
        <v>PRODUCCION</v>
      </c>
      <c r="H175" s="166" t="str">
        <f>VLOOKUP(MP_registro[[#This Row],[TAG]],'DB-EQUIPOS GEN'!$C$11:$H$833,4,0)</f>
        <v>EVAPORACION DE JUGO</v>
      </c>
      <c r="I175" s="166" t="str">
        <f>VLOOKUP(MP_registro[[#This Row],[TAG]],'DB-EQUIPOS GEN'!$C$11:$H$833,5,0)</f>
        <v>FFE 2/3</v>
      </c>
      <c r="J175" s="166" t="str">
        <f>VLOOKUP(MP_registro[[#This Row],[TAG]],'DB-EQUIPOS GEN'!$C$11:$H$833,6,0)</f>
        <v xml:space="preserve"> 0320EV030</v>
      </c>
      <c r="K175" s="67">
        <v>44700</v>
      </c>
      <c r="L175" s="65" t="s">
        <v>249</v>
      </c>
      <c r="M175" s="64" t="s">
        <v>2403</v>
      </c>
      <c r="N175" s="64" t="s">
        <v>1664</v>
      </c>
      <c r="O175" s="64" t="s">
        <v>1696</v>
      </c>
    </row>
    <row r="176" spans="1:15" s="42" customFormat="1" ht="35.25" customHeight="1">
      <c r="A176" s="64">
        <v>175</v>
      </c>
      <c r="B176" s="64" t="s">
        <v>261</v>
      </c>
      <c r="C176" s="64" t="s">
        <v>1378</v>
      </c>
      <c r="D176" s="65" t="s">
        <v>1556</v>
      </c>
      <c r="E176" s="65" t="s">
        <v>1175</v>
      </c>
      <c r="F176" s="166" t="str">
        <f>VLOOKUP(MP_registro[[#This Row],[TAG]],'DB-EQUIPOS GEN'!$C$11:$H$833,2,0)</f>
        <v>Valvula control de nivel FFE - 2/3</v>
      </c>
      <c r="G176" s="167" t="str">
        <f>VLOOKUP(MP_registro[[#This Row],[TAG]],'DB-EQUIPOS GEN'!$C$11:$H$833,3,0)</f>
        <v>PRODUCCION</v>
      </c>
      <c r="H176" s="167" t="str">
        <f>VLOOKUP(MP_registro[[#This Row],[TAG]],'DB-EQUIPOS GEN'!$C$11:$H$833,4,0)</f>
        <v>EVAPORACION DE JUGO</v>
      </c>
      <c r="I176" s="167" t="str">
        <f>VLOOKUP(MP_registro[[#This Row],[TAG]],'DB-EQUIPOS GEN'!$C$11:$H$833,5,0)</f>
        <v>EVAPORADOR FFE 2/3</v>
      </c>
      <c r="J176" s="167" t="str">
        <f>VLOOKUP(MP_registro[[#This Row],[TAG]],'DB-EQUIPOS GEN'!$C$11:$H$833,6,0)</f>
        <v>0320EV030</v>
      </c>
      <c r="K176" s="66">
        <v>44703</v>
      </c>
      <c r="L176" s="64" t="s">
        <v>247</v>
      </c>
      <c r="M176" s="65" t="s">
        <v>2404</v>
      </c>
      <c r="N176" s="64" t="s">
        <v>1664</v>
      </c>
      <c r="O176" s="64" t="s">
        <v>1696</v>
      </c>
    </row>
    <row r="177" spans="1:15" s="42" customFormat="1" ht="35.25" customHeight="1">
      <c r="A177" s="65">
        <v>176</v>
      </c>
      <c r="B177" s="64" t="s">
        <v>261</v>
      </c>
      <c r="C177" s="64" t="s">
        <v>1378</v>
      </c>
      <c r="D177" s="65" t="s">
        <v>1557</v>
      </c>
      <c r="E177" s="65" t="s">
        <v>504</v>
      </c>
      <c r="F177" s="166" t="str">
        <f>VLOOKUP(MP_registro[[#This Row],[TAG]],'DB-EQUIPOS GEN'!$C$11:$H$833,2,0)</f>
        <v>Nivel de jugo Evap.3</v>
      </c>
      <c r="G177" s="167" t="str">
        <f>VLOOKUP(MP_registro[[#This Row],[TAG]],'DB-EQUIPOS GEN'!$C$11:$H$833,3,0)</f>
        <v>PRODUCCION</v>
      </c>
      <c r="H177" s="166" t="str">
        <f>VLOOKUP(MP_registro[[#This Row],[TAG]],'DB-EQUIPOS GEN'!$C$11:$H$833,4,0)</f>
        <v>EVAPORACION DE JUGO</v>
      </c>
      <c r="I177" s="166" t="str">
        <f>VLOOKUP(MP_registro[[#This Row],[TAG]],'DB-EQUIPOS GEN'!$C$11:$H$833,5,0)</f>
        <v>FFE 3</v>
      </c>
      <c r="J177" s="166" t="str">
        <f>VLOOKUP(MP_registro[[#This Row],[TAG]],'DB-EQUIPOS GEN'!$C$11:$H$833,6,0)</f>
        <v xml:space="preserve"> 0320EV040</v>
      </c>
      <c r="K177" s="67">
        <v>44700</v>
      </c>
      <c r="L177" s="65" t="s">
        <v>249</v>
      </c>
      <c r="M177" s="64" t="s">
        <v>2403</v>
      </c>
      <c r="N177" s="64" t="s">
        <v>1664</v>
      </c>
      <c r="O177" s="64" t="s">
        <v>1696</v>
      </c>
    </row>
    <row r="178" spans="1:15" s="42" customFormat="1" ht="35.25" customHeight="1">
      <c r="A178" s="64">
        <v>177</v>
      </c>
      <c r="B178" s="64" t="s">
        <v>261</v>
      </c>
      <c r="C178" s="64" t="s">
        <v>1378</v>
      </c>
      <c r="D178" s="65" t="s">
        <v>1558</v>
      </c>
      <c r="E178" s="65" t="s">
        <v>1176</v>
      </c>
      <c r="F178" s="166" t="str">
        <f>VLOOKUP(MP_registro[[#This Row],[TAG]],'DB-EQUIPOS GEN'!$C$11:$H$833,2,0)</f>
        <v>Valvula control de nivel FFE - 3</v>
      </c>
      <c r="G178" s="167" t="str">
        <f>VLOOKUP(MP_registro[[#This Row],[TAG]],'DB-EQUIPOS GEN'!$C$11:$H$833,3,0)</f>
        <v>PRODUCCION</v>
      </c>
      <c r="H178" s="167" t="str">
        <f>VLOOKUP(MP_registro[[#This Row],[TAG]],'DB-EQUIPOS GEN'!$C$11:$H$833,4,0)</f>
        <v>EVAPORACION DE JUGO</v>
      </c>
      <c r="I178" s="167" t="str">
        <f>VLOOKUP(MP_registro[[#This Row],[TAG]],'DB-EQUIPOS GEN'!$C$11:$H$833,5,0)</f>
        <v>EVAPORADOR FFE 3</v>
      </c>
      <c r="J178" s="167" t="str">
        <f>VLOOKUP(MP_registro[[#This Row],[TAG]],'DB-EQUIPOS GEN'!$C$11:$H$833,6,0)</f>
        <v>0320EV040</v>
      </c>
      <c r="K178" s="66">
        <v>44703</v>
      </c>
      <c r="L178" s="64" t="s">
        <v>247</v>
      </c>
      <c r="M178" s="65" t="s">
        <v>2404</v>
      </c>
      <c r="N178" s="64" t="s">
        <v>1664</v>
      </c>
      <c r="O178" s="64" t="s">
        <v>1696</v>
      </c>
    </row>
    <row r="179" spans="1:15" s="42" customFormat="1" ht="35.25" customHeight="1">
      <c r="A179" s="65">
        <v>178</v>
      </c>
      <c r="B179" s="64" t="s">
        <v>261</v>
      </c>
      <c r="C179" s="64" t="s">
        <v>1378</v>
      </c>
      <c r="D179" s="65" t="s">
        <v>1559</v>
      </c>
      <c r="E179" s="65" t="s">
        <v>512</v>
      </c>
      <c r="F179" s="166" t="str">
        <f>VLOOKUP(MP_registro[[#This Row],[TAG]],'DB-EQUIPOS GEN'!$C$11:$H$833,2,0)</f>
        <v>Nivel de jugo Evap.4A</v>
      </c>
      <c r="G179" s="167" t="str">
        <f>VLOOKUP(MP_registro[[#This Row],[TAG]],'DB-EQUIPOS GEN'!$C$11:$H$833,3,0)</f>
        <v>PRODUCCION</v>
      </c>
      <c r="H179" s="166" t="str">
        <f>VLOOKUP(MP_registro[[#This Row],[TAG]],'DB-EQUIPOS GEN'!$C$11:$H$833,4,0)</f>
        <v>EVAPORACION DE JUGO</v>
      </c>
      <c r="I179" s="166" t="str">
        <f>VLOOKUP(MP_registro[[#This Row],[TAG]],'DB-EQUIPOS GEN'!$C$11:$H$833,5,0)</f>
        <v>FFE 4A</v>
      </c>
      <c r="J179" s="166" t="str">
        <f>VLOOKUP(MP_registro[[#This Row],[TAG]],'DB-EQUIPOS GEN'!$C$11:$H$833,6,0)</f>
        <v xml:space="preserve"> 0320EV050</v>
      </c>
      <c r="K179" s="67">
        <v>44700</v>
      </c>
      <c r="L179" s="65" t="s">
        <v>249</v>
      </c>
      <c r="M179" s="64" t="s">
        <v>2403</v>
      </c>
      <c r="N179" s="64" t="s">
        <v>1664</v>
      </c>
      <c r="O179" s="64" t="s">
        <v>1696</v>
      </c>
    </row>
    <row r="180" spans="1:15" s="42" customFormat="1" ht="35.25" customHeight="1">
      <c r="A180" s="64">
        <v>179</v>
      </c>
      <c r="B180" s="64" t="s">
        <v>261</v>
      </c>
      <c r="C180" s="64" t="s">
        <v>1378</v>
      </c>
      <c r="D180" s="65" t="s">
        <v>1560</v>
      </c>
      <c r="E180" s="65" t="s">
        <v>520</v>
      </c>
      <c r="F180" s="166" t="str">
        <f>VLOOKUP(MP_registro[[#This Row],[TAG]],'DB-EQUIPOS GEN'!$C$11:$H$833,2,0)</f>
        <v>Nivel de jugo Evap.5A</v>
      </c>
      <c r="G180" s="167" t="str">
        <f>VLOOKUP(MP_registro[[#This Row],[TAG]],'DB-EQUIPOS GEN'!$C$11:$H$833,3,0)</f>
        <v>PRODUCCION</v>
      </c>
      <c r="H180" s="167" t="str">
        <f>VLOOKUP(MP_registro[[#This Row],[TAG]],'DB-EQUIPOS GEN'!$C$11:$H$833,4,0)</f>
        <v>EVAPORACION DE JUGO</v>
      </c>
      <c r="I180" s="167" t="str">
        <f>VLOOKUP(MP_registro[[#This Row],[TAG]],'DB-EQUIPOS GEN'!$C$11:$H$833,5,0)</f>
        <v>FFE 5A</v>
      </c>
      <c r="J180" s="167" t="str">
        <f>VLOOKUP(MP_registro[[#This Row],[TAG]],'DB-EQUIPOS GEN'!$C$11:$H$833,6,0)</f>
        <v xml:space="preserve"> 0320EV060</v>
      </c>
      <c r="K180" s="66">
        <v>44700</v>
      </c>
      <c r="L180" s="64" t="s">
        <v>247</v>
      </c>
      <c r="M180" s="65" t="s">
        <v>2404</v>
      </c>
      <c r="N180" s="64" t="s">
        <v>1664</v>
      </c>
      <c r="O180" s="64" t="s">
        <v>1696</v>
      </c>
    </row>
    <row r="181" spans="1:15" s="42" customFormat="1" ht="35.25" customHeight="1">
      <c r="A181" s="65">
        <v>180</v>
      </c>
      <c r="B181" s="64" t="s">
        <v>261</v>
      </c>
      <c r="C181" s="64" t="s">
        <v>1378</v>
      </c>
      <c r="D181" s="65" t="s">
        <v>1561</v>
      </c>
      <c r="E181" s="65" t="s">
        <v>528</v>
      </c>
      <c r="F181" s="166" t="str">
        <f>VLOOKUP(MP_registro[[#This Row],[TAG]],'DB-EQUIPOS GEN'!$C$11:$H$833,2,0)</f>
        <v>Nivel de jugo Evap.4B</v>
      </c>
      <c r="G181" s="167" t="str">
        <f>VLOOKUP(MP_registro[[#This Row],[TAG]],'DB-EQUIPOS GEN'!$C$11:$H$833,3,0)</f>
        <v>PRODUCCION</v>
      </c>
      <c r="H181" s="166" t="str">
        <f>VLOOKUP(MP_registro[[#This Row],[TAG]],'DB-EQUIPOS GEN'!$C$11:$H$833,4,0)</f>
        <v>EVAPORACION DE JUGO</v>
      </c>
      <c r="I181" s="166" t="str">
        <f>VLOOKUP(MP_registro[[#This Row],[TAG]],'DB-EQUIPOS GEN'!$C$11:$H$833,5,0)</f>
        <v>FFE 4B</v>
      </c>
      <c r="J181" s="166" t="str">
        <f>VLOOKUP(MP_registro[[#This Row],[TAG]],'DB-EQUIPOS GEN'!$C$11:$H$833,6,0)</f>
        <v xml:space="preserve"> 0320EV070</v>
      </c>
      <c r="K181" s="67">
        <v>44700</v>
      </c>
      <c r="L181" s="65" t="s">
        <v>249</v>
      </c>
      <c r="M181" s="64" t="s">
        <v>2403</v>
      </c>
      <c r="N181" s="64" t="s">
        <v>1664</v>
      </c>
      <c r="O181" s="64" t="s">
        <v>1696</v>
      </c>
    </row>
    <row r="182" spans="1:15" s="42" customFormat="1" ht="35.25" customHeight="1">
      <c r="A182" s="64">
        <v>181</v>
      </c>
      <c r="B182" s="64" t="s">
        <v>261</v>
      </c>
      <c r="C182" s="64" t="s">
        <v>1378</v>
      </c>
      <c r="D182" s="65" t="s">
        <v>1562</v>
      </c>
      <c r="E182" s="65" t="s">
        <v>536</v>
      </c>
      <c r="F182" s="166" t="str">
        <f>VLOOKUP(MP_registro[[#This Row],[TAG]],'DB-EQUIPOS GEN'!$C$11:$H$833,2,0)</f>
        <v>Nivel de jugo Evap.5B</v>
      </c>
      <c r="G182" s="167" t="str">
        <f>VLOOKUP(MP_registro[[#This Row],[TAG]],'DB-EQUIPOS GEN'!$C$11:$H$833,3,0)</f>
        <v>PRODUCCION</v>
      </c>
      <c r="H182" s="167" t="str">
        <f>VLOOKUP(MP_registro[[#This Row],[TAG]],'DB-EQUIPOS GEN'!$C$11:$H$833,4,0)</f>
        <v>EVAPORACION DE JUGO</v>
      </c>
      <c r="I182" s="167" t="str">
        <f>VLOOKUP(MP_registro[[#This Row],[TAG]],'DB-EQUIPOS GEN'!$C$11:$H$833,5,0)</f>
        <v>FFE 5B</v>
      </c>
      <c r="J182" s="167" t="str">
        <f>VLOOKUP(MP_registro[[#This Row],[TAG]],'DB-EQUIPOS GEN'!$C$11:$H$833,6,0)</f>
        <v xml:space="preserve"> 0320EV080</v>
      </c>
      <c r="K182" s="66">
        <v>44700</v>
      </c>
      <c r="L182" s="64" t="s">
        <v>247</v>
      </c>
      <c r="M182" s="65" t="s">
        <v>2404</v>
      </c>
      <c r="N182" s="64" t="s">
        <v>1664</v>
      </c>
      <c r="O182" s="64" t="s">
        <v>1696</v>
      </c>
    </row>
    <row r="183" spans="1:15" s="42" customFormat="1" ht="35.25" customHeight="1">
      <c r="A183" s="65">
        <v>182</v>
      </c>
      <c r="B183" s="64" t="s">
        <v>261</v>
      </c>
      <c r="C183" s="64" t="s">
        <v>1378</v>
      </c>
      <c r="D183" s="65" t="s">
        <v>1563</v>
      </c>
      <c r="E183" s="65" t="s">
        <v>730</v>
      </c>
      <c r="F183" s="166" t="str">
        <f>VLOOKUP(MP_registro[[#This Row],[TAG]],'DB-EQUIPOS GEN'!$C$11:$H$833,2,0)</f>
        <v>Brix de masa A - Celda 1</v>
      </c>
      <c r="G183" s="167" t="str">
        <f>VLOOKUP(MP_registro[[#This Row],[TAG]],'DB-EQUIPOS GEN'!$C$11:$H$833,3,0)</f>
        <v>PRODUCCION</v>
      </c>
      <c r="H183" s="166" t="str">
        <f>VLOOKUP(MP_registro[[#This Row],[TAG]],'DB-EQUIPOS GEN'!$C$11:$H$833,4,0)</f>
        <v>CRISTALIZACION POR COCCION</v>
      </c>
      <c r="I183" s="166" t="str">
        <f>VLOOKUP(MP_registro[[#This Row],[TAG]],'DB-EQUIPOS GEN'!$C$11:$H$833,5,0)</f>
        <v xml:space="preserve">TACHO CONTINUO A </v>
      </c>
      <c r="J183" s="166" t="str">
        <f>VLOOKUP(MP_registro[[#This Row],[TAG]],'DB-EQUIPOS GEN'!$C$11:$H$833,6,0)</f>
        <v xml:space="preserve"> 0335HX200</v>
      </c>
      <c r="K183" s="67">
        <v>44697</v>
      </c>
      <c r="L183" s="65" t="s">
        <v>245</v>
      </c>
      <c r="M183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83" s="64" t="s">
        <v>1664</v>
      </c>
      <c r="O183" s="64" t="s">
        <v>1696</v>
      </c>
    </row>
    <row r="184" spans="1:15" s="42" customFormat="1" ht="35.25" customHeight="1">
      <c r="A184" s="64">
        <v>183</v>
      </c>
      <c r="B184" s="64" t="s">
        <v>261</v>
      </c>
      <c r="C184" s="64" t="s">
        <v>1378</v>
      </c>
      <c r="D184" s="65" t="s">
        <v>1564</v>
      </c>
      <c r="E184" s="65" t="s">
        <v>732</v>
      </c>
      <c r="F184" s="166" t="str">
        <f>VLOOKUP(MP_registro[[#This Row],[TAG]],'DB-EQUIPOS GEN'!$C$11:$H$833,2,0)</f>
        <v>Brix de masa A - Celda 2</v>
      </c>
      <c r="G184" s="167" t="str">
        <f>VLOOKUP(MP_registro[[#This Row],[TAG]],'DB-EQUIPOS GEN'!$C$11:$H$833,3,0)</f>
        <v>PRODUCCION</v>
      </c>
      <c r="H184" s="167" t="str">
        <f>VLOOKUP(MP_registro[[#This Row],[TAG]],'DB-EQUIPOS GEN'!$C$11:$H$833,4,0)</f>
        <v>CRISTALIZACION POR COCCION</v>
      </c>
      <c r="I184" s="167" t="str">
        <f>VLOOKUP(MP_registro[[#This Row],[TAG]],'DB-EQUIPOS GEN'!$C$11:$H$833,5,0)</f>
        <v xml:space="preserve">TACHO CONTINUO A </v>
      </c>
      <c r="J184" s="167" t="str">
        <f>VLOOKUP(MP_registro[[#This Row],[TAG]],'DB-EQUIPOS GEN'!$C$11:$H$833,6,0)</f>
        <v xml:space="preserve"> 0335HX200</v>
      </c>
      <c r="K184" s="66">
        <v>44697</v>
      </c>
      <c r="L184" s="64" t="s">
        <v>245</v>
      </c>
      <c r="M184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84" s="64" t="s">
        <v>1664</v>
      </c>
      <c r="O184" s="64" t="s">
        <v>1696</v>
      </c>
    </row>
    <row r="185" spans="1:15" s="42" customFormat="1" ht="35.25" customHeight="1">
      <c r="A185" s="65">
        <v>184</v>
      </c>
      <c r="B185" s="64" t="s">
        <v>261</v>
      </c>
      <c r="C185" s="64" t="s">
        <v>1378</v>
      </c>
      <c r="D185" s="65" t="s">
        <v>1565</v>
      </c>
      <c r="E185" s="65" t="s">
        <v>742</v>
      </c>
      <c r="F185" s="166" t="str">
        <f>VLOOKUP(MP_registro[[#This Row],[TAG]],'DB-EQUIPOS GEN'!$C$11:$H$833,2,0)</f>
        <v>Brix de masa A - Celda 7</v>
      </c>
      <c r="G185" s="167" t="str">
        <f>VLOOKUP(MP_registro[[#This Row],[TAG]],'DB-EQUIPOS GEN'!$C$11:$H$833,3,0)</f>
        <v>PRODUCCION</v>
      </c>
      <c r="H185" s="166" t="str">
        <f>VLOOKUP(MP_registro[[#This Row],[TAG]],'DB-EQUIPOS GEN'!$C$11:$H$833,4,0)</f>
        <v>CRISTALIZACION POR COCCION</v>
      </c>
      <c r="I185" s="166" t="str">
        <f>VLOOKUP(MP_registro[[#This Row],[TAG]],'DB-EQUIPOS GEN'!$C$11:$H$833,5,0)</f>
        <v xml:space="preserve">TACHO CONTINUO A </v>
      </c>
      <c r="J185" s="166" t="str">
        <f>VLOOKUP(MP_registro[[#This Row],[TAG]],'DB-EQUIPOS GEN'!$C$11:$H$833,6,0)</f>
        <v xml:space="preserve"> 0335HX200</v>
      </c>
      <c r="K185" s="67">
        <v>44697</v>
      </c>
      <c r="L185" s="65" t="s">
        <v>245</v>
      </c>
      <c r="M185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85" s="64" t="s">
        <v>1664</v>
      </c>
      <c r="O185" s="64" t="s">
        <v>1696</v>
      </c>
    </row>
    <row r="186" spans="1:15" s="42" customFormat="1" ht="35.25" customHeight="1">
      <c r="A186" s="64">
        <v>185</v>
      </c>
      <c r="B186" s="64" t="s">
        <v>261</v>
      </c>
      <c r="C186" s="64" t="s">
        <v>1378</v>
      </c>
      <c r="D186" s="65" t="s">
        <v>1566</v>
      </c>
      <c r="E186" s="65" t="s">
        <v>746</v>
      </c>
      <c r="F186" s="166" t="str">
        <f>VLOOKUP(MP_registro[[#This Row],[TAG]],'DB-EQUIPOS GEN'!$C$11:$H$833,2,0)</f>
        <v>Brix de masa A - Celda 9</v>
      </c>
      <c r="G186" s="167" t="str">
        <f>VLOOKUP(MP_registro[[#This Row],[TAG]],'DB-EQUIPOS GEN'!$C$11:$H$833,3,0)</f>
        <v>PRODUCCION</v>
      </c>
      <c r="H186" s="167" t="str">
        <f>VLOOKUP(MP_registro[[#This Row],[TAG]],'DB-EQUIPOS GEN'!$C$11:$H$833,4,0)</f>
        <v>CRISTALIZACION POR COCCION</v>
      </c>
      <c r="I186" s="167" t="str">
        <f>VLOOKUP(MP_registro[[#This Row],[TAG]],'DB-EQUIPOS GEN'!$C$11:$H$833,5,0)</f>
        <v xml:space="preserve">TACHO CONTINUO A </v>
      </c>
      <c r="J186" s="167" t="str">
        <f>VLOOKUP(MP_registro[[#This Row],[TAG]],'DB-EQUIPOS GEN'!$C$11:$H$833,6,0)</f>
        <v xml:space="preserve"> 0335HX200</v>
      </c>
      <c r="K186" s="66">
        <v>44697</v>
      </c>
      <c r="L186" s="64" t="s">
        <v>245</v>
      </c>
      <c r="M186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86" s="64" t="s">
        <v>1664</v>
      </c>
      <c r="O186" s="64" t="s">
        <v>1696</v>
      </c>
    </row>
    <row r="187" spans="1:15" s="42" customFormat="1" ht="35.25" customHeight="1">
      <c r="A187" s="65">
        <v>186</v>
      </c>
      <c r="B187" s="64" t="s">
        <v>261</v>
      </c>
      <c r="C187" s="64" t="s">
        <v>1378</v>
      </c>
      <c r="D187" s="65" t="s">
        <v>1567</v>
      </c>
      <c r="E187" s="65" t="s">
        <v>748</v>
      </c>
      <c r="F187" s="166" t="str">
        <f>VLOOKUP(MP_registro[[#This Row],[TAG]],'DB-EQUIPOS GEN'!$C$11:$H$833,2,0)</f>
        <v>Brix de masa A - Celda 10</v>
      </c>
      <c r="G187" s="167" t="str">
        <f>VLOOKUP(MP_registro[[#This Row],[TAG]],'DB-EQUIPOS GEN'!$C$11:$H$833,3,0)</f>
        <v>PRODUCCION</v>
      </c>
      <c r="H187" s="166" t="str">
        <f>VLOOKUP(MP_registro[[#This Row],[TAG]],'DB-EQUIPOS GEN'!$C$11:$H$833,4,0)</f>
        <v>CRISTALIZACION POR COCCION</v>
      </c>
      <c r="I187" s="166" t="str">
        <f>VLOOKUP(MP_registro[[#This Row],[TAG]],'DB-EQUIPOS GEN'!$C$11:$H$833,5,0)</f>
        <v xml:space="preserve">TACHO CONTINUO A </v>
      </c>
      <c r="J187" s="166" t="str">
        <f>VLOOKUP(MP_registro[[#This Row],[TAG]],'DB-EQUIPOS GEN'!$C$11:$H$833,6,0)</f>
        <v xml:space="preserve"> 0335HX200</v>
      </c>
      <c r="K187" s="67">
        <v>44697</v>
      </c>
      <c r="L187" s="65" t="s">
        <v>245</v>
      </c>
      <c r="M187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87" s="64" t="s">
        <v>1664</v>
      </c>
      <c r="O187" s="64" t="s">
        <v>1696</v>
      </c>
    </row>
    <row r="188" spans="1:15" s="42" customFormat="1" ht="35.25" customHeight="1">
      <c r="A188" s="64">
        <v>187</v>
      </c>
      <c r="B188" s="64" t="s">
        <v>261</v>
      </c>
      <c r="C188" s="64" t="s">
        <v>1378</v>
      </c>
      <c r="D188" s="65" t="s">
        <v>1568</v>
      </c>
      <c r="E188" s="65" t="s">
        <v>798</v>
      </c>
      <c r="F188" s="166" t="str">
        <f>VLOOKUP(MP_registro[[#This Row],[TAG]],'DB-EQUIPOS GEN'!$C$11:$H$833,2,0)</f>
        <v>Peso de azucar balanza A - Silo 1</v>
      </c>
      <c r="G188" s="167" t="str">
        <f>VLOOKUP(MP_registro[[#This Row],[TAG]],'DB-EQUIPOS GEN'!$C$11:$H$833,3,0)</f>
        <v>PRODUCCION</v>
      </c>
      <c r="H188" s="167" t="str">
        <f>VLOOKUP(MP_registro[[#This Row],[TAG]],'DB-EQUIPOS GEN'!$C$11:$H$833,4,0)</f>
        <v>ENVASADO DE AZUCAR RUBIA</v>
      </c>
      <c r="I188" s="167" t="str">
        <f>VLOOKUP(MP_registro[[#This Row],[TAG]],'DB-EQUIPOS GEN'!$C$11:$H$833,5,0)</f>
        <v xml:space="preserve">SILO 1 </v>
      </c>
      <c r="J188" s="167" t="str">
        <f>VLOOKUP(MP_registro[[#This Row],[TAG]],'DB-EQUIPOS GEN'!$C$11:$H$833,6,0)</f>
        <v>0355BI090</v>
      </c>
      <c r="K188" s="66">
        <v>44700</v>
      </c>
      <c r="L188" s="64" t="s">
        <v>249</v>
      </c>
      <c r="M188" s="64" t="s">
        <v>2403</v>
      </c>
      <c r="N188" s="64" t="s">
        <v>1664</v>
      </c>
      <c r="O188" s="64" t="s">
        <v>1696</v>
      </c>
    </row>
    <row r="189" spans="1:15" s="42" customFormat="1" ht="35.25" customHeight="1">
      <c r="A189" s="65">
        <v>188</v>
      </c>
      <c r="B189" s="64" t="s">
        <v>261</v>
      </c>
      <c r="C189" s="64" t="s">
        <v>1378</v>
      </c>
      <c r="D189" s="65" t="s">
        <v>1569</v>
      </c>
      <c r="E189" s="65" t="s">
        <v>799</v>
      </c>
      <c r="F189" s="166" t="str">
        <f>VLOOKUP(MP_registro[[#This Row],[TAG]],'DB-EQUIPOS GEN'!$C$11:$H$833,2,0)</f>
        <v>Peso de azucar balanza B - Silo 1</v>
      </c>
      <c r="G189" s="167" t="str">
        <f>VLOOKUP(MP_registro[[#This Row],[TAG]],'DB-EQUIPOS GEN'!$C$11:$H$833,3,0)</f>
        <v>PRODUCCION</v>
      </c>
      <c r="H189" s="166" t="str">
        <f>VLOOKUP(MP_registro[[#This Row],[TAG]],'DB-EQUIPOS GEN'!$C$11:$H$833,4,0)</f>
        <v>ENVASADO DE AZUCAR RUBIA</v>
      </c>
      <c r="I189" s="166" t="str">
        <f>VLOOKUP(MP_registro[[#This Row],[TAG]],'DB-EQUIPOS GEN'!$C$11:$H$833,5,0)</f>
        <v xml:space="preserve">SILO 1 </v>
      </c>
      <c r="J189" s="166" t="str">
        <f>VLOOKUP(MP_registro[[#This Row],[TAG]],'DB-EQUIPOS GEN'!$C$11:$H$833,6,0)</f>
        <v>0355BI090</v>
      </c>
      <c r="K189" s="67">
        <v>44700</v>
      </c>
      <c r="L189" s="65" t="s">
        <v>247</v>
      </c>
      <c r="M189" s="65" t="s">
        <v>2404</v>
      </c>
      <c r="N189" s="64" t="s">
        <v>1664</v>
      </c>
      <c r="O189" s="64" t="s">
        <v>1696</v>
      </c>
    </row>
    <row r="190" spans="1:15" s="42" customFormat="1" ht="35.25" customHeight="1">
      <c r="A190" s="64">
        <v>189</v>
      </c>
      <c r="B190" s="64" t="s">
        <v>261</v>
      </c>
      <c r="C190" s="64" t="s">
        <v>1378</v>
      </c>
      <c r="D190" s="65" t="s">
        <v>1570</v>
      </c>
      <c r="E190" s="153" t="s">
        <v>2416</v>
      </c>
      <c r="F190" s="166" t="str">
        <f>VLOOKUP(MP_registro[[#This Row],[TAG]],'DB-EQUIPOS GEN'!$C$11:$H$833,2,0)</f>
        <v>Vista Conductor Auxiliar - Superior</v>
      </c>
      <c r="G190" s="167" t="str">
        <f>VLOOKUP(MP_registro[[#This Row],[TAG]],'DB-EQUIPOS GEN'!$C$11:$H$833,3,0)</f>
        <v>EXTRACCION</v>
      </c>
      <c r="H190" s="167" t="str">
        <f>VLOOKUP(MP_registro[[#This Row],[TAG]],'DB-EQUIPOS GEN'!$C$11:$H$833,4,0)</f>
        <v>PREPARACIÓN DE CAÑA</v>
      </c>
      <c r="I190" s="167" t="str">
        <f>VLOOKUP(MP_registro[[#This Row],[TAG]],'DB-EQUIPOS GEN'!$C$11:$H$833,5,0)</f>
        <v>CONDUCTOR AUXILIAR DE CAÑA</v>
      </c>
      <c r="J190" s="167" t="str">
        <f>VLOOKUP(MP_registro[[#This Row],[TAG]],'DB-EQUIPOS GEN'!$C$11:$H$833,6,0)</f>
        <v>0115CV010</v>
      </c>
      <c r="K190" s="66">
        <v>44697</v>
      </c>
      <c r="L190" s="64" t="s">
        <v>249</v>
      </c>
      <c r="M190" s="64" t="s">
        <v>2403</v>
      </c>
      <c r="N190" s="64" t="s">
        <v>1664</v>
      </c>
      <c r="O190" s="64" t="s">
        <v>1696</v>
      </c>
    </row>
    <row r="191" spans="1:15" s="42" customFormat="1" ht="35.25" customHeight="1">
      <c r="A191" s="65">
        <v>190</v>
      </c>
      <c r="B191" s="64" t="s">
        <v>261</v>
      </c>
      <c r="C191" s="64" t="s">
        <v>1378</v>
      </c>
      <c r="D191" s="65" t="s">
        <v>1571</v>
      </c>
      <c r="E191" s="153" t="s">
        <v>2406</v>
      </c>
      <c r="F191" s="166" t="str">
        <f>VLOOKUP(MP_registro[[#This Row],[TAG]],'DB-EQUIPOS GEN'!$C$11:$H$833,2,0)</f>
        <v>Vista Mesa de Caña - Descarga de Tetras</v>
      </c>
      <c r="G191" s="167" t="str">
        <f>VLOOKUP(MP_registro[[#This Row],[TAG]],'DB-EQUIPOS GEN'!$C$11:$H$833,3,0)</f>
        <v>EXTRACCION</v>
      </c>
      <c r="H191" s="166" t="str">
        <f>VLOOKUP(MP_registro[[#This Row],[TAG]],'DB-EQUIPOS GEN'!$C$11:$H$833,4,0)</f>
        <v>RECEPCIÓN DE CAÑA</v>
      </c>
      <c r="I191" s="166" t="str">
        <f>VLOOKUP(MP_registro[[#This Row],[TAG]],'DB-EQUIPOS GEN'!$C$11:$H$833,5,0)</f>
        <v>MESA DE CAÑA</v>
      </c>
      <c r="J191" s="166" t="str">
        <f>VLOOKUP(MP_registro[[#This Row],[TAG]],'DB-EQUIPOS GEN'!$C$11:$H$833,6,0)</f>
        <v>0110FE019</v>
      </c>
      <c r="K191" s="67">
        <v>44702</v>
      </c>
      <c r="L191" s="65" t="s">
        <v>247</v>
      </c>
      <c r="M191" s="65" t="s">
        <v>2404</v>
      </c>
      <c r="N191" s="64" t="s">
        <v>1664</v>
      </c>
      <c r="O191" s="64" t="s">
        <v>1696</v>
      </c>
    </row>
    <row r="192" spans="1:15" s="42" customFormat="1" ht="35.25" customHeight="1">
      <c r="A192" s="64">
        <v>191</v>
      </c>
      <c r="B192" s="64" t="s">
        <v>261</v>
      </c>
      <c r="C192" s="64" t="s">
        <v>1378</v>
      </c>
      <c r="D192" s="65" t="s">
        <v>1572</v>
      </c>
      <c r="E192" s="153" t="s">
        <v>2407</v>
      </c>
      <c r="F192" s="166" t="str">
        <f>VLOOKUP(MP_registro[[#This Row],[TAG]],'DB-EQUIPOS GEN'!$C$11:$H$833,2,0)</f>
        <v>Vista Molino Secador - Conductor Intermedio</v>
      </c>
      <c r="G192" s="167" t="str">
        <f>VLOOKUP(MP_registro[[#This Row],[TAG]],'DB-EQUIPOS GEN'!$C$11:$H$833,3,0)</f>
        <v>EXTRACCION</v>
      </c>
      <c r="H192" s="167" t="str">
        <f>VLOOKUP(MP_registro[[#This Row],[TAG]],'DB-EQUIPOS GEN'!$C$11:$H$833,4,0)</f>
        <v>MOLINOS</v>
      </c>
      <c r="I192" s="167" t="str">
        <f>VLOOKUP(MP_registro[[#This Row],[TAG]],'DB-EQUIPOS GEN'!$C$11:$H$833,5,0)</f>
        <v>CONDUCTOR INTERMEDIO - MOLINO SECADOR</v>
      </c>
      <c r="J192" s="167" t="str">
        <f>VLOOKUP(MP_registro[[#This Row],[TAG]],'DB-EQUIPOS GEN'!$C$11:$H$833,6,0)</f>
        <v>0210CV070</v>
      </c>
      <c r="K192" s="66">
        <v>44697</v>
      </c>
      <c r="L192" s="64" t="s">
        <v>249</v>
      </c>
      <c r="M192" s="64" t="s">
        <v>2403</v>
      </c>
      <c r="N192" s="64" t="s">
        <v>1664</v>
      </c>
      <c r="O192" s="64" t="s">
        <v>1696</v>
      </c>
    </row>
    <row r="193" spans="1:17" s="42" customFormat="1" ht="35.25" customHeight="1">
      <c r="A193" s="65">
        <v>192</v>
      </c>
      <c r="B193" s="64" t="s">
        <v>261</v>
      </c>
      <c r="C193" s="64" t="s">
        <v>1378</v>
      </c>
      <c r="D193" s="65" t="s">
        <v>1573</v>
      </c>
      <c r="E193" s="65" t="s">
        <v>1640</v>
      </c>
      <c r="F193" s="166" t="str">
        <f>VLOOKUP(MP_registro[[#This Row],[TAG]],'DB-EQUIPOS GEN'!$C$11:$H$833,2,0)</f>
        <v>Conductor de alimentación a difusor y retorno</v>
      </c>
      <c r="G193" s="167" t="str">
        <f>VLOOKUP(MP_registro[[#This Row],[TAG]],'DB-EQUIPOS GEN'!$C$11:$H$833,3,0)</f>
        <v>EXTRACCION</v>
      </c>
      <c r="H193" s="166" t="str">
        <f>VLOOKUP(MP_registro[[#This Row],[TAG]],'DB-EQUIPOS GEN'!$C$11:$H$833,4,0)</f>
        <v>PREPARACIÓN DE CAÑA</v>
      </c>
      <c r="I193" s="166" t="str">
        <f>VLOOKUP(MP_registro[[#This Row],[TAG]],'DB-EQUIPOS GEN'!$C$11:$H$833,5,0)</f>
        <v>CONDUCTOR DE RETORNO</v>
      </c>
      <c r="J193" s="166" t="str">
        <f>VLOOKUP(MP_registro[[#This Row],[TAG]],'DB-EQUIPOS GEN'!$C$11:$H$833,6,0)</f>
        <v>0115CV090</v>
      </c>
      <c r="K193" s="67">
        <v>44703</v>
      </c>
      <c r="L193" s="65" t="s">
        <v>245</v>
      </c>
      <c r="M193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93" s="64" t="s">
        <v>1664</v>
      </c>
      <c r="O193" s="64" t="s">
        <v>1696</v>
      </c>
    </row>
    <row r="194" spans="1:17" s="42" customFormat="1" ht="35.25" customHeight="1">
      <c r="A194" s="64">
        <v>193</v>
      </c>
      <c r="B194" s="64" t="s">
        <v>261</v>
      </c>
      <c r="C194" s="64" t="s">
        <v>1378</v>
      </c>
      <c r="D194" s="65" t="s">
        <v>1574</v>
      </c>
      <c r="E194" s="65" t="s">
        <v>1641</v>
      </c>
      <c r="F194" s="166" t="str">
        <f>VLOOKUP(MP_registro[[#This Row],[TAG]],'DB-EQUIPOS GEN'!$C$11:$H$833,2,0)</f>
        <v>Mesa de caña</v>
      </c>
      <c r="G194" s="167" t="str">
        <f>VLOOKUP(MP_registro[[#This Row],[TAG]],'DB-EQUIPOS GEN'!$C$11:$H$833,3,0)</f>
        <v>EXTRACCION</v>
      </c>
      <c r="H194" s="167" t="str">
        <f>VLOOKUP(MP_registro[[#This Row],[TAG]],'DB-EQUIPOS GEN'!$C$11:$H$833,4,0)</f>
        <v>RECEPCIÓN DE CAÑA</v>
      </c>
      <c r="I194" s="167" t="str">
        <f>VLOOKUP(MP_registro[[#This Row],[TAG]],'DB-EQUIPOS GEN'!$C$11:$H$833,5,0)</f>
        <v>MESA DE CAÑA</v>
      </c>
      <c r="J194" s="167" t="str">
        <f>VLOOKUP(MP_registro[[#This Row],[TAG]],'DB-EQUIPOS GEN'!$C$11:$H$833,6,0)</f>
        <v>0110FE019</v>
      </c>
      <c r="K194" s="66">
        <v>44703</v>
      </c>
      <c r="L194" s="64" t="s">
        <v>247</v>
      </c>
      <c r="M194" s="65" t="s">
        <v>2404</v>
      </c>
      <c r="N194" s="64" t="s">
        <v>1664</v>
      </c>
      <c r="O194" s="64" t="s">
        <v>1696</v>
      </c>
    </row>
    <row r="195" spans="1:17" s="42" customFormat="1" ht="35.25" customHeight="1">
      <c r="A195" s="65">
        <v>194</v>
      </c>
      <c r="B195" s="64" t="s">
        <v>261</v>
      </c>
      <c r="C195" s="64" t="s">
        <v>1378</v>
      </c>
      <c r="D195" s="65" t="s">
        <v>1575</v>
      </c>
      <c r="E195" s="65" t="s">
        <v>1642</v>
      </c>
      <c r="F195" s="166" t="str">
        <f>VLOOKUP(MP_registro[[#This Row],[TAG]],'DB-EQUIPOS GEN'!$C$11:$H$833,2,0)</f>
        <v>Salida de bagazo de molino secador</v>
      </c>
      <c r="G195" s="167" t="str">
        <f>VLOOKUP(MP_registro[[#This Row],[TAG]],'DB-EQUIPOS GEN'!$C$11:$H$833,3,0)</f>
        <v>EXTRACCION</v>
      </c>
      <c r="H195" s="166" t="str">
        <f>VLOOKUP(MP_registro[[#This Row],[TAG]],'DB-EQUIPOS GEN'!$C$11:$H$833,4,0)</f>
        <v>MOLINOS</v>
      </c>
      <c r="I195" s="166" t="str">
        <f>VLOOKUP(MP_registro[[#This Row],[TAG]],'DB-EQUIPOS GEN'!$C$11:$H$833,5,0)</f>
        <v>MOLINO SECADOR</v>
      </c>
      <c r="J195" s="166" t="str">
        <f>VLOOKUP(MP_registro[[#This Row],[TAG]],'DB-EQUIPOS GEN'!$C$11:$H$833,6,0)</f>
        <v>0210MM090</v>
      </c>
      <c r="K195" s="67">
        <v>44697</v>
      </c>
      <c r="L195" s="65" t="s">
        <v>245</v>
      </c>
      <c r="M195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95" s="64" t="s">
        <v>1664</v>
      </c>
      <c r="O195" s="64" t="s">
        <v>1696</v>
      </c>
    </row>
    <row r="196" spans="1:17" s="42" customFormat="1" ht="35.25" customHeight="1">
      <c r="A196" s="64">
        <v>195</v>
      </c>
      <c r="B196" s="64" t="s">
        <v>261</v>
      </c>
      <c r="C196" s="64" t="s">
        <v>1378</v>
      </c>
      <c r="D196" s="65" t="s">
        <v>1576</v>
      </c>
      <c r="E196" s="65" t="s">
        <v>1643</v>
      </c>
      <c r="F196" s="166" t="str">
        <f>VLOOKUP(MP_registro[[#This Row],[TAG]],'DB-EQUIPOS GEN'!$C$11:$H$833,2,0)</f>
        <v>Nivelador de cama de bagazo en difusor</v>
      </c>
      <c r="G196" s="167" t="str">
        <f>VLOOKUP(MP_registro[[#This Row],[TAG]],'DB-EQUIPOS GEN'!$C$11:$H$833,3,0)</f>
        <v>EXTRACCION</v>
      </c>
      <c r="H196" s="167" t="str">
        <f>VLOOKUP(MP_registro[[#This Row],[TAG]],'DB-EQUIPOS GEN'!$C$11:$H$833,4,0)</f>
        <v>DIFUSOR</v>
      </c>
      <c r="I196" s="167" t="str">
        <f>VLOOKUP(MP_registro[[#This Row],[TAG]],'DB-EQUIPOS GEN'!$C$11:$H$833,5,0)</f>
        <v>CONDUCTOR TRANSVERSAL</v>
      </c>
      <c r="J196" s="167" t="str">
        <f>VLOOKUP(MP_registro[[#This Row],[TAG]],'DB-EQUIPOS GEN'!$C$11:$H$833,6,0)</f>
        <v>0205CV190</v>
      </c>
      <c r="K196" s="66">
        <v>44703</v>
      </c>
      <c r="L196" s="64" t="s">
        <v>245</v>
      </c>
      <c r="M196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96" s="64" t="s">
        <v>1664</v>
      </c>
      <c r="O196" s="64" t="s">
        <v>1696</v>
      </c>
    </row>
    <row r="197" spans="1:17" s="42" customFormat="1" ht="35.25" customHeight="1">
      <c r="A197" s="65">
        <v>196</v>
      </c>
      <c r="B197" s="64" t="s">
        <v>261</v>
      </c>
      <c r="C197" s="64" t="s">
        <v>1378</v>
      </c>
      <c r="D197" s="65" t="s">
        <v>1577</v>
      </c>
      <c r="E197" s="65" t="s">
        <v>1644</v>
      </c>
      <c r="F197" s="166" t="str">
        <f>VLOOKUP(MP_registro[[#This Row],[TAG]],'DB-EQUIPOS GEN'!$C$11:$H$833,2,0)</f>
        <v>Explanada de Turbina Triveni</v>
      </c>
      <c r="G197" s="167" t="str">
        <f>VLOOKUP(MP_registro[[#This Row],[TAG]],'DB-EQUIPOS GEN'!$C$11:$H$833,3,0)</f>
        <v>E. ELECTRICA</v>
      </c>
      <c r="H197" s="166" t="str">
        <f>VLOOKUP(MP_registro[[#This Row],[TAG]],'DB-EQUIPOS GEN'!$C$11:$H$833,4,0)</f>
        <v>GENERACIÓN ENERG. ELEC. TURBO GENERADOR</v>
      </c>
      <c r="I197" s="166" t="str">
        <f>VLOOKUP(MP_registro[[#This Row],[TAG]],'DB-EQUIPOS GEN'!$C$11:$H$833,5,0)</f>
        <v>TURBOGENERADOR TRIVENI 23.2 MW</v>
      </c>
      <c r="J197" s="166" t="str">
        <f>VLOOKUP(MP_registro[[#This Row],[TAG]],'DB-EQUIPOS GEN'!$C$11:$H$833,6,0)</f>
        <v>0430TG020</v>
      </c>
      <c r="K197" s="67">
        <v>44702</v>
      </c>
      <c r="L197" s="65" t="s">
        <v>245</v>
      </c>
      <c r="M197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97" s="64" t="s">
        <v>1664</v>
      </c>
      <c r="O197" s="64" t="s">
        <v>1696</v>
      </c>
    </row>
    <row r="198" spans="1:17" s="42" customFormat="1" ht="35.25" customHeight="1">
      <c r="A198" s="64">
        <v>197</v>
      </c>
      <c r="B198" s="64" t="s">
        <v>261</v>
      </c>
      <c r="C198" s="64" t="s">
        <v>1378</v>
      </c>
      <c r="D198" s="65" t="s">
        <v>1578</v>
      </c>
      <c r="E198" s="65" t="s">
        <v>1645</v>
      </c>
      <c r="F198" s="166" t="str">
        <f>VLOOKUP(MP_registro[[#This Row],[TAG]],'DB-EQUIPOS GEN'!$C$11:$H$833,2,0)</f>
        <v>Tamiz rotativo</v>
      </c>
      <c r="G198" s="167" t="str">
        <f>VLOOKUP(MP_registro[[#This Row],[TAG]],'DB-EQUIPOS GEN'!$C$11:$H$833,3,0)</f>
        <v>EXTRACCION</v>
      </c>
      <c r="H198" s="167" t="str">
        <f>VLOOKUP(MP_registro[[#This Row],[TAG]],'DB-EQUIPOS GEN'!$C$11:$H$833,4,0)</f>
        <v>DIFUSOR</v>
      </c>
      <c r="I198" s="167" t="str">
        <f>VLOOKUP(MP_registro[[#This Row],[TAG]],'DB-EQUIPOS GEN'!$C$11:$H$833,5,0)</f>
        <v>TAMIZ ROTATIVO</v>
      </c>
      <c r="J198" s="167" t="str">
        <f>VLOOKUP(MP_registro[[#This Row],[TAG]],'DB-EQUIPOS GEN'!$C$11:$H$833,6,0)</f>
        <v>0305FL010</v>
      </c>
      <c r="K198" s="66">
        <v>44702</v>
      </c>
      <c r="L198" s="64" t="s">
        <v>245</v>
      </c>
      <c r="M198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98" s="64" t="s">
        <v>1664</v>
      </c>
      <c r="O198" s="64" t="s">
        <v>1696</v>
      </c>
    </row>
    <row r="199" spans="1:17" s="42" customFormat="1" ht="35.25" customHeight="1">
      <c r="A199" s="65">
        <v>198</v>
      </c>
      <c r="B199" s="64" t="s">
        <v>261</v>
      </c>
      <c r="C199" s="64" t="s">
        <v>1378</v>
      </c>
      <c r="D199" s="65" t="s">
        <v>1579</v>
      </c>
      <c r="E199" s="65" t="s">
        <v>1646</v>
      </c>
      <c r="F199" s="166" t="str">
        <f>VLOOKUP(MP_registro[[#This Row],[TAG]],'DB-EQUIPOS GEN'!$C$11:$H$833,2,0)</f>
        <v>Segundo nivel de Turbina TGM</v>
      </c>
      <c r="G199" s="167" t="str">
        <f>VLOOKUP(MP_registro[[#This Row],[TAG]],'DB-EQUIPOS GEN'!$C$11:$H$833,3,0)</f>
        <v>E. ELECTRICA</v>
      </c>
      <c r="H199" s="166" t="str">
        <f>VLOOKUP(MP_registro[[#This Row],[TAG]],'DB-EQUIPOS GEN'!$C$11:$H$833,4,0)</f>
        <v>SISTEMA DE ENFRIAMIENTO</v>
      </c>
      <c r="I199" s="166" t="str">
        <f>VLOOKUP(MP_registro[[#This Row],[TAG]],'DB-EQUIPOS GEN'!$C$11:$H$833,5,0)</f>
        <v>TORRE DE ENFRIAMIENTO MARLEY - TG TGM</v>
      </c>
      <c r="J199" s="166" t="str">
        <f>VLOOKUP(MP_registro[[#This Row],[TAG]],'DB-EQUIPOS GEN'!$C$11:$H$833,6,0)</f>
        <v>0430CT050</v>
      </c>
      <c r="K199" s="67">
        <v>44697</v>
      </c>
      <c r="L199" s="65" t="s">
        <v>245</v>
      </c>
      <c r="M199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199" s="64" t="s">
        <v>1664</v>
      </c>
      <c r="O199" s="64" t="s">
        <v>1696</v>
      </c>
    </row>
    <row r="200" spans="1:17" s="42" customFormat="1" ht="35.25" customHeight="1">
      <c r="A200" s="64">
        <v>199</v>
      </c>
      <c r="B200" s="64" t="s">
        <v>261</v>
      </c>
      <c r="C200" s="64" t="s">
        <v>1378</v>
      </c>
      <c r="D200" s="65" t="s">
        <v>1580</v>
      </c>
      <c r="E200" s="65" t="s">
        <v>1656</v>
      </c>
      <c r="F200" s="166" t="str">
        <f>VLOOKUP(MP_registro[[#This Row],[TAG]],'DB-EQUIPOS GEN'!$C$11:$H$833,2,0)</f>
        <v>Descarga de centrifugas continuas</v>
      </c>
      <c r="G200" s="167" t="str">
        <f>VLOOKUP(MP_registro[[#This Row],[TAG]],'DB-EQUIPOS GEN'!$C$11:$H$833,3,0)</f>
        <v>PRODUCCION</v>
      </c>
      <c r="H200" s="167" t="str">
        <f>VLOOKUP(MP_registro[[#This Row],[TAG]],'DB-EQUIPOS GEN'!$C$11:$H$833,4,0)</f>
        <v>CENTRIFUGACIÓN DE AZÚCAR</v>
      </c>
      <c r="I200" s="167" t="str">
        <f>VLOOKUP(MP_registro[[#This Row],[TAG]],'DB-EQUIPOS GEN'!$C$11:$H$833,5,0)</f>
        <v>CENTRIFUGA CONTINUA 1 - C (FRANCIA)</v>
      </c>
      <c r="J200" s="167" t="str">
        <f>VLOOKUP(MP_registro[[#This Row],[TAG]],'DB-EQUIPOS GEN'!$C$11:$H$833,6,0)</f>
        <v>0345SQ160</v>
      </c>
      <c r="K200" s="66">
        <v>44699</v>
      </c>
      <c r="L200" s="64" t="s">
        <v>247</v>
      </c>
      <c r="M200" s="65" t="s">
        <v>2404</v>
      </c>
      <c r="N200" s="64" t="s">
        <v>1664</v>
      </c>
      <c r="O200" s="64" t="s">
        <v>1696</v>
      </c>
    </row>
    <row r="201" spans="1:17" s="33" customFormat="1" ht="35.25" customHeight="1">
      <c r="A201" s="65">
        <v>200</v>
      </c>
      <c r="B201" s="64" t="s">
        <v>261</v>
      </c>
      <c r="C201" s="64" t="s">
        <v>1378</v>
      </c>
      <c r="D201" s="65" t="s">
        <v>1581</v>
      </c>
      <c r="E201" s="65" t="s">
        <v>1657</v>
      </c>
      <c r="F201" s="166" t="str">
        <f>VLOOKUP(MP_registro[[#This Row],[TAG]],'DB-EQUIPOS GEN'!$C$11:$H$833,2,0)</f>
        <v>Pug mill B, Cabezal C de centrifugas continuas</v>
      </c>
      <c r="G201" s="167" t="str">
        <f>VLOOKUP(MP_registro[[#This Row],[TAG]],'DB-EQUIPOS GEN'!$C$11:$H$833,3,0)</f>
        <v>PRODUCCION</v>
      </c>
      <c r="H201" s="166" t="str">
        <f>VLOOKUP(MP_registro[[#This Row],[TAG]],'DB-EQUIPOS GEN'!$C$11:$H$833,4,0)</f>
        <v>CENTRIFUGACIÓN DE AZÚCAR</v>
      </c>
      <c r="I201" s="166" t="str">
        <f>VLOOKUP(MP_registro[[#This Row],[TAG]],'DB-EQUIPOS GEN'!$C$11:$H$833,5,0)</f>
        <v>PUG MILL - B</v>
      </c>
      <c r="J201" s="166" t="str">
        <f>VLOOKUP(MP_registro[[#This Row],[TAG]],'DB-EQUIPOS GEN'!$C$11:$H$833,6,0)</f>
        <v>0345MM020</v>
      </c>
      <c r="K201" s="68">
        <v>44699</v>
      </c>
      <c r="L201" s="65" t="s">
        <v>249</v>
      </c>
      <c r="M201" s="64" t="s">
        <v>2403</v>
      </c>
      <c r="N201" s="64" t="s">
        <v>1664</v>
      </c>
      <c r="O201" s="64" t="s">
        <v>1696</v>
      </c>
      <c r="Q201" s="42"/>
    </row>
    <row r="202" spans="1:17" s="33" customFormat="1" ht="35.25" customHeight="1">
      <c r="A202" s="64">
        <v>201</v>
      </c>
      <c r="B202" s="64" t="s">
        <v>261</v>
      </c>
      <c r="C202" s="64" t="s">
        <v>1378</v>
      </c>
      <c r="D202" s="65" t="s">
        <v>1582</v>
      </c>
      <c r="E202" s="65" t="s">
        <v>1658</v>
      </c>
      <c r="F202" s="166" t="str">
        <f>VLOOKUP(MP_registro[[#This Row],[TAG]],'DB-EQUIPOS GEN'!$C$11:$H$833,2,0)</f>
        <v>Pug mill A - Centrifugas batch</v>
      </c>
      <c r="G202" s="167" t="str">
        <f>VLOOKUP(MP_registro[[#This Row],[TAG]],'DB-EQUIPOS GEN'!$C$11:$H$833,3,0)</f>
        <v>PRODUCCION</v>
      </c>
      <c r="H202" s="167" t="str">
        <f>VLOOKUP(MP_registro[[#This Row],[TAG]],'DB-EQUIPOS GEN'!$C$11:$H$833,4,0)</f>
        <v>CENTRIFUGACIÓN DE AZÚCAR</v>
      </c>
      <c r="I202" s="167" t="str">
        <f>VLOOKUP(MP_registro[[#This Row],[TAG]],'DB-EQUIPOS GEN'!$C$11:$H$833,5,0)</f>
        <v>PUG MILL - A</v>
      </c>
      <c r="J202" s="167" t="str">
        <f>VLOOKUP(MP_registro[[#This Row],[TAG]],'DB-EQUIPOS GEN'!$C$11:$H$833,6,0)</f>
        <v>0345MM010</v>
      </c>
      <c r="K202" s="69">
        <v>44700</v>
      </c>
      <c r="L202" s="64" t="s">
        <v>247</v>
      </c>
      <c r="M202" s="65" t="s">
        <v>2404</v>
      </c>
      <c r="N202" s="64" t="s">
        <v>1664</v>
      </c>
      <c r="O202" s="64" t="s">
        <v>1696</v>
      </c>
      <c r="Q202" s="42"/>
    </row>
    <row r="203" spans="1:17" s="33" customFormat="1" ht="35.25" customHeight="1">
      <c r="A203" s="65">
        <v>202</v>
      </c>
      <c r="B203" s="64" t="s">
        <v>261</v>
      </c>
      <c r="C203" s="64" t="s">
        <v>1378</v>
      </c>
      <c r="D203" s="65" t="s">
        <v>1583</v>
      </c>
      <c r="E203" s="65" t="s">
        <v>1659</v>
      </c>
      <c r="F203" s="166" t="str">
        <f>VLOOKUP(MP_registro[[#This Row],[TAG]],'DB-EQUIPOS GEN'!$C$11:$H$833,2,0)</f>
        <v>Vista global de tanques de jarabe 1,2 y 3</v>
      </c>
      <c r="G203" s="167" t="str">
        <f>VLOOKUP(MP_registro[[#This Row],[TAG]],'DB-EQUIPOS GEN'!$C$11:$H$833,3,0)</f>
        <v>PRODUCCION</v>
      </c>
      <c r="H203" s="166" t="str">
        <f>VLOOKUP(MP_registro[[#This Row],[TAG]],'DB-EQUIPOS GEN'!$C$11:$H$833,4,0)</f>
        <v>CRISTALIZACIÓN POR COCCIÓN</v>
      </c>
      <c r="I203" s="166" t="str">
        <f>VLOOKUP(MP_registro[[#This Row],[TAG]],'DB-EQUIPOS GEN'!$C$11:$H$833,5,0)</f>
        <v>TANQUE DE JARABE 1</v>
      </c>
      <c r="J203" s="166" t="str">
        <f>VLOOKUP(MP_registro[[#This Row],[TAG]],'DB-EQUIPOS GEN'!$C$11:$H$833,6,0)</f>
        <v>0335TK010</v>
      </c>
      <c r="K203" s="68">
        <v>44698</v>
      </c>
      <c r="L203" s="65" t="s">
        <v>249</v>
      </c>
      <c r="M203" s="64" t="s">
        <v>2403</v>
      </c>
      <c r="N203" s="64" t="s">
        <v>1664</v>
      </c>
      <c r="O203" s="64" t="s">
        <v>1696</v>
      </c>
      <c r="Q203" s="42"/>
    </row>
    <row r="204" spans="1:17" s="33" customFormat="1" ht="35.25" customHeight="1">
      <c r="A204" s="64">
        <v>203</v>
      </c>
      <c r="B204" s="64" t="s">
        <v>261</v>
      </c>
      <c r="C204" s="64" t="s">
        <v>1378</v>
      </c>
      <c r="D204" s="65" t="s">
        <v>1584</v>
      </c>
      <c r="E204" s="65" t="s">
        <v>1660</v>
      </c>
      <c r="F204" s="166" t="str">
        <f>VLOOKUP(MP_registro[[#This Row],[TAG]],'DB-EQUIPOS GEN'!$C$11:$H$833,2,0)</f>
        <v>Vista global de tacho continuo A.</v>
      </c>
      <c r="G204" s="167" t="str">
        <f>VLOOKUP(MP_registro[[#This Row],[TAG]],'DB-EQUIPOS GEN'!$C$11:$H$833,3,0)</f>
        <v>PRODUCCION</v>
      </c>
      <c r="H204" s="167" t="str">
        <f>VLOOKUP(MP_registro[[#This Row],[TAG]],'DB-EQUIPOS GEN'!$C$11:$H$833,4,0)</f>
        <v>CRISTALIZACIÓN POR COCCIÓN</v>
      </c>
      <c r="I204" s="167" t="str">
        <f>VLOOKUP(MP_registro[[#This Row],[TAG]],'DB-EQUIPOS GEN'!$C$11:$H$833,5,0)</f>
        <v>TACHO CONTINUO - A</v>
      </c>
      <c r="J204" s="167" t="str">
        <f>VLOOKUP(MP_registro[[#This Row],[TAG]],'DB-EQUIPOS GEN'!$C$11:$H$833,6,0)</f>
        <v>0335HX200</v>
      </c>
      <c r="K204" s="69">
        <v>44700</v>
      </c>
      <c r="L204" s="64" t="s">
        <v>249</v>
      </c>
      <c r="M204" s="64" t="s">
        <v>2403</v>
      </c>
      <c r="N204" s="64" t="s">
        <v>1664</v>
      </c>
      <c r="O204" s="64" t="s">
        <v>1696</v>
      </c>
      <c r="Q204" s="42"/>
    </row>
    <row r="205" spans="1:17" s="33" customFormat="1" ht="35.25" customHeight="1">
      <c r="A205" s="65">
        <v>204</v>
      </c>
      <c r="B205" s="64" t="s">
        <v>261</v>
      </c>
      <c r="C205" s="64" t="s">
        <v>1378</v>
      </c>
      <c r="D205" s="65" t="s">
        <v>1585</v>
      </c>
      <c r="E205" s="65" t="s">
        <v>1661</v>
      </c>
      <c r="F205" s="166" t="str">
        <f>VLOOKUP(MP_registro[[#This Row],[TAG]],'DB-EQUIPOS GEN'!$C$11:$H$833,2,0)</f>
        <v xml:space="preserve">Faja de azucar seca a Silo </v>
      </c>
      <c r="G205" s="167" t="str">
        <f>VLOOKUP(MP_registro[[#This Row],[TAG]],'DB-EQUIPOS GEN'!$C$11:$H$833,3,0)</f>
        <v>PRODUCCION</v>
      </c>
      <c r="H205" s="166" t="str">
        <f>VLOOKUP(MP_registro[[#This Row],[TAG]],'DB-EQUIPOS GEN'!$C$11:$H$833,4,0)</f>
        <v>ENVASADO DE AZÚCAR RUBIA</v>
      </c>
      <c r="I205" s="166" t="str">
        <f>VLOOKUP(MP_registro[[#This Row],[TAG]],'DB-EQUIPOS GEN'!$C$11:$H$833,5,0)</f>
        <v>SILO DE AZUCAR 1</v>
      </c>
      <c r="J205" s="166" t="str">
        <f>VLOOKUP(MP_registro[[#This Row],[TAG]],'DB-EQUIPOS GEN'!$C$11:$H$833,6,0)</f>
        <v>0355BI090</v>
      </c>
      <c r="K205" s="68">
        <v>44699</v>
      </c>
      <c r="L205" s="65" t="s">
        <v>247</v>
      </c>
      <c r="M205" s="65" t="s">
        <v>2404</v>
      </c>
      <c r="N205" s="64" t="s">
        <v>1664</v>
      </c>
      <c r="O205" s="64" t="s">
        <v>1696</v>
      </c>
      <c r="Q205" s="42"/>
    </row>
    <row r="206" spans="1:17" s="33" customFormat="1" ht="35.25" customHeight="1">
      <c r="A206" s="64">
        <v>205</v>
      </c>
      <c r="B206" s="64" t="s">
        <v>261</v>
      </c>
      <c r="C206" s="64" t="s">
        <v>1378</v>
      </c>
      <c r="D206" s="65" t="s">
        <v>1586</v>
      </c>
      <c r="E206" s="65" t="s">
        <v>1647</v>
      </c>
      <c r="F206" s="166" t="str">
        <f>VLOOKUP(MP_registro[[#This Row],[TAG]],'DB-EQUIPOS GEN'!$C$11:$H$833,2,0)</f>
        <v>Explanada frontal de Turbina Triveni</v>
      </c>
      <c r="G206" s="167" t="str">
        <f>VLOOKUP(MP_registro[[#This Row],[TAG]],'DB-EQUIPOS GEN'!$C$11:$H$833,3,0)</f>
        <v>E. ELECTRICA</v>
      </c>
      <c r="H206" s="167" t="str">
        <f>VLOOKUP(MP_registro[[#This Row],[TAG]],'DB-EQUIPOS GEN'!$C$11:$H$833,4,0)</f>
        <v>GENERACIÓN ENERG. ELEC. TURBO GENERADOR</v>
      </c>
      <c r="I206" s="167" t="str">
        <f>VLOOKUP(MP_registro[[#This Row],[TAG]],'DB-EQUIPOS GEN'!$C$11:$H$833,5,0)</f>
        <v>TURBOGENERADOR TRIVENI 23.2 MW</v>
      </c>
      <c r="J206" s="167" t="str">
        <f>VLOOKUP(MP_registro[[#This Row],[TAG]],'DB-EQUIPOS GEN'!$C$11:$H$833,6,0)</f>
        <v>0430TG020</v>
      </c>
      <c r="K206" s="69">
        <v>44700</v>
      </c>
      <c r="L206" s="64" t="s">
        <v>245</v>
      </c>
      <c r="M206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06" s="64" t="s">
        <v>1664</v>
      </c>
      <c r="O206" s="64" t="s">
        <v>1696</v>
      </c>
      <c r="Q206" s="42"/>
    </row>
    <row r="207" spans="1:17" s="33" customFormat="1" ht="35.25" customHeight="1">
      <c r="A207" s="65">
        <v>206</v>
      </c>
      <c r="B207" s="64" t="s">
        <v>261</v>
      </c>
      <c r="C207" s="64" t="s">
        <v>1378</v>
      </c>
      <c r="D207" s="65" t="s">
        <v>1587</v>
      </c>
      <c r="E207" s="65" t="s">
        <v>1648</v>
      </c>
      <c r="F207" s="166" t="str">
        <f>VLOOKUP(MP_registro[[#This Row],[TAG]],'DB-EQUIPOS GEN'!$C$11:$H$833,2,0)</f>
        <v>Nivel de agua en domo</v>
      </c>
      <c r="G207" s="167" t="str">
        <f>VLOOKUP(MP_registro[[#This Row],[TAG]],'DB-EQUIPOS GEN'!$C$11:$H$833,3,0)</f>
        <v>E. TERMICA</v>
      </c>
      <c r="H207" s="166" t="str">
        <f>VLOOKUP(MP_registro[[#This Row],[TAG]],'DB-EQUIPOS GEN'!$C$11:$H$833,4,0)</f>
        <v>GENERACIÓN DE VAPOR</v>
      </c>
      <c r="I207" s="166" t="str">
        <f>VLOOKUP(MP_registro[[#This Row],[TAG]],'DB-EQUIPOS GEN'!$C$11:$H$833,5,0)</f>
        <v>DOMO SUPERIOR</v>
      </c>
      <c r="J207" s="166" t="str">
        <f>VLOOKUP(MP_registro[[#This Row],[TAG]],'DB-EQUIPOS GEN'!$C$11:$H$833,6,0)</f>
        <v>0405DO020</v>
      </c>
      <c r="K207" s="68">
        <v>44701</v>
      </c>
      <c r="L207" s="65" t="s">
        <v>247</v>
      </c>
      <c r="M207" s="65" t="s">
        <v>2404</v>
      </c>
      <c r="N207" s="64" t="s">
        <v>1664</v>
      </c>
      <c r="O207" s="64" t="s">
        <v>1696</v>
      </c>
      <c r="Q207" s="42"/>
    </row>
    <row r="208" spans="1:17" s="33" customFormat="1" ht="35.25" customHeight="1">
      <c r="A208" s="64">
        <v>207</v>
      </c>
      <c r="B208" s="64" t="s">
        <v>261</v>
      </c>
      <c r="C208" s="64" t="s">
        <v>1378</v>
      </c>
      <c r="D208" s="65" t="s">
        <v>1588</v>
      </c>
      <c r="E208" s="65" t="s">
        <v>1649</v>
      </c>
      <c r="F208" s="166" t="str">
        <f>VLOOKUP(MP_registro[[#This Row],[TAG]],'DB-EQUIPOS GEN'!$C$11:$H$833,2,0)</f>
        <v>Chute alimentadores de bagazo</v>
      </c>
      <c r="G208" s="167" t="str">
        <f>VLOOKUP(MP_registro[[#This Row],[TAG]],'DB-EQUIPOS GEN'!$C$11:$H$833,3,0)</f>
        <v>E. TERMICA</v>
      </c>
      <c r="H208" s="167" t="str">
        <f>VLOOKUP(MP_registro[[#This Row],[TAG]],'DB-EQUIPOS GEN'!$C$11:$H$833,4,0)</f>
        <v>TRANSPORTE DE BAGAZO</v>
      </c>
      <c r="I208" s="167" t="str">
        <f>VLOOKUP(MP_registro[[#This Row],[TAG]],'DB-EQUIPOS GEN'!$C$11:$H$833,5,0)</f>
        <v>ALIMENTADOR DE BAGAZO 1</v>
      </c>
      <c r="J208" s="167" t="str">
        <f>VLOOKUP(MP_registro[[#This Row],[TAG]],'DB-EQUIPOS GEN'!$C$11:$H$833,6,0)</f>
        <v>0405RV240</v>
      </c>
      <c r="K208" s="69">
        <v>44700</v>
      </c>
      <c r="L208" s="64" t="s">
        <v>249</v>
      </c>
      <c r="M208" s="64" t="s">
        <v>2403</v>
      </c>
      <c r="N208" s="64" t="s">
        <v>1664</v>
      </c>
      <c r="O208" s="64" t="s">
        <v>1696</v>
      </c>
      <c r="Q208" s="42"/>
    </row>
    <row r="209" spans="1:17" s="33" customFormat="1" ht="35.25" customHeight="1">
      <c r="A209" s="65">
        <v>208</v>
      </c>
      <c r="B209" s="64" t="s">
        <v>261</v>
      </c>
      <c r="C209" s="64" t="s">
        <v>1378</v>
      </c>
      <c r="D209" s="65" t="s">
        <v>1589</v>
      </c>
      <c r="E209" s="65" t="s">
        <v>1650</v>
      </c>
      <c r="F209" s="166" t="str">
        <f>VLOOKUP(MP_registro[[#This Row],[TAG]],'DB-EQUIPOS GEN'!$C$11:$H$833,2,0)</f>
        <v>Faja 1003 - Conductor distribuidor de bagazo</v>
      </c>
      <c r="G209" s="167" t="str">
        <f>VLOOKUP(MP_registro[[#This Row],[TAG]],'DB-EQUIPOS GEN'!$C$11:$H$833,3,0)</f>
        <v>E. TERMICA</v>
      </c>
      <c r="H209" s="166" t="str">
        <f>VLOOKUP(MP_registro[[#This Row],[TAG]],'DB-EQUIPOS GEN'!$C$11:$H$833,4,0)</f>
        <v>TRANSPORTE DE BAGAZO</v>
      </c>
      <c r="I209" s="166" t="str">
        <f>VLOOKUP(MP_registro[[#This Row],[TAG]],'DB-EQUIPOS GEN'!$C$11:$H$833,5,0)</f>
        <v>TRANSPORTADOR DE BAGAZO 1003</v>
      </c>
      <c r="J209" s="166" t="str">
        <f>VLOOKUP(MP_registro[[#This Row],[TAG]],'DB-EQUIPOS GEN'!$C$11:$H$833,6,0)</f>
        <v>0805CV060</v>
      </c>
      <c r="K209" s="68">
        <v>44697</v>
      </c>
      <c r="L209" s="65" t="s">
        <v>247</v>
      </c>
      <c r="M209" s="65" t="s">
        <v>2404</v>
      </c>
      <c r="N209" s="64" t="s">
        <v>1664</v>
      </c>
      <c r="O209" s="64" t="s">
        <v>1696</v>
      </c>
      <c r="Q209" s="42"/>
    </row>
    <row r="210" spans="1:17" s="33" customFormat="1" ht="35.25" customHeight="1">
      <c r="A210" s="64">
        <v>209</v>
      </c>
      <c r="B210" s="64" t="s">
        <v>261</v>
      </c>
      <c r="C210" s="64" t="s">
        <v>1378</v>
      </c>
      <c r="D210" s="65" t="s">
        <v>1590</v>
      </c>
      <c r="E210" s="65" t="s">
        <v>1651</v>
      </c>
      <c r="F210" s="166" t="str">
        <f>VLOOKUP(MP_registro[[#This Row],[TAG]],'DB-EQUIPOS GEN'!$C$11:$H$833,2,0)</f>
        <v>Faja 1008 - Tolva de retorno de bagazo</v>
      </c>
      <c r="G210" s="167" t="str">
        <f>VLOOKUP(MP_registro[[#This Row],[TAG]],'DB-EQUIPOS GEN'!$C$11:$H$833,3,0)</f>
        <v>E. TERMICA</v>
      </c>
      <c r="H210" s="167" t="str">
        <f>VLOOKUP(MP_registro[[#This Row],[TAG]],'DB-EQUIPOS GEN'!$C$11:$H$833,4,0)</f>
        <v>TRANSPORTE DE BAGAZO</v>
      </c>
      <c r="I210" s="167" t="str">
        <f>VLOOKUP(MP_registro[[#This Row],[TAG]],'DB-EQUIPOS GEN'!$C$11:$H$833,5,0)</f>
        <v>FAJA TRANSPORTADORA 1008</v>
      </c>
      <c r="J210" s="167" t="str">
        <f>VLOOKUP(MP_registro[[#This Row],[TAG]],'DB-EQUIPOS GEN'!$C$11:$H$833,6,0)</f>
        <v>0805CV100</v>
      </c>
      <c r="K210" s="69">
        <v>44697</v>
      </c>
      <c r="L210" s="64" t="s">
        <v>249</v>
      </c>
      <c r="M210" s="64" t="s">
        <v>2403</v>
      </c>
      <c r="N210" s="64" t="s">
        <v>1664</v>
      </c>
      <c r="O210" s="64" t="s">
        <v>1696</v>
      </c>
      <c r="Q210" s="42"/>
    </row>
    <row r="211" spans="1:17" s="33" customFormat="1" ht="35.25" customHeight="1">
      <c r="A211" s="65">
        <v>210</v>
      </c>
      <c r="B211" s="64" t="s">
        <v>261</v>
      </c>
      <c r="C211" s="64" t="s">
        <v>1378</v>
      </c>
      <c r="D211" s="65" t="s">
        <v>1591</v>
      </c>
      <c r="E211" s="65" t="s">
        <v>1652</v>
      </c>
      <c r="F211" s="166" t="str">
        <f>VLOOKUP(MP_registro[[#This Row],[TAG]],'DB-EQUIPOS GEN'!$C$11:$H$833,2,0)</f>
        <v>Faja 1006A - Patio de Bagazo</v>
      </c>
      <c r="G211" s="167" t="str">
        <f>VLOOKUP(MP_registro[[#This Row],[TAG]],'DB-EQUIPOS GEN'!$C$11:$H$833,3,0)</f>
        <v>E. TERMICA</v>
      </c>
      <c r="H211" s="166" t="str">
        <f>VLOOKUP(MP_registro[[#This Row],[TAG]],'DB-EQUIPOS GEN'!$C$11:$H$833,4,0)</f>
        <v>TRANSPORTE DE BAGAZO</v>
      </c>
      <c r="I211" s="166" t="str">
        <f>VLOOKUP(MP_registro[[#This Row],[TAG]],'DB-EQUIPOS GEN'!$C$11:$H$833,5,0)</f>
        <v>FAJA TRANSPORTADORA 1006 A</v>
      </c>
      <c r="J211" s="166" t="str">
        <f>VLOOKUP(MP_registro[[#This Row],[TAG]],'DB-EQUIPOS GEN'!$C$11:$H$833,6,0)</f>
        <v>0805CV080</v>
      </c>
      <c r="K211" s="68">
        <v>44697</v>
      </c>
      <c r="L211" s="65" t="s">
        <v>247</v>
      </c>
      <c r="M211" s="65" t="s">
        <v>2404</v>
      </c>
      <c r="N211" s="64" t="s">
        <v>1664</v>
      </c>
      <c r="O211" s="64" t="s">
        <v>1696</v>
      </c>
      <c r="Q211" s="42"/>
    </row>
    <row r="212" spans="1:17" s="33" customFormat="1" ht="35.25" customHeight="1">
      <c r="A212" s="64">
        <v>211</v>
      </c>
      <c r="B212" s="64" t="s">
        <v>261</v>
      </c>
      <c r="C212" s="64" t="s">
        <v>1378</v>
      </c>
      <c r="D212" s="65" t="s">
        <v>1592</v>
      </c>
      <c r="E212" s="65" t="s">
        <v>1653</v>
      </c>
      <c r="F212" s="166" t="str">
        <f>VLOOKUP(MP_registro[[#This Row],[TAG]],'DB-EQUIPOS GEN'!$C$11:$H$833,2,0)</f>
        <v>Operación del desviador de bagazo</v>
      </c>
      <c r="G212" s="167" t="str">
        <f>VLOOKUP(MP_registro[[#This Row],[TAG]],'DB-EQUIPOS GEN'!$C$11:$H$833,3,0)</f>
        <v>E. TERMICA</v>
      </c>
      <c r="H212" s="167" t="str">
        <f>VLOOKUP(MP_registro[[#This Row],[TAG]],'DB-EQUIPOS GEN'!$C$11:$H$833,4,0)</f>
        <v>TRANSPORTE DE BAGAZO</v>
      </c>
      <c r="I212" s="167" t="str">
        <f>VLOOKUP(MP_registro[[#This Row],[TAG]],'DB-EQUIPOS GEN'!$C$11:$H$833,5,0)</f>
        <v>FAJA TRANSPORTADORA 1004</v>
      </c>
      <c r="J212" s="167" t="str">
        <f>VLOOKUP(MP_registro[[#This Row],[TAG]],'DB-EQUIPOS GEN'!$C$11:$H$833,6,0)</f>
        <v>0805CV070</v>
      </c>
      <c r="K212" s="69">
        <v>44697</v>
      </c>
      <c r="L212" s="64" t="s">
        <v>249</v>
      </c>
      <c r="M212" s="64" t="s">
        <v>2403</v>
      </c>
      <c r="N212" s="64" t="s">
        <v>1664</v>
      </c>
      <c r="O212" s="64" t="s">
        <v>1696</v>
      </c>
      <c r="Q212" s="42"/>
    </row>
    <row r="213" spans="1:17" s="33" customFormat="1" ht="35.25" customHeight="1">
      <c r="A213" s="65">
        <v>212</v>
      </c>
      <c r="B213" s="64" t="s">
        <v>261</v>
      </c>
      <c r="C213" s="64" t="s">
        <v>1378</v>
      </c>
      <c r="D213" s="65" t="s">
        <v>1593</v>
      </c>
      <c r="E213" s="65" t="s">
        <v>1654</v>
      </c>
      <c r="F213" s="166" t="str">
        <f>VLOOKUP(MP_registro[[#This Row],[TAG]],'DB-EQUIPOS GEN'!$C$11:$H$833,2,0)</f>
        <v>Vista global de sala turbina TGM</v>
      </c>
      <c r="G213" s="167" t="str">
        <f>VLOOKUP(MP_registro[[#This Row],[TAG]],'DB-EQUIPOS GEN'!$C$11:$H$833,3,0)</f>
        <v>E. ELECTRICA</v>
      </c>
      <c r="H213" s="166" t="str">
        <f>VLOOKUP(MP_registro[[#This Row],[TAG]],'DB-EQUIPOS GEN'!$C$11:$H$833,4,0)</f>
        <v>SISTEMA DE ENFRIAMIENTO</v>
      </c>
      <c r="I213" s="166" t="str">
        <f>VLOOKUP(MP_registro[[#This Row],[TAG]],'DB-EQUIPOS GEN'!$C$11:$H$833,5,0)</f>
        <v>TORRE DE ENFRIAMIENTO MARLEY - TG TGM</v>
      </c>
      <c r="J213" s="166" t="str">
        <f>VLOOKUP(MP_registro[[#This Row],[TAG]],'DB-EQUIPOS GEN'!$C$11:$H$833,6,0)</f>
        <v>0430CT050</v>
      </c>
      <c r="K213" s="68">
        <v>44698</v>
      </c>
      <c r="L213" s="65" t="s">
        <v>245</v>
      </c>
      <c r="M213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13" s="64" t="s">
        <v>1664</v>
      </c>
      <c r="O213" s="64" t="s">
        <v>1696</v>
      </c>
      <c r="Q213" s="42"/>
    </row>
    <row r="214" spans="1:17" s="33" customFormat="1" ht="35.25" customHeight="1">
      <c r="A214" s="64">
        <v>213</v>
      </c>
      <c r="B214" s="64" t="s">
        <v>261</v>
      </c>
      <c r="C214" s="64" t="s">
        <v>1378</v>
      </c>
      <c r="D214" s="65" t="s">
        <v>1594</v>
      </c>
      <c r="E214" s="65" t="s">
        <v>1655</v>
      </c>
      <c r="F214" s="166" t="str">
        <f>VLOOKUP(MP_registro[[#This Row],[TAG]],'DB-EQUIPOS GEN'!$C$11:$H$833,2,0)</f>
        <v>Vista global de planta de osmosis</v>
      </c>
      <c r="G214" s="167" t="str">
        <f>VLOOKUP(MP_registro[[#This Row],[TAG]],'DB-EQUIPOS GEN'!$C$11:$H$833,3,0)</f>
        <v>E. TERMICA</v>
      </c>
      <c r="H214" s="167" t="str">
        <f>VLOOKUP(MP_registro[[#This Row],[TAG]],'DB-EQUIPOS GEN'!$C$11:$H$833,4,0)</f>
        <v>PLANTA TRATAMIENTO OSMOSIS INVERSA</v>
      </c>
      <c r="I214" s="167" t="str">
        <f>VLOOKUP(MP_registro[[#This Row],[TAG]],'DB-EQUIPOS GEN'!$C$11:$H$833,5,0)</f>
        <v>PLANTA DE OSMOSIS INVERSA</v>
      </c>
      <c r="J214" s="167" t="str">
        <f>VLOOKUP(MP_registro[[#This Row],[TAG]],'DB-EQUIPOS GEN'!$C$11:$H$833,6,0)</f>
        <v>0425OI101</v>
      </c>
      <c r="K214" s="69">
        <v>44697</v>
      </c>
      <c r="L214" s="64" t="s">
        <v>245</v>
      </c>
      <c r="M214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14" s="64" t="s">
        <v>1664</v>
      </c>
      <c r="O214" s="64" t="s">
        <v>1696</v>
      </c>
      <c r="Q214" s="42"/>
    </row>
    <row r="215" spans="1:17" s="33" customFormat="1" ht="35.25" customHeight="1">
      <c r="A215" s="65">
        <v>214</v>
      </c>
      <c r="B215" s="64" t="s">
        <v>261</v>
      </c>
      <c r="C215" s="64" t="s">
        <v>1379</v>
      </c>
      <c r="D215" s="65" t="s">
        <v>1595</v>
      </c>
      <c r="E215" s="65" t="s">
        <v>280</v>
      </c>
      <c r="F215" s="166" t="str">
        <f>VLOOKUP(MP_registro[[#This Row],[TAG]],'DB-EQUIPOS GEN'!$C$11:$H$833,2,0)</f>
        <v>PH de jugo clarificado</v>
      </c>
      <c r="G215" s="167" t="str">
        <f>VLOOKUP(MP_registro[[#This Row],[TAG]],'DB-EQUIPOS GEN'!$C$11:$H$833,3,0)</f>
        <v>PRODUCCION</v>
      </c>
      <c r="H215" s="166" t="str">
        <f>VLOOKUP(MP_registro[[#This Row],[TAG]],'DB-EQUIPOS GEN'!$C$11:$H$833,4,0)</f>
        <v>CLARIFICACION DE JUGO</v>
      </c>
      <c r="I215" s="166" t="str">
        <f>VLOOKUP(MP_registro[[#This Row],[TAG]],'DB-EQUIPOS GEN'!$C$11:$H$833,5,0)</f>
        <v xml:space="preserve">CLARIFICADOR SRT </v>
      </c>
      <c r="J215" s="166" t="str">
        <f>VLOOKUP(MP_registro[[#This Row],[TAG]],'DB-EQUIPOS GEN'!$C$11:$H$833,6,0)</f>
        <v xml:space="preserve"> 0305CL130</v>
      </c>
      <c r="K215" s="68">
        <v>44707</v>
      </c>
      <c r="L215" s="65" t="s">
        <v>247</v>
      </c>
      <c r="M215" s="65" t="s">
        <v>2404</v>
      </c>
      <c r="N215" s="64" t="s">
        <v>1664</v>
      </c>
      <c r="O215" s="64" t="s">
        <v>1696</v>
      </c>
      <c r="Q215" s="42"/>
    </row>
    <row r="216" spans="1:17" s="33" customFormat="1" ht="35.25" customHeight="1">
      <c r="A216" s="64">
        <v>215</v>
      </c>
      <c r="B216" s="64" t="s">
        <v>261</v>
      </c>
      <c r="C216" s="64" t="s">
        <v>1379</v>
      </c>
      <c r="D216" s="65" t="s">
        <v>1606</v>
      </c>
      <c r="E216" s="65" t="s">
        <v>1177</v>
      </c>
      <c r="F216" s="166" t="str">
        <f>VLOOKUP(MP_registro[[#This Row],[TAG]],'DB-EQUIPOS GEN'!$C$11:$H$833,2,0)</f>
        <v>Valvula control de nivel FFE - 4A</v>
      </c>
      <c r="G216" s="167" t="str">
        <f>VLOOKUP(MP_registro[[#This Row],[TAG]],'DB-EQUIPOS GEN'!$C$11:$H$833,3,0)</f>
        <v>PRODUCCION</v>
      </c>
      <c r="H216" s="167" t="str">
        <f>VLOOKUP(MP_registro[[#This Row],[TAG]],'DB-EQUIPOS GEN'!$C$11:$H$833,4,0)</f>
        <v>EVAPORACION DE JUGO</v>
      </c>
      <c r="I216" s="167" t="str">
        <f>VLOOKUP(MP_registro[[#This Row],[TAG]],'DB-EQUIPOS GEN'!$C$11:$H$833,5,0)</f>
        <v>EVAPORADOR FFE 4A</v>
      </c>
      <c r="J216" s="167" t="str">
        <f>VLOOKUP(MP_registro[[#This Row],[TAG]],'DB-EQUIPOS GEN'!$C$11:$H$833,6,0)</f>
        <v>0320EV050</v>
      </c>
      <c r="K216" s="69">
        <v>44704</v>
      </c>
      <c r="L216" s="64" t="s">
        <v>245</v>
      </c>
      <c r="M216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16" s="64" t="s">
        <v>1664</v>
      </c>
      <c r="O216" s="64" t="s">
        <v>1696</v>
      </c>
      <c r="Q216" s="42"/>
    </row>
    <row r="217" spans="1:17" s="33" customFormat="1" ht="35.25" customHeight="1">
      <c r="A217" s="65">
        <v>216</v>
      </c>
      <c r="B217" s="64" t="s">
        <v>261</v>
      </c>
      <c r="C217" s="64" t="s">
        <v>1379</v>
      </c>
      <c r="D217" s="65" t="s">
        <v>1596</v>
      </c>
      <c r="E217" s="65" t="s">
        <v>1180</v>
      </c>
      <c r="F217" s="166" t="str">
        <f>VLOOKUP(MP_registro[[#This Row],[TAG]],'DB-EQUIPOS GEN'!$C$11:$H$833,2,0)</f>
        <v>Valvula control de nivel FFE - 5B</v>
      </c>
      <c r="G217" s="167" t="str">
        <f>VLOOKUP(MP_registro[[#This Row],[TAG]],'DB-EQUIPOS GEN'!$C$11:$H$833,3,0)</f>
        <v>PRODUCCION</v>
      </c>
      <c r="H217" s="166" t="str">
        <f>VLOOKUP(MP_registro[[#This Row],[TAG]],'DB-EQUIPOS GEN'!$C$11:$H$833,4,0)</f>
        <v>EVAPORACION DE JUGO</v>
      </c>
      <c r="I217" s="166" t="str">
        <f>VLOOKUP(MP_registro[[#This Row],[TAG]],'DB-EQUIPOS GEN'!$C$11:$H$833,5,0)</f>
        <v>EVAPORADOR FFE 5B</v>
      </c>
      <c r="J217" s="166" t="str">
        <f>VLOOKUP(MP_registro[[#This Row],[TAG]],'DB-EQUIPOS GEN'!$C$11:$H$833,6,0)</f>
        <v>0320EV080</v>
      </c>
      <c r="K217" s="68">
        <v>44704</v>
      </c>
      <c r="L217" s="65" t="s">
        <v>247</v>
      </c>
      <c r="M217" s="65" t="s">
        <v>2404</v>
      </c>
      <c r="N217" s="64" t="s">
        <v>1664</v>
      </c>
      <c r="O217" s="64" t="s">
        <v>1696</v>
      </c>
      <c r="Q217" s="42"/>
    </row>
    <row r="218" spans="1:17" s="33" customFormat="1" ht="35.25" customHeight="1">
      <c r="A218" s="64">
        <v>217</v>
      </c>
      <c r="B218" s="64" t="s">
        <v>261</v>
      </c>
      <c r="C218" s="64" t="s">
        <v>1379</v>
      </c>
      <c r="D218" s="65" t="s">
        <v>1607</v>
      </c>
      <c r="E218" s="65" t="s">
        <v>542</v>
      </c>
      <c r="F218" s="166" t="str">
        <f>VLOOKUP(MP_registro[[#This Row],[TAG]],'DB-EQUIPOS GEN'!$C$11:$H$833,2,0)</f>
        <v>Brix de jarabe 5to efecto</v>
      </c>
      <c r="G218" s="167" t="str">
        <f>VLOOKUP(MP_registro[[#This Row],[TAG]],'DB-EQUIPOS GEN'!$C$11:$H$833,3,0)</f>
        <v>PRODUCCION</v>
      </c>
      <c r="H218" s="167" t="str">
        <f>VLOOKUP(MP_registro[[#This Row],[TAG]],'DB-EQUIPOS GEN'!$C$11:$H$833,4,0)</f>
        <v>EVAPORACION DE JUGO</v>
      </c>
      <c r="I218" s="167" t="str">
        <f>VLOOKUP(MP_registro[[#This Row],[TAG]],'DB-EQUIPOS GEN'!$C$11:$H$833,5,0)</f>
        <v>FFE 5B</v>
      </c>
      <c r="J218" s="167" t="str">
        <f>VLOOKUP(MP_registro[[#This Row],[TAG]],'DB-EQUIPOS GEN'!$C$11:$H$833,6,0)</f>
        <v xml:space="preserve"> 0320EV080</v>
      </c>
      <c r="K218" s="69">
        <v>44704</v>
      </c>
      <c r="L218" s="64" t="s">
        <v>245</v>
      </c>
      <c r="M218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18" s="64" t="s">
        <v>1664</v>
      </c>
      <c r="O218" s="64" t="s">
        <v>1696</v>
      </c>
      <c r="Q218" s="42"/>
    </row>
    <row r="219" spans="1:17" s="33" customFormat="1" ht="35.25" customHeight="1">
      <c r="A219" s="65">
        <v>218</v>
      </c>
      <c r="B219" s="64" t="s">
        <v>261</v>
      </c>
      <c r="C219" s="64" t="s">
        <v>1379</v>
      </c>
      <c r="D219" s="65" t="s">
        <v>1597</v>
      </c>
      <c r="E219" s="65" t="s">
        <v>822</v>
      </c>
      <c r="F219" s="166" t="str">
        <f>VLOOKUP(MP_registro[[#This Row],[TAG]],'DB-EQUIPOS GEN'!$C$11:$H$833,2,0)</f>
        <v>Analizador de O2 de la caldera</v>
      </c>
      <c r="G219" s="167" t="str">
        <f>VLOOKUP(MP_registro[[#This Row],[TAG]],'DB-EQUIPOS GEN'!$C$11:$H$833,3,0)</f>
        <v>E. TERMICA</v>
      </c>
      <c r="H219" s="166" t="str">
        <f>VLOOKUP(MP_registro[[#This Row],[TAG]],'DB-EQUIPOS GEN'!$C$11:$H$833,4,0)</f>
        <v>GENERACION DE VAPOR</v>
      </c>
      <c r="I219" s="166" t="str">
        <f>VLOOKUP(MP_registro[[#This Row],[TAG]],'DB-EQUIPOS GEN'!$C$11:$H$833,5,0)</f>
        <v>CALDERA</v>
      </c>
      <c r="J219" s="166" t="str">
        <f>VLOOKUP(MP_registro[[#This Row],[TAG]],'DB-EQUIPOS GEN'!$C$11:$H$833,6,0)</f>
        <v>0405BR010</v>
      </c>
      <c r="K219" s="68">
        <v>44708</v>
      </c>
      <c r="L219" s="65" t="s">
        <v>247</v>
      </c>
      <c r="M219" s="65" t="s">
        <v>2404</v>
      </c>
      <c r="N219" s="64" t="s">
        <v>1664</v>
      </c>
      <c r="O219" s="64" t="s">
        <v>1696</v>
      </c>
      <c r="Q219" s="42"/>
    </row>
    <row r="220" spans="1:17" s="33" customFormat="1" ht="35.25" customHeight="1">
      <c r="A220" s="64">
        <v>219</v>
      </c>
      <c r="B220" s="64" t="s">
        <v>261</v>
      </c>
      <c r="C220" s="64" t="s">
        <v>1379</v>
      </c>
      <c r="D220" s="65" t="s">
        <v>1598</v>
      </c>
      <c r="E220" s="65" t="s">
        <v>1849</v>
      </c>
      <c r="F220" s="166" t="str">
        <f>VLOOKUP(MP_registro[[#This Row],[TAG]],'DB-EQUIPOS GEN'!$C$11:$H$833,2,0)</f>
        <v>Aire Instrumentacion p/ Caldera</v>
      </c>
      <c r="G220" s="167" t="str">
        <f>VLOOKUP(MP_registro[[#This Row],[TAG]],'DB-EQUIPOS GEN'!$C$11:$H$833,3,0)</f>
        <v>E. ELECTRICA</v>
      </c>
      <c r="H220" s="167" t="str">
        <f>VLOOKUP(MP_registro[[#This Row],[TAG]],'DB-EQUIPOS GEN'!$C$11:$H$833,4,0)</f>
        <v>GENERACION ENERG. ELEC. TURBO GENERADOR</v>
      </c>
      <c r="I220" s="167" t="str">
        <f>VLOOKUP(MP_registro[[#This Row],[TAG]],'DB-EQUIPOS GEN'!$C$11:$H$833,5,0)</f>
        <v/>
      </c>
      <c r="J220" s="167" t="str">
        <f>VLOOKUP(MP_registro[[#This Row],[TAG]],'DB-EQUIPOS GEN'!$C$11:$H$833,6,0)</f>
        <v/>
      </c>
      <c r="K220" s="69">
        <v>44704</v>
      </c>
      <c r="L220" s="64" t="s">
        <v>247</v>
      </c>
      <c r="M220" s="65" t="s">
        <v>2404</v>
      </c>
      <c r="N220" s="64" t="s">
        <v>1664</v>
      </c>
      <c r="O220" s="64" t="s">
        <v>1696</v>
      </c>
      <c r="Q220" s="42"/>
    </row>
    <row r="221" spans="1:17" s="33" customFormat="1" ht="35.25" customHeight="1">
      <c r="A221" s="65">
        <v>220</v>
      </c>
      <c r="B221" s="64" t="s">
        <v>261</v>
      </c>
      <c r="C221" s="64" t="s">
        <v>1379</v>
      </c>
      <c r="D221" s="65" t="s">
        <v>1608</v>
      </c>
      <c r="E221" s="65" t="s">
        <v>1352</v>
      </c>
      <c r="F221" s="166" t="str">
        <f>VLOOKUP(MP_registro[[#This Row],[TAG]],'DB-EQUIPOS GEN'!$C$11:$H$833,2,0)</f>
        <v>Switch de la red FTE -  green</v>
      </c>
      <c r="G221" s="167" t="str">
        <f>VLOOKUP(MP_registro[[#This Row],[TAG]],'DB-EQUIPOS GEN'!$C$11:$H$833,3,0)</f>
        <v>E. ELECTRICA</v>
      </c>
      <c r="H221" s="166" t="str">
        <f>VLOOKUP(MP_registro[[#This Row],[TAG]],'DB-EQUIPOS GEN'!$C$11:$H$833,4,0)</f>
        <v>SISTEMA DE CONTROL DISTRIBUIDO</v>
      </c>
      <c r="I221" s="166" t="str">
        <f>VLOOKUP(MP_registro[[#This Row],[TAG]],'DB-EQUIPOS GEN'!$C$11:$H$833,5,0)</f>
        <v>SISTEMA DE CONTROL DISTRIBUIDO</v>
      </c>
      <c r="J221" s="166" t="str">
        <f>VLOOKUP(MP_registro[[#This Row],[TAG]],'DB-EQUIPOS GEN'!$C$11:$H$833,6,0)</f>
        <v>DCS</v>
      </c>
      <c r="K221" s="68">
        <v>44708</v>
      </c>
      <c r="L221" s="65" t="s">
        <v>248</v>
      </c>
      <c r="M221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221" s="64" t="s">
        <v>1664</v>
      </c>
      <c r="O221" s="64" t="s">
        <v>1696</v>
      </c>
      <c r="Q221" s="42"/>
    </row>
    <row r="222" spans="1:17" s="33" customFormat="1" ht="35.25" customHeight="1">
      <c r="A222" s="64">
        <v>221</v>
      </c>
      <c r="B222" s="64" t="s">
        <v>261</v>
      </c>
      <c r="C222" s="64" t="s">
        <v>1379</v>
      </c>
      <c r="D222" s="65" t="s">
        <v>1609</v>
      </c>
      <c r="E222" s="65" t="s">
        <v>1354</v>
      </c>
      <c r="F222" s="166" t="str">
        <f>VLOOKUP(MP_registro[[#This Row],[TAG]],'DB-EQUIPOS GEN'!$C$11:$H$833,2,0)</f>
        <v>Switch de la red FTE -  yellow</v>
      </c>
      <c r="G222" s="167" t="str">
        <f>VLOOKUP(MP_registro[[#This Row],[TAG]],'DB-EQUIPOS GEN'!$C$11:$H$833,3,0)</f>
        <v>E. ELECTRICA</v>
      </c>
      <c r="H222" s="167" t="str">
        <f>VLOOKUP(MP_registro[[#This Row],[TAG]],'DB-EQUIPOS GEN'!$C$11:$H$833,4,0)</f>
        <v>SISTEMA DE CONTROL DISTRIBUIDO</v>
      </c>
      <c r="I222" s="167" t="str">
        <f>VLOOKUP(MP_registro[[#This Row],[TAG]],'DB-EQUIPOS GEN'!$C$11:$H$833,5,0)</f>
        <v>SISTEMA DE CONTROL DISTRIBUIDO</v>
      </c>
      <c r="J222" s="167" t="str">
        <f>VLOOKUP(MP_registro[[#This Row],[TAG]],'DB-EQUIPOS GEN'!$C$11:$H$833,6,0)</f>
        <v>DCS</v>
      </c>
      <c r="K222" s="69">
        <v>44708</v>
      </c>
      <c r="L222" s="64" t="s">
        <v>248</v>
      </c>
      <c r="M222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222" s="64" t="s">
        <v>1664</v>
      </c>
      <c r="O222" s="64" t="s">
        <v>1696</v>
      </c>
      <c r="Q222" s="42"/>
    </row>
    <row r="223" spans="1:17" s="33" customFormat="1" ht="35.25" customHeight="1">
      <c r="A223" s="65">
        <v>222</v>
      </c>
      <c r="B223" s="64" t="s">
        <v>261</v>
      </c>
      <c r="C223" s="64" t="s">
        <v>1379</v>
      </c>
      <c r="D223" s="65" t="s">
        <v>1610</v>
      </c>
      <c r="E223" s="153" t="s">
        <v>2416</v>
      </c>
      <c r="F223" s="166" t="str">
        <f>VLOOKUP(MP_registro[[#This Row],[TAG]],'DB-EQUIPOS GEN'!$C$11:$H$833,2,0)</f>
        <v>Vista Conductor Auxiliar - Superior</v>
      </c>
      <c r="G223" s="167" t="str">
        <f>VLOOKUP(MP_registro[[#This Row],[TAG]],'DB-EQUIPOS GEN'!$C$11:$H$833,3,0)</f>
        <v>EXTRACCION</v>
      </c>
      <c r="H223" s="166" t="str">
        <f>VLOOKUP(MP_registro[[#This Row],[TAG]],'DB-EQUIPOS GEN'!$C$11:$H$833,4,0)</f>
        <v>PREPARACIÓN DE CAÑA</v>
      </c>
      <c r="I223" s="166" t="str">
        <f>VLOOKUP(MP_registro[[#This Row],[TAG]],'DB-EQUIPOS GEN'!$C$11:$H$833,5,0)</f>
        <v>CONDUCTOR AUXILIAR DE CAÑA</v>
      </c>
      <c r="J223" s="166" t="str">
        <f>VLOOKUP(MP_registro[[#This Row],[TAG]],'DB-EQUIPOS GEN'!$C$11:$H$833,6,0)</f>
        <v>0115CV010</v>
      </c>
      <c r="K223" s="68">
        <v>44704</v>
      </c>
      <c r="L223" s="65" t="s">
        <v>245</v>
      </c>
      <c r="M223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23" s="64" t="s">
        <v>1664</v>
      </c>
      <c r="O223" s="64" t="s">
        <v>1696</v>
      </c>
      <c r="Q223" s="42"/>
    </row>
    <row r="224" spans="1:17" s="33" customFormat="1" ht="35.25" customHeight="1">
      <c r="A224" s="64">
        <v>223</v>
      </c>
      <c r="B224" s="64" t="s">
        <v>261</v>
      </c>
      <c r="C224" s="64" t="s">
        <v>1379</v>
      </c>
      <c r="D224" s="65" t="s">
        <v>1599</v>
      </c>
      <c r="E224" s="153" t="s">
        <v>2406</v>
      </c>
      <c r="F224" s="166" t="str">
        <f>VLOOKUP(MP_registro[[#This Row],[TAG]],'DB-EQUIPOS GEN'!$C$11:$H$833,2,0)</f>
        <v>Vista Mesa de Caña - Descarga de Tetras</v>
      </c>
      <c r="G224" s="167" t="str">
        <f>VLOOKUP(MP_registro[[#This Row],[TAG]],'DB-EQUIPOS GEN'!$C$11:$H$833,3,0)</f>
        <v>EXTRACCION</v>
      </c>
      <c r="H224" s="167" t="str">
        <f>VLOOKUP(MP_registro[[#This Row],[TAG]],'DB-EQUIPOS GEN'!$C$11:$H$833,4,0)</f>
        <v>RECEPCIÓN DE CAÑA</v>
      </c>
      <c r="I224" s="167" t="str">
        <f>VLOOKUP(MP_registro[[#This Row],[TAG]],'DB-EQUIPOS GEN'!$C$11:$H$833,5,0)</f>
        <v>MESA DE CAÑA</v>
      </c>
      <c r="J224" s="167" t="str">
        <f>VLOOKUP(MP_registro[[#This Row],[TAG]],'DB-EQUIPOS GEN'!$C$11:$H$833,6,0)</f>
        <v>0110FE019</v>
      </c>
      <c r="K224" s="69">
        <v>44709</v>
      </c>
      <c r="L224" s="64" t="s">
        <v>247</v>
      </c>
      <c r="M224" s="65" t="s">
        <v>2404</v>
      </c>
      <c r="N224" s="64" t="s">
        <v>1664</v>
      </c>
      <c r="O224" s="64" t="s">
        <v>1696</v>
      </c>
      <c r="Q224" s="42"/>
    </row>
    <row r="225" spans="1:17" s="33" customFormat="1" ht="35.25" customHeight="1">
      <c r="A225" s="65">
        <v>224</v>
      </c>
      <c r="B225" s="64" t="s">
        <v>261</v>
      </c>
      <c r="C225" s="64" t="s">
        <v>1379</v>
      </c>
      <c r="D225" s="65" t="s">
        <v>1600</v>
      </c>
      <c r="E225" s="153" t="s">
        <v>2407</v>
      </c>
      <c r="F225" s="166" t="str">
        <f>VLOOKUP(MP_registro[[#This Row],[TAG]],'DB-EQUIPOS GEN'!$C$11:$H$833,2,0)</f>
        <v>Vista Molino Secador - Conductor Intermedio</v>
      </c>
      <c r="G225" s="167" t="str">
        <f>VLOOKUP(MP_registro[[#This Row],[TAG]],'DB-EQUIPOS GEN'!$C$11:$H$833,3,0)</f>
        <v>EXTRACCION</v>
      </c>
      <c r="H225" s="166" t="str">
        <f>VLOOKUP(MP_registro[[#This Row],[TAG]],'DB-EQUIPOS GEN'!$C$11:$H$833,4,0)</f>
        <v>MOLINOS</v>
      </c>
      <c r="I225" s="166" t="str">
        <f>VLOOKUP(MP_registro[[#This Row],[TAG]],'DB-EQUIPOS GEN'!$C$11:$H$833,5,0)</f>
        <v>CONDUCTOR INTERMEDIO - MOLINO SECADOR</v>
      </c>
      <c r="J225" s="166" t="str">
        <f>VLOOKUP(MP_registro[[#This Row],[TAG]],'DB-EQUIPOS GEN'!$C$11:$H$833,6,0)</f>
        <v>0210CV070</v>
      </c>
      <c r="K225" s="68">
        <v>44704</v>
      </c>
      <c r="L225" s="65" t="s">
        <v>247</v>
      </c>
      <c r="M225" s="65" t="s">
        <v>2404</v>
      </c>
      <c r="N225" s="64" t="s">
        <v>1664</v>
      </c>
      <c r="O225" s="64" t="s">
        <v>1696</v>
      </c>
      <c r="Q225" s="42"/>
    </row>
    <row r="226" spans="1:17" s="33" customFormat="1" ht="35.25" customHeight="1">
      <c r="A226" s="64">
        <v>225</v>
      </c>
      <c r="B226" s="64" t="s">
        <v>261</v>
      </c>
      <c r="C226" s="64" t="s">
        <v>1379</v>
      </c>
      <c r="D226" s="65" t="s">
        <v>1611</v>
      </c>
      <c r="E226" s="65" t="s">
        <v>1640</v>
      </c>
      <c r="F226" s="166" t="str">
        <f>VLOOKUP(MP_registro[[#This Row],[TAG]],'DB-EQUIPOS GEN'!$C$11:$H$833,2,0)</f>
        <v>Conductor de alimentación a difusor y retorno</v>
      </c>
      <c r="G226" s="167" t="str">
        <f>VLOOKUP(MP_registro[[#This Row],[TAG]],'DB-EQUIPOS GEN'!$C$11:$H$833,3,0)</f>
        <v>EXTRACCION</v>
      </c>
      <c r="H226" s="167" t="str">
        <f>VLOOKUP(MP_registro[[#This Row],[TAG]],'DB-EQUIPOS GEN'!$C$11:$H$833,4,0)</f>
        <v>PREPARACIÓN DE CAÑA</v>
      </c>
      <c r="I226" s="167" t="str">
        <f>VLOOKUP(MP_registro[[#This Row],[TAG]],'DB-EQUIPOS GEN'!$C$11:$H$833,5,0)</f>
        <v>CONDUCTOR DE RETORNO</v>
      </c>
      <c r="J226" s="167" t="str">
        <f>VLOOKUP(MP_registro[[#This Row],[TAG]],'DB-EQUIPOS GEN'!$C$11:$H$833,6,0)</f>
        <v>0115CV090</v>
      </c>
      <c r="K226" s="69">
        <v>44710</v>
      </c>
      <c r="L226" s="64" t="s">
        <v>249</v>
      </c>
      <c r="M226" s="64" t="s">
        <v>2403</v>
      </c>
      <c r="N226" s="64" t="s">
        <v>1664</v>
      </c>
      <c r="O226" s="64" t="s">
        <v>1696</v>
      </c>
      <c r="Q226" s="42"/>
    </row>
    <row r="227" spans="1:17" s="33" customFormat="1" ht="35.25" customHeight="1">
      <c r="A227" s="65">
        <v>226</v>
      </c>
      <c r="B227" s="64" t="s">
        <v>261</v>
      </c>
      <c r="C227" s="64" t="s">
        <v>1379</v>
      </c>
      <c r="D227" s="65" t="s">
        <v>1612</v>
      </c>
      <c r="E227" s="65" t="s">
        <v>1641</v>
      </c>
      <c r="F227" s="166" t="str">
        <f>VLOOKUP(MP_registro[[#This Row],[TAG]],'DB-EQUIPOS GEN'!$C$11:$H$833,2,0)</f>
        <v>Mesa de caña</v>
      </c>
      <c r="G227" s="167" t="str">
        <f>VLOOKUP(MP_registro[[#This Row],[TAG]],'DB-EQUIPOS GEN'!$C$11:$H$833,3,0)</f>
        <v>EXTRACCION</v>
      </c>
      <c r="H227" s="166" t="str">
        <f>VLOOKUP(MP_registro[[#This Row],[TAG]],'DB-EQUIPOS GEN'!$C$11:$H$833,4,0)</f>
        <v>RECEPCIÓN DE CAÑA</v>
      </c>
      <c r="I227" s="166" t="str">
        <f>VLOOKUP(MP_registro[[#This Row],[TAG]],'DB-EQUIPOS GEN'!$C$11:$H$833,5,0)</f>
        <v>MESA DE CAÑA</v>
      </c>
      <c r="J227" s="166" t="str">
        <f>VLOOKUP(MP_registro[[#This Row],[TAG]],'DB-EQUIPOS GEN'!$C$11:$H$833,6,0)</f>
        <v>0110FE019</v>
      </c>
      <c r="K227" s="68">
        <v>44710</v>
      </c>
      <c r="L227" s="65" t="s">
        <v>249</v>
      </c>
      <c r="M227" s="64" t="s">
        <v>2403</v>
      </c>
      <c r="N227" s="64" t="s">
        <v>1664</v>
      </c>
      <c r="O227" s="64" t="s">
        <v>1696</v>
      </c>
      <c r="Q227" s="42"/>
    </row>
    <row r="228" spans="1:17" s="33" customFormat="1" ht="35.25" customHeight="1">
      <c r="A228" s="64">
        <v>227</v>
      </c>
      <c r="B228" s="64" t="s">
        <v>261</v>
      </c>
      <c r="C228" s="64" t="s">
        <v>1379</v>
      </c>
      <c r="D228" s="65" t="s">
        <v>1601</v>
      </c>
      <c r="E228" s="65" t="s">
        <v>1642</v>
      </c>
      <c r="F228" s="166" t="str">
        <f>VLOOKUP(MP_registro[[#This Row],[TAG]],'DB-EQUIPOS GEN'!$C$11:$H$833,2,0)</f>
        <v>Salida de bagazo de molino secador</v>
      </c>
      <c r="G228" s="167" t="str">
        <f>VLOOKUP(MP_registro[[#This Row],[TAG]],'DB-EQUIPOS GEN'!$C$11:$H$833,3,0)</f>
        <v>EXTRACCION</v>
      </c>
      <c r="H228" s="167" t="str">
        <f>VLOOKUP(MP_registro[[#This Row],[TAG]],'DB-EQUIPOS GEN'!$C$11:$H$833,4,0)</f>
        <v>MOLINOS</v>
      </c>
      <c r="I228" s="167" t="str">
        <f>VLOOKUP(MP_registro[[#This Row],[TAG]],'DB-EQUIPOS GEN'!$C$11:$H$833,5,0)</f>
        <v>MOLINO SECADOR</v>
      </c>
      <c r="J228" s="167" t="str">
        <f>VLOOKUP(MP_registro[[#This Row],[TAG]],'DB-EQUIPOS GEN'!$C$11:$H$833,6,0)</f>
        <v>0210MM090</v>
      </c>
      <c r="K228" s="69">
        <v>44704</v>
      </c>
      <c r="L228" s="64" t="s">
        <v>247</v>
      </c>
      <c r="M228" s="65" t="s">
        <v>2404</v>
      </c>
      <c r="N228" s="64" t="s">
        <v>1664</v>
      </c>
      <c r="O228" s="64" t="s">
        <v>1696</v>
      </c>
      <c r="Q228" s="42"/>
    </row>
    <row r="229" spans="1:17" s="33" customFormat="1" ht="35.25" customHeight="1">
      <c r="A229" s="65">
        <v>228</v>
      </c>
      <c r="B229" s="64" t="s">
        <v>261</v>
      </c>
      <c r="C229" s="64" t="s">
        <v>1379</v>
      </c>
      <c r="D229" s="65" t="s">
        <v>1613</v>
      </c>
      <c r="E229" s="65" t="s">
        <v>1643</v>
      </c>
      <c r="F229" s="166" t="str">
        <f>VLOOKUP(MP_registro[[#This Row],[TAG]],'DB-EQUIPOS GEN'!$C$11:$H$833,2,0)</f>
        <v>Nivelador de cama de bagazo en difusor</v>
      </c>
      <c r="G229" s="167" t="str">
        <f>VLOOKUP(MP_registro[[#This Row],[TAG]],'DB-EQUIPOS GEN'!$C$11:$H$833,3,0)</f>
        <v>EXTRACCION</v>
      </c>
      <c r="H229" s="166" t="str">
        <f>VLOOKUP(MP_registro[[#This Row],[TAG]],'DB-EQUIPOS GEN'!$C$11:$H$833,4,0)</f>
        <v>DIFUSOR</v>
      </c>
      <c r="I229" s="166" t="str">
        <f>VLOOKUP(MP_registro[[#This Row],[TAG]],'DB-EQUIPOS GEN'!$C$11:$H$833,5,0)</f>
        <v>CONDUCTOR TRANSVERSAL</v>
      </c>
      <c r="J229" s="166" t="str">
        <f>VLOOKUP(MP_registro[[#This Row],[TAG]],'DB-EQUIPOS GEN'!$C$11:$H$833,6,0)</f>
        <v>0205CV190</v>
      </c>
      <c r="K229" s="68">
        <v>44710</v>
      </c>
      <c r="L229" s="65" t="s">
        <v>245</v>
      </c>
      <c r="M229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29" s="64" t="s">
        <v>1664</v>
      </c>
      <c r="O229" s="64" t="s">
        <v>1696</v>
      </c>
      <c r="Q229" s="42"/>
    </row>
    <row r="230" spans="1:17" s="33" customFormat="1" ht="35.25" customHeight="1">
      <c r="A230" s="64">
        <v>229</v>
      </c>
      <c r="B230" s="64" t="s">
        <v>261</v>
      </c>
      <c r="C230" s="64" t="s">
        <v>1379</v>
      </c>
      <c r="D230" s="65" t="s">
        <v>1614</v>
      </c>
      <c r="E230" s="65" t="s">
        <v>1644</v>
      </c>
      <c r="F230" s="166" t="str">
        <f>VLOOKUP(MP_registro[[#This Row],[TAG]],'DB-EQUIPOS GEN'!$C$11:$H$833,2,0)</f>
        <v>Explanada de Turbina Triveni</v>
      </c>
      <c r="G230" s="167" t="str">
        <f>VLOOKUP(MP_registro[[#This Row],[TAG]],'DB-EQUIPOS GEN'!$C$11:$H$833,3,0)</f>
        <v>E. ELECTRICA</v>
      </c>
      <c r="H230" s="167" t="str">
        <f>VLOOKUP(MP_registro[[#This Row],[TAG]],'DB-EQUIPOS GEN'!$C$11:$H$833,4,0)</f>
        <v>GENERACIÓN ENERG. ELEC. TURBO GENERADOR</v>
      </c>
      <c r="I230" s="167" t="str">
        <f>VLOOKUP(MP_registro[[#This Row],[TAG]],'DB-EQUIPOS GEN'!$C$11:$H$833,5,0)</f>
        <v>TURBOGENERADOR TRIVENI 23.2 MW</v>
      </c>
      <c r="J230" s="167" t="str">
        <f>VLOOKUP(MP_registro[[#This Row],[TAG]],'DB-EQUIPOS GEN'!$C$11:$H$833,6,0)</f>
        <v>0430TG020</v>
      </c>
      <c r="K230" s="69">
        <v>44709</v>
      </c>
      <c r="L230" s="64" t="s">
        <v>245</v>
      </c>
      <c r="M230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30" s="64" t="s">
        <v>1664</v>
      </c>
      <c r="O230" s="64" t="s">
        <v>1696</v>
      </c>
      <c r="Q230" s="42"/>
    </row>
    <row r="231" spans="1:17" s="33" customFormat="1" ht="35.25" customHeight="1">
      <c r="A231" s="65">
        <v>230</v>
      </c>
      <c r="B231" s="64" t="s">
        <v>261</v>
      </c>
      <c r="C231" s="64" t="s">
        <v>1379</v>
      </c>
      <c r="D231" s="65" t="s">
        <v>1615</v>
      </c>
      <c r="E231" s="65" t="s">
        <v>1645</v>
      </c>
      <c r="F231" s="166" t="str">
        <f>VLOOKUP(MP_registro[[#This Row],[TAG]],'DB-EQUIPOS GEN'!$C$11:$H$833,2,0)</f>
        <v>Tamiz rotativo</v>
      </c>
      <c r="G231" s="167" t="str">
        <f>VLOOKUP(MP_registro[[#This Row],[TAG]],'DB-EQUIPOS GEN'!$C$11:$H$833,3,0)</f>
        <v>EXTRACCION</v>
      </c>
      <c r="H231" s="166" t="str">
        <f>VLOOKUP(MP_registro[[#This Row],[TAG]],'DB-EQUIPOS GEN'!$C$11:$H$833,4,0)</f>
        <v>DIFUSOR</v>
      </c>
      <c r="I231" s="166" t="str">
        <f>VLOOKUP(MP_registro[[#This Row],[TAG]],'DB-EQUIPOS GEN'!$C$11:$H$833,5,0)</f>
        <v>TAMIZ ROTATIVO</v>
      </c>
      <c r="J231" s="166" t="str">
        <f>VLOOKUP(MP_registro[[#This Row],[TAG]],'DB-EQUIPOS GEN'!$C$11:$H$833,6,0)</f>
        <v>0305FL010</v>
      </c>
      <c r="K231" s="68">
        <v>44709</v>
      </c>
      <c r="L231" s="65" t="s">
        <v>245</v>
      </c>
      <c r="M231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31" s="64" t="s">
        <v>1664</v>
      </c>
      <c r="O231" s="64" t="s">
        <v>1696</v>
      </c>
      <c r="Q231" s="42"/>
    </row>
    <row r="232" spans="1:17" s="33" customFormat="1" ht="35.25" customHeight="1">
      <c r="A232" s="64">
        <v>231</v>
      </c>
      <c r="B232" s="64" t="s">
        <v>261</v>
      </c>
      <c r="C232" s="64" t="s">
        <v>1379</v>
      </c>
      <c r="D232" s="65" t="s">
        <v>1616</v>
      </c>
      <c r="E232" s="65" t="s">
        <v>1646</v>
      </c>
      <c r="F232" s="166" t="str">
        <f>VLOOKUP(MP_registro[[#This Row],[TAG]],'DB-EQUIPOS GEN'!$C$11:$H$833,2,0)</f>
        <v>Segundo nivel de Turbina TGM</v>
      </c>
      <c r="G232" s="167" t="str">
        <f>VLOOKUP(MP_registro[[#This Row],[TAG]],'DB-EQUIPOS GEN'!$C$11:$H$833,3,0)</f>
        <v>E. ELECTRICA</v>
      </c>
      <c r="H232" s="167" t="str">
        <f>VLOOKUP(MP_registro[[#This Row],[TAG]],'DB-EQUIPOS GEN'!$C$11:$H$833,4,0)</f>
        <v>SISTEMA DE ENFRIAMIENTO</v>
      </c>
      <c r="I232" s="167" t="str">
        <f>VLOOKUP(MP_registro[[#This Row],[TAG]],'DB-EQUIPOS GEN'!$C$11:$H$833,5,0)</f>
        <v>TORRE DE ENFRIAMIENTO MARLEY - TG TGM</v>
      </c>
      <c r="J232" s="167" t="str">
        <f>VLOOKUP(MP_registro[[#This Row],[TAG]],'DB-EQUIPOS GEN'!$C$11:$H$833,6,0)</f>
        <v>0430CT050</v>
      </c>
      <c r="K232" s="69">
        <v>44704</v>
      </c>
      <c r="L232" s="64" t="s">
        <v>245</v>
      </c>
      <c r="M232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32" s="64" t="s">
        <v>1664</v>
      </c>
      <c r="O232" s="64" t="s">
        <v>1696</v>
      </c>
      <c r="Q232" s="42"/>
    </row>
    <row r="233" spans="1:17" s="33" customFormat="1" ht="35.25" customHeight="1">
      <c r="A233" s="65">
        <v>232</v>
      </c>
      <c r="B233" s="64" t="s">
        <v>261</v>
      </c>
      <c r="C233" s="64" t="s">
        <v>1379</v>
      </c>
      <c r="D233" s="65" t="s">
        <v>1617</v>
      </c>
      <c r="E233" s="65" t="s">
        <v>1656</v>
      </c>
      <c r="F233" s="166" t="str">
        <f>VLOOKUP(MP_registro[[#This Row],[TAG]],'DB-EQUIPOS GEN'!$C$11:$H$833,2,0)</f>
        <v>Descarga de centrifugas continuas</v>
      </c>
      <c r="G233" s="167" t="str">
        <f>VLOOKUP(MP_registro[[#This Row],[TAG]],'DB-EQUIPOS GEN'!$C$11:$H$833,3,0)</f>
        <v>PRODUCCION</v>
      </c>
      <c r="H233" s="166" t="str">
        <f>VLOOKUP(MP_registro[[#This Row],[TAG]],'DB-EQUIPOS GEN'!$C$11:$H$833,4,0)</f>
        <v>CENTRIFUGACIÓN DE AZÚCAR</v>
      </c>
      <c r="I233" s="166" t="str">
        <f>VLOOKUP(MP_registro[[#This Row],[TAG]],'DB-EQUIPOS GEN'!$C$11:$H$833,5,0)</f>
        <v>CENTRIFUGA CONTINUA 1 - C (FRANCIA)</v>
      </c>
      <c r="J233" s="166" t="str">
        <f>VLOOKUP(MP_registro[[#This Row],[TAG]],'DB-EQUIPOS GEN'!$C$11:$H$833,6,0)</f>
        <v>0345SQ160</v>
      </c>
      <c r="K233" s="68">
        <v>44706</v>
      </c>
      <c r="L233" s="65" t="s">
        <v>249</v>
      </c>
      <c r="M233" s="64" t="s">
        <v>2403</v>
      </c>
      <c r="N233" s="64" t="s">
        <v>1664</v>
      </c>
      <c r="O233" s="64" t="s">
        <v>1696</v>
      </c>
      <c r="Q233" s="42"/>
    </row>
    <row r="234" spans="1:17" s="33" customFormat="1" ht="35.25" customHeight="1">
      <c r="A234" s="64">
        <v>233</v>
      </c>
      <c r="B234" s="64" t="s">
        <v>261</v>
      </c>
      <c r="C234" s="64" t="s">
        <v>1379</v>
      </c>
      <c r="D234" s="65" t="s">
        <v>1618</v>
      </c>
      <c r="E234" s="65" t="s">
        <v>1657</v>
      </c>
      <c r="F234" s="166" t="str">
        <f>VLOOKUP(MP_registro[[#This Row],[TAG]],'DB-EQUIPOS GEN'!$C$11:$H$833,2,0)</f>
        <v>Pug mill B, Cabezal C de centrifugas continuas</v>
      </c>
      <c r="G234" s="167" t="str">
        <f>VLOOKUP(MP_registro[[#This Row],[TAG]],'DB-EQUIPOS GEN'!$C$11:$H$833,3,0)</f>
        <v>PRODUCCION</v>
      </c>
      <c r="H234" s="167" t="str">
        <f>VLOOKUP(MP_registro[[#This Row],[TAG]],'DB-EQUIPOS GEN'!$C$11:$H$833,4,0)</f>
        <v>CENTRIFUGACIÓN DE AZÚCAR</v>
      </c>
      <c r="I234" s="167" t="str">
        <f>VLOOKUP(MP_registro[[#This Row],[TAG]],'DB-EQUIPOS GEN'!$C$11:$H$833,5,0)</f>
        <v>PUG MILL - B</v>
      </c>
      <c r="J234" s="167" t="str">
        <f>VLOOKUP(MP_registro[[#This Row],[TAG]],'DB-EQUIPOS GEN'!$C$11:$H$833,6,0)</f>
        <v>0345MM020</v>
      </c>
      <c r="K234" s="69">
        <v>44706</v>
      </c>
      <c r="L234" s="64" t="s">
        <v>249</v>
      </c>
      <c r="M234" s="64" t="s">
        <v>2403</v>
      </c>
      <c r="N234" s="64" t="s">
        <v>1664</v>
      </c>
      <c r="O234" s="64" t="s">
        <v>1696</v>
      </c>
      <c r="Q234" s="42"/>
    </row>
    <row r="235" spans="1:17" s="33" customFormat="1" ht="35.25" customHeight="1">
      <c r="A235" s="65">
        <v>234</v>
      </c>
      <c r="B235" s="64" t="s">
        <v>261</v>
      </c>
      <c r="C235" s="64" t="s">
        <v>1379</v>
      </c>
      <c r="D235" s="65" t="s">
        <v>1619</v>
      </c>
      <c r="E235" s="65" t="s">
        <v>1658</v>
      </c>
      <c r="F235" s="166" t="str">
        <f>VLOOKUP(MP_registro[[#This Row],[TAG]],'DB-EQUIPOS GEN'!$C$11:$H$833,2,0)</f>
        <v>Pug mill A - Centrifugas batch</v>
      </c>
      <c r="G235" s="167" t="str">
        <f>VLOOKUP(MP_registro[[#This Row],[TAG]],'DB-EQUIPOS GEN'!$C$11:$H$833,3,0)</f>
        <v>PRODUCCION</v>
      </c>
      <c r="H235" s="166" t="str">
        <f>VLOOKUP(MP_registro[[#This Row],[TAG]],'DB-EQUIPOS GEN'!$C$11:$H$833,4,0)</f>
        <v>CENTRIFUGACIÓN DE AZÚCAR</v>
      </c>
      <c r="I235" s="166" t="str">
        <f>VLOOKUP(MP_registro[[#This Row],[TAG]],'DB-EQUIPOS GEN'!$C$11:$H$833,5,0)</f>
        <v>PUG MILL - A</v>
      </c>
      <c r="J235" s="166" t="str">
        <f>VLOOKUP(MP_registro[[#This Row],[TAG]],'DB-EQUIPOS GEN'!$C$11:$H$833,6,0)</f>
        <v>0345MM010</v>
      </c>
      <c r="K235" s="68">
        <v>44707</v>
      </c>
      <c r="L235" s="65" t="s">
        <v>249</v>
      </c>
      <c r="M235" s="64" t="s">
        <v>2403</v>
      </c>
      <c r="N235" s="64" t="s">
        <v>1664</v>
      </c>
      <c r="O235" s="64" t="s">
        <v>1696</v>
      </c>
      <c r="Q235" s="42"/>
    </row>
    <row r="236" spans="1:17" s="33" customFormat="1" ht="35.25" customHeight="1">
      <c r="A236" s="64">
        <v>235</v>
      </c>
      <c r="B236" s="64" t="s">
        <v>261</v>
      </c>
      <c r="C236" s="64" t="s">
        <v>1379</v>
      </c>
      <c r="D236" s="65" t="s">
        <v>1620</v>
      </c>
      <c r="E236" s="65" t="s">
        <v>1659</v>
      </c>
      <c r="F236" s="166" t="str">
        <f>VLOOKUP(MP_registro[[#This Row],[TAG]],'DB-EQUIPOS GEN'!$C$11:$H$833,2,0)</f>
        <v>Vista global de tanques de jarabe 1,2 y 3</v>
      </c>
      <c r="G236" s="167" t="str">
        <f>VLOOKUP(MP_registro[[#This Row],[TAG]],'DB-EQUIPOS GEN'!$C$11:$H$833,3,0)</f>
        <v>PRODUCCION</v>
      </c>
      <c r="H236" s="167" t="str">
        <f>VLOOKUP(MP_registro[[#This Row],[TAG]],'DB-EQUIPOS GEN'!$C$11:$H$833,4,0)</f>
        <v>CRISTALIZACIÓN POR COCCIÓN</v>
      </c>
      <c r="I236" s="167" t="str">
        <f>VLOOKUP(MP_registro[[#This Row],[TAG]],'DB-EQUIPOS GEN'!$C$11:$H$833,5,0)</f>
        <v>TANQUE DE JARABE 1</v>
      </c>
      <c r="J236" s="167" t="str">
        <f>VLOOKUP(MP_registro[[#This Row],[TAG]],'DB-EQUIPOS GEN'!$C$11:$H$833,6,0)</f>
        <v>0335TK010</v>
      </c>
      <c r="K236" s="69">
        <v>44705</v>
      </c>
      <c r="L236" s="64" t="s">
        <v>249</v>
      </c>
      <c r="M236" s="64" t="s">
        <v>2403</v>
      </c>
      <c r="N236" s="64" t="s">
        <v>1664</v>
      </c>
      <c r="O236" s="64" t="s">
        <v>1696</v>
      </c>
      <c r="Q236" s="42"/>
    </row>
    <row r="237" spans="1:17" s="33" customFormat="1" ht="35.25" customHeight="1">
      <c r="A237" s="65">
        <v>236</v>
      </c>
      <c r="B237" s="64" t="s">
        <v>261</v>
      </c>
      <c r="C237" s="64" t="s">
        <v>1379</v>
      </c>
      <c r="D237" s="65" t="s">
        <v>1621</v>
      </c>
      <c r="E237" s="65" t="s">
        <v>1660</v>
      </c>
      <c r="F237" s="166" t="str">
        <f>VLOOKUP(MP_registro[[#This Row],[TAG]],'DB-EQUIPOS GEN'!$C$11:$H$833,2,0)</f>
        <v>Vista global de tacho continuo A.</v>
      </c>
      <c r="G237" s="167" t="str">
        <f>VLOOKUP(MP_registro[[#This Row],[TAG]],'DB-EQUIPOS GEN'!$C$11:$H$833,3,0)</f>
        <v>PRODUCCION</v>
      </c>
      <c r="H237" s="166" t="str">
        <f>VLOOKUP(MP_registro[[#This Row],[TAG]],'DB-EQUIPOS GEN'!$C$11:$H$833,4,0)</f>
        <v>CRISTALIZACIÓN POR COCCIÓN</v>
      </c>
      <c r="I237" s="166" t="str">
        <f>VLOOKUP(MP_registro[[#This Row],[TAG]],'DB-EQUIPOS GEN'!$C$11:$H$833,5,0)</f>
        <v>TACHO CONTINUO - A</v>
      </c>
      <c r="J237" s="166" t="str">
        <f>VLOOKUP(MP_registro[[#This Row],[TAG]],'DB-EQUIPOS GEN'!$C$11:$H$833,6,0)</f>
        <v>0335HX200</v>
      </c>
      <c r="K237" s="68">
        <v>44707</v>
      </c>
      <c r="L237" s="65" t="s">
        <v>249</v>
      </c>
      <c r="M237" s="64" t="s">
        <v>2403</v>
      </c>
      <c r="N237" s="64" t="s">
        <v>1664</v>
      </c>
      <c r="O237" s="64" t="s">
        <v>1696</v>
      </c>
      <c r="Q237" s="42"/>
    </row>
    <row r="238" spans="1:17" s="33" customFormat="1" ht="35.25" customHeight="1">
      <c r="A238" s="64">
        <v>237</v>
      </c>
      <c r="B238" s="64" t="s">
        <v>261</v>
      </c>
      <c r="C238" s="64" t="s">
        <v>1379</v>
      </c>
      <c r="D238" s="65" t="s">
        <v>1622</v>
      </c>
      <c r="E238" s="65" t="s">
        <v>1661</v>
      </c>
      <c r="F238" s="166" t="str">
        <f>VLOOKUP(MP_registro[[#This Row],[TAG]],'DB-EQUIPOS GEN'!$C$11:$H$833,2,0)</f>
        <v xml:space="preserve">Faja de azucar seca a Silo </v>
      </c>
      <c r="G238" s="167" t="str">
        <f>VLOOKUP(MP_registro[[#This Row],[TAG]],'DB-EQUIPOS GEN'!$C$11:$H$833,3,0)</f>
        <v>PRODUCCION</v>
      </c>
      <c r="H238" s="167" t="str">
        <f>VLOOKUP(MP_registro[[#This Row],[TAG]],'DB-EQUIPOS GEN'!$C$11:$H$833,4,0)</f>
        <v>ENVASADO DE AZÚCAR RUBIA</v>
      </c>
      <c r="I238" s="167" t="str">
        <f>VLOOKUP(MP_registro[[#This Row],[TAG]],'DB-EQUIPOS GEN'!$C$11:$H$833,5,0)</f>
        <v>SILO DE AZUCAR 1</v>
      </c>
      <c r="J238" s="167" t="str">
        <f>VLOOKUP(MP_registro[[#This Row],[TAG]],'DB-EQUIPOS GEN'!$C$11:$H$833,6,0)</f>
        <v>0355BI090</v>
      </c>
      <c r="K238" s="69">
        <v>44706</v>
      </c>
      <c r="L238" s="64" t="s">
        <v>249</v>
      </c>
      <c r="M238" s="64" t="s">
        <v>2403</v>
      </c>
      <c r="N238" s="64" t="s">
        <v>1664</v>
      </c>
      <c r="O238" s="64" t="s">
        <v>1696</v>
      </c>
      <c r="Q238" s="42"/>
    </row>
    <row r="239" spans="1:17" s="33" customFormat="1" ht="35.25" customHeight="1">
      <c r="A239" s="65">
        <v>238</v>
      </c>
      <c r="B239" s="64" t="s">
        <v>261</v>
      </c>
      <c r="C239" s="64" t="s">
        <v>1379</v>
      </c>
      <c r="D239" s="65" t="s">
        <v>1623</v>
      </c>
      <c r="E239" s="65" t="s">
        <v>1647</v>
      </c>
      <c r="F239" s="166" t="str">
        <f>VLOOKUP(MP_registro[[#This Row],[TAG]],'DB-EQUIPOS GEN'!$C$11:$H$833,2,0)</f>
        <v>Explanada frontal de Turbina Triveni</v>
      </c>
      <c r="G239" s="167" t="str">
        <f>VLOOKUP(MP_registro[[#This Row],[TAG]],'DB-EQUIPOS GEN'!$C$11:$H$833,3,0)</f>
        <v>E. ELECTRICA</v>
      </c>
      <c r="H239" s="166" t="str">
        <f>VLOOKUP(MP_registro[[#This Row],[TAG]],'DB-EQUIPOS GEN'!$C$11:$H$833,4,0)</f>
        <v>GENERACIÓN ENERG. ELEC. TURBO GENERADOR</v>
      </c>
      <c r="I239" s="166" t="str">
        <f>VLOOKUP(MP_registro[[#This Row],[TAG]],'DB-EQUIPOS GEN'!$C$11:$H$833,5,0)</f>
        <v>TURBOGENERADOR TRIVENI 23.2 MW</v>
      </c>
      <c r="J239" s="166" t="str">
        <f>VLOOKUP(MP_registro[[#This Row],[TAG]],'DB-EQUIPOS GEN'!$C$11:$H$833,6,0)</f>
        <v>0430TG020</v>
      </c>
      <c r="K239" s="68">
        <v>44707</v>
      </c>
      <c r="L239" s="65" t="s">
        <v>245</v>
      </c>
      <c r="M239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39" s="64" t="s">
        <v>1664</v>
      </c>
      <c r="O239" s="64" t="s">
        <v>1696</v>
      </c>
      <c r="Q239" s="42"/>
    </row>
    <row r="240" spans="1:17" s="33" customFormat="1" ht="35.25" customHeight="1">
      <c r="A240" s="64">
        <v>239</v>
      </c>
      <c r="B240" s="64" t="s">
        <v>261</v>
      </c>
      <c r="C240" s="64" t="s">
        <v>1379</v>
      </c>
      <c r="D240" s="65" t="s">
        <v>1602</v>
      </c>
      <c r="E240" s="65" t="s">
        <v>1648</v>
      </c>
      <c r="F240" s="166" t="str">
        <f>VLOOKUP(MP_registro[[#This Row],[TAG]],'DB-EQUIPOS GEN'!$C$11:$H$833,2,0)</f>
        <v>Nivel de agua en domo</v>
      </c>
      <c r="G240" s="167" t="str">
        <f>VLOOKUP(MP_registro[[#This Row],[TAG]],'DB-EQUIPOS GEN'!$C$11:$H$833,3,0)</f>
        <v>E. TERMICA</v>
      </c>
      <c r="H240" s="167" t="str">
        <f>VLOOKUP(MP_registro[[#This Row],[TAG]],'DB-EQUIPOS GEN'!$C$11:$H$833,4,0)</f>
        <v>GENERACIÓN DE VAPOR</v>
      </c>
      <c r="I240" s="167" t="str">
        <f>VLOOKUP(MP_registro[[#This Row],[TAG]],'DB-EQUIPOS GEN'!$C$11:$H$833,5,0)</f>
        <v>DOMO SUPERIOR</v>
      </c>
      <c r="J240" s="167" t="str">
        <f>VLOOKUP(MP_registro[[#This Row],[TAG]],'DB-EQUIPOS GEN'!$C$11:$H$833,6,0)</f>
        <v>0405DO020</v>
      </c>
      <c r="K240" s="69">
        <v>44708</v>
      </c>
      <c r="L240" s="64" t="s">
        <v>247</v>
      </c>
      <c r="M240" s="65" t="s">
        <v>2404</v>
      </c>
      <c r="N240" s="64" t="s">
        <v>1664</v>
      </c>
      <c r="O240" s="64" t="s">
        <v>1696</v>
      </c>
      <c r="Q240" s="42"/>
    </row>
    <row r="241" spans="1:17" s="33" customFormat="1" ht="35.25" customHeight="1">
      <c r="A241" s="65">
        <v>240</v>
      </c>
      <c r="B241" s="64" t="s">
        <v>261</v>
      </c>
      <c r="C241" s="64" t="s">
        <v>1379</v>
      </c>
      <c r="D241" s="65" t="s">
        <v>1624</v>
      </c>
      <c r="E241" s="65" t="s">
        <v>1649</v>
      </c>
      <c r="F241" s="166" t="str">
        <f>VLOOKUP(MP_registro[[#This Row],[TAG]],'DB-EQUIPOS GEN'!$C$11:$H$833,2,0)</f>
        <v>Chute alimentadores de bagazo</v>
      </c>
      <c r="G241" s="167" t="str">
        <f>VLOOKUP(MP_registro[[#This Row],[TAG]],'DB-EQUIPOS GEN'!$C$11:$H$833,3,0)</f>
        <v>E. TERMICA</v>
      </c>
      <c r="H241" s="166" t="str">
        <f>VLOOKUP(MP_registro[[#This Row],[TAG]],'DB-EQUIPOS GEN'!$C$11:$H$833,4,0)</f>
        <v>TRANSPORTE DE BAGAZO</v>
      </c>
      <c r="I241" s="166" t="str">
        <f>VLOOKUP(MP_registro[[#This Row],[TAG]],'DB-EQUIPOS GEN'!$C$11:$H$833,5,0)</f>
        <v>ALIMENTADOR DE BAGAZO 1</v>
      </c>
      <c r="J241" s="166" t="str">
        <f>VLOOKUP(MP_registro[[#This Row],[TAG]],'DB-EQUIPOS GEN'!$C$11:$H$833,6,0)</f>
        <v>0405RV240</v>
      </c>
      <c r="K241" s="68">
        <v>44707</v>
      </c>
      <c r="L241" s="65" t="s">
        <v>249</v>
      </c>
      <c r="M241" s="64" t="s">
        <v>2403</v>
      </c>
      <c r="N241" s="64" t="s">
        <v>1664</v>
      </c>
      <c r="O241" s="64" t="s">
        <v>1696</v>
      </c>
      <c r="Q241" s="42"/>
    </row>
    <row r="242" spans="1:17" s="33" customFormat="1" ht="35.25" customHeight="1">
      <c r="A242" s="64">
        <v>241</v>
      </c>
      <c r="B242" s="64" t="s">
        <v>261</v>
      </c>
      <c r="C242" s="64" t="s">
        <v>1379</v>
      </c>
      <c r="D242" s="65" t="s">
        <v>1603</v>
      </c>
      <c r="E242" s="65" t="s">
        <v>1650</v>
      </c>
      <c r="F242" s="166" t="str">
        <f>VLOOKUP(MP_registro[[#This Row],[TAG]],'DB-EQUIPOS GEN'!$C$11:$H$833,2,0)</f>
        <v>Faja 1003 - Conductor distribuidor de bagazo</v>
      </c>
      <c r="G242" s="167" t="str">
        <f>VLOOKUP(MP_registro[[#This Row],[TAG]],'DB-EQUIPOS GEN'!$C$11:$H$833,3,0)</f>
        <v>E. TERMICA</v>
      </c>
      <c r="H242" s="167" t="str">
        <f>VLOOKUP(MP_registro[[#This Row],[TAG]],'DB-EQUIPOS GEN'!$C$11:$H$833,4,0)</f>
        <v>TRANSPORTE DE BAGAZO</v>
      </c>
      <c r="I242" s="167" t="str">
        <f>VLOOKUP(MP_registro[[#This Row],[TAG]],'DB-EQUIPOS GEN'!$C$11:$H$833,5,0)</f>
        <v>TRANSPORTADOR DE BAGAZO 1003</v>
      </c>
      <c r="J242" s="167" t="str">
        <f>VLOOKUP(MP_registro[[#This Row],[TAG]],'DB-EQUIPOS GEN'!$C$11:$H$833,6,0)</f>
        <v>0805CV060</v>
      </c>
      <c r="K242" s="69">
        <v>44704</v>
      </c>
      <c r="L242" s="64" t="s">
        <v>247</v>
      </c>
      <c r="M242" s="65" t="s">
        <v>2404</v>
      </c>
      <c r="N242" s="64" t="s">
        <v>1664</v>
      </c>
      <c r="O242" s="64" t="s">
        <v>1696</v>
      </c>
      <c r="Q242" s="42"/>
    </row>
    <row r="243" spans="1:17" s="33" customFormat="1" ht="35.25" customHeight="1">
      <c r="A243" s="65">
        <v>242</v>
      </c>
      <c r="B243" s="64" t="s">
        <v>261</v>
      </c>
      <c r="C243" s="64" t="s">
        <v>1379</v>
      </c>
      <c r="D243" s="65" t="s">
        <v>1604</v>
      </c>
      <c r="E243" s="65" t="s">
        <v>1651</v>
      </c>
      <c r="F243" s="166" t="str">
        <f>VLOOKUP(MP_registro[[#This Row],[TAG]],'DB-EQUIPOS GEN'!$C$11:$H$833,2,0)</f>
        <v>Faja 1008 - Tolva de retorno de bagazo</v>
      </c>
      <c r="G243" s="167" t="str">
        <f>VLOOKUP(MP_registro[[#This Row],[TAG]],'DB-EQUIPOS GEN'!$C$11:$H$833,3,0)</f>
        <v>E. TERMICA</v>
      </c>
      <c r="H243" s="166" t="str">
        <f>VLOOKUP(MP_registro[[#This Row],[TAG]],'DB-EQUIPOS GEN'!$C$11:$H$833,4,0)</f>
        <v>TRANSPORTE DE BAGAZO</v>
      </c>
      <c r="I243" s="166" t="str">
        <f>VLOOKUP(MP_registro[[#This Row],[TAG]],'DB-EQUIPOS GEN'!$C$11:$H$833,5,0)</f>
        <v>FAJA TRANSPORTADORA 1008</v>
      </c>
      <c r="J243" s="166" t="str">
        <f>VLOOKUP(MP_registro[[#This Row],[TAG]],'DB-EQUIPOS GEN'!$C$11:$H$833,6,0)</f>
        <v>0805CV100</v>
      </c>
      <c r="K243" s="68">
        <v>44704</v>
      </c>
      <c r="L243" s="65" t="s">
        <v>247</v>
      </c>
      <c r="M243" s="65" t="s">
        <v>2404</v>
      </c>
      <c r="N243" s="64" t="s">
        <v>1664</v>
      </c>
      <c r="O243" s="64" t="s">
        <v>1696</v>
      </c>
      <c r="Q243" s="42"/>
    </row>
    <row r="244" spans="1:17" s="33" customFormat="1" ht="35.25" customHeight="1">
      <c r="A244" s="64">
        <v>243</v>
      </c>
      <c r="B244" s="64" t="s">
        <v>261</v>
      </c>
      <c r="C244" s="64" t="s">
        <v>1379</v>
      </c>
      <c r="D244" s="65" t="s">
        <v>1605</v>
      </c>
      <c r="E244" s="65" t="s">
        <v>1652</v>
      </c>
      <c r="F244" s="166" t="str">
        <f>VLOOKUP(MP_registro[[#This Row],[TAG]],'DB-EQUIPOS GEN'!$C$11:$H$833,2,0)</f>
        <v>Faja 1006A - Patio de Bagazo</v>
      </c>
      <c r="G244" s="167" t="str">
        <f>VLOOKUP(MP_registro[[#This Row],[TAG]],'DB-EQUIPOS GEN'!$C$11:$H$833,3,0)</f>
        <v>E. TERMICA</v>
      </c>
      <c r="H244" s="167" t="str">
        <f>VLOOKUP(MP_registro[[#This Row],[TAG]],'DB-EQUIPOS GEN'!$C$11:$H$833,4,0)</f>
        <v>TRANSPORTE DE BAGAZO</v>
      </c>
      <c r="I244" s="167" t="str">
        <f>VLOOKUP(MP_registro[[#This Row],[TAG]],'DB-EQUIPOS GEN'!$C$11:$H$833,5,0)</f>
        <v>FAJA TRANSPORTADORA 1006 A</v>
      </c>
      <c r="J244" s="167" t="str">
        <f>VLOOKUP(MP_registro[[#This Row],[TAG]],'DB-EQUIPOS GEN'!$C$11:$H$833,6,0)</f>
        <v>0805CV080</v>
      </c>
      <c r="K244" s="69">
        <v>44704</v>
      </c>
      <c r="L244" s="64" t="s">
        <v>247</v>
      </c>
      <c r="M244" s="65" t="s">
        <v>2404</v>
      </c>
      <c r="N244" s="64" t="s">
        <v>1664</v>
      </c>
      <c r="O244" s="64" t="s">
        <v>1696</v>
      </c>
      <c r="Q244" s="42"/>
    </row>
    <row r="245" spans="1:17" s="33" customFormat="1" ht="35.25" customHeight="1">
      <c r="A245" s="65">
        <v>244</v>
      </c>
      <c r="B245" s="64" t="s">
        <v>261</v>
      </c>
      <c r="C245" s="64" t="s">
        <v>1379</v>
      </c>
      <c r="D245" s="65" t="s">
        <v>1625</v>
      </c>
      <c r="E245" s="65" t="s">
        <v>1653</v>
      </c>
      <c r="F245" s="166" t="str">
        <f>VLOOKUP(MP_registro[[#This Row],[TAG]],'DB-EQUIPOS GEN'!$C$11:$H$833,2,0)</f>
        <v>Operación del desviador de bagazo</v>
      </c>
      <c r="G245" s="167" t="str">
        <f>VLOOKUP(MP_registro[[#This Row],[TAG]],'DB-EQUIPOS GEN'!$C$11:$H$833,3,0)</f>
        <v>E. TERMICA</v>
      </c>
      <c r="H245" s="166" t="str">
        <f>VLOOKUP(MP_registro[[#This Row],[TAG]],'DB-EQUIPOS GEN'!$C$11:$H$833,4,0)</f>
        <v>TRANSPORTE DE BAGAZO</v>
      </c>
      <c r="I245" s="166" t="str">
        <f>VLOOKUP(MP_registro[[#This Row],[TAG]],'DB-EQUIPOS GEN'!$C$11:$H$833,5,0)</f>
        <v>FAJA TRANSPORTADORA 1004</v>
      </c>
      <c r="J245" s="166" t="str">
        <f>VLOOKUP(MP_registro[[#This Row],[TAG]],'DB-EQUIPOS GEN'!$C$11:$H$833,6,0)</f>
        <v>0805CV070</v>
      </c>
      <c r="K245" s="68">
        <v>44704</v>
      </c>
      <c r="L245" s="65" t="s">
        <v>249</v>
      </c>
      <c r="M245" s="64" t="s">
        <v>2403</v>
      </c>
      <c r="N245" s="64" t="s">
        <v>1664</v>
      </c>
      <c r="O245" s="64" t="s">
        <v>1696</v>
      </c>
      <c r="Q245" s="42"/>
    </row>
    <row r="246" spans="1:17" s="33" customFormat="1" ht="35.25" customHeight="1">
      <c r="A246" s="64">
        <v>245</v>
      </c>
      <c r="B246" s="64" t="s">
        <v>261</v>
      </c>
      <c r="C246" s="64" t="s">
        <v>1379</v>
      </c>
      <c r="D246" s="65" t="s">
        <v>1626</v>
      </c>
      <c r="E246" s="65" t="s">
        <v>1654</v>
      </c>
      <c r="F246" s="166" t="str">
        <f>VLOOKUP(MP_registro[[#This Row],[TAG]],'DB-EQUIPOS GEN'!$C$11:$H$833,2,0)</f>
        <v>Vista global de sala turbina TGM</v>
      </c>
      <c r="G246" s="167" t="str">
        <f>VLOOKUP(MP_registro[[#This Row],[TAG]],'DB-EQUIPOS GEN'!$C$11:$H$833,3,0)</f>
        <v>E. ELECTRICA</v>
      </c>
      <c r="H246" s="167" t="str">
        <f>VLOOKUP(MP_registro[[#This Row],[TAG]],'DB-EQUIPOS GEN'!$C$11:$H$833,4,0)</f>
        <v>SISTEMA DE ENFRIAMIENTO</v>
      </c>
      <c r="I246" s="167" t="str">
        <f>VLOOKUP(MP_registro[[#This Row],[TAG]],'DB-EQUIPOS GEN'!$C$11:$H$833,5,0)</f>
        <v>TORRE DE ENFRIAMIENTO MARLEY - TG TGM</v>
      </c>
      <c r="J246" s="167" t="str">
        <f>VLOOKUP(MP_registro[[#This Row],[TAG]],'DB-EQUIPOS GEN'!$C$11:$H$833,6,0)</f>
        <v>0430CT050</v>
      </c>
      <c r="K246" s="69">
        <v>44705</v>
      </c>
      <c r="L246" s="64" t="s">
        <v>245</v>
      </c>
      <c r="M246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46" s="64" t="s">
        <v>1664</v>
      </c>
      <c r="O246" s="64" t="s">
        <v>1696</v>
      </c>
      <c r="Q246" s="42"/>
    </row>
    <row r="247" spans="1:17" s="33" customFormat="1" ht="35.25" customHeight="1">
      <c r="A247" s="65">
        <v>246</v>
      </c>
      <c r="B247" s="64" t="s">
        <v>261</v>
      </c>
      <c r="C247" s="64" t="s">
        <v>1379</v>
      </c>
      <c r="D247" s="65" t="s">
        <v>1627</v>
      </c>
      <c r="E247" s="65" t="s">
        <v>1655</v>
      </c>
      <c r="F247" s="166" t="str">
        <f>VLOOKUP(MP_registro[[#This Row],[TAG]],'DB-EQUIPOS GEN'!$C$11:$H$833,2,0)</f>
        <v>Vista global de planta de osmosis</v>
      </c>
      <c r="G247" s="167" t="str">
        <f>VLOOKUP(MP_registro[[#This Row],[TAG]],'DB-EQUIPOS GEN'!$C$11:$H$833,3,0)</f>
        <v>E. TERMICA</v>
      </c>
      <c r="H247" s="166" t="str">
        <f>VLOOKUP(MP_registro[[#This Row],[TAG]],'DB-EQUIPOS GEN'!$C$11:$H$833,4,0)</f>
        <v>PLANTA TRATAMIENTO OSMOSIS INVERSA</v>
      </c>
      <c r="I247" s="166" t="str">
        <f>VLOOKUP(MP_registro[[#This Row],[TAG]],'DB-EQUIPOS GEN'!$C$11:$H$833,5,0)</f>
        <v>PLANTA DE OSMOSIS INVERSA</v>
      </c>
      <c r="J247" s="166" t="str">
        <f>VLOOKUP(MP_registro[[#This Row],[TAG]],'DB-EQUIPOS GEN'!$C$11:$H$833,6,0)</f>
        <v>0425OI101</v>
      </c>
      <c r="K247" s="68">
        <v>44704</v>
      </c>
      <c r="L247" s="65" t="s">
        <v>245</v>
      </c>
      <c r="M247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47" s="64" t="s">
        <v>1664</v>
      </c>
      <c r="O247" s="64" t="s">
        <v>1696</v>
      </c>
      <c r="Q247" s="42"/>
    </row>
    <row r="248" spans="1:17" s="33" customFormat="1" ht="35.25" customHeight="1">
      <c r="A248" s="64">
        <v>247</v>
      </c>
      <c r="B248" s="64" t="s">
        <v>261</v>
      </c>
      <c r="C248" s="64" t="s">
        <v>1380</v>
      </c>
      <c r="D248" s="65" t="s">
        <v>1628</v>
      </c>
      <c r="E248" s="148" t="s">
        <v>1328</v>
      </c>
      <c r="F248" s="166" t="str">
        <f>VLOOKUP(MP_registro[[#This Row],[TAG]],'DB-EQUIPOS GEN'!$C$11:$H$833,2,0)</f>
        <v xml:space="preserve">Estacion de Ingenieria </v>
      </c>
      <c r="G248" s="167" t="str">
        <f>VLOOKUP(MP_registro[[#This Row],[TAG]],'DB-EQUIPOS GEN'!$C$11:$H$833,3,0)</f>
        <v>E. ELECTRICA</v>
      </c>
      <c r="H248" s="167" t="str">
        <f>VLOOKUP(MP_registro[[#This Row],[TAG]],'DB-EQUIPOS GEN'!$C$11:$H$833,4,0)</f>
        <v>SISTEMA DE CONTROL DISTRIBUIDO</v>
      </c>
      <c r="I248" s="167" t="str">
        <f>VLOOKUP(MP_registro[[#This Row],[TAG]],'DB-EQUIPOS GEN'!$C$11:$H$833,5,0)</f>
        <v>SISTEMA DE CONTROL DISTRIBUIDO</v>
      </c>
      <c r="J248" s="167" t="str">
        <f>VLOOKUP(MP_registro[[#This Row],[TAG]],'DB-EQUIPOS GEN'!$C$11:$H$833,6,0)</f>
        <v>DCS</v>
      </c>
      <c r="K248" s="69">
        <v>44712</v>
      </c>
      <c r="L248" s="64" t="s">
        <v>248</v>
      </c>
      <c r="M248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248" s="64" t="s">
        <v>1664</v>
      </c>
      <c r="O248" s="64" t="s">
        <v>1696</v>
      </c>
      <c r="Q248" s="42"/>
    </row>
    <row r="249" spans="1:17" s="33" customFormat="1" ht="35.25" customHeight="1">
      <c r="A249" s="65">
        <v>248</v>
      </c>
      <c r="B249" s="64" t="s">
        <v>261</v>
      </c>
      <c r="C249" s="64" t="s">
        <v>1380</v>
      </c>
      <c r="D249" s="65" t="s">
        <v>1629</v>
      </c>
      <c r="E249" s="154" t="s">
        <v>2416</v>
      </c>
      <c r="F249" s="166" t="str">
        <f>VLOOKUP(MP_registro[[#This Row],[TAG]],'DB-EQUIPOS GEN'!$C$11:$H$833,2,0)</f>
        <v>Vista Conductor Auxiliar - Superior</v>
      </c>
      <c r="G249" s="167" t="str">
        <f>VLOOKUP(MP_registro[[#This Row],[TAG]],'DB-EQUIPOS GEN'!$C$11:$H$833,3,0)</f>
        <v>EXTRACCION</v>
      </c>
      <c r="H249" s="166" t="str">
        <f>VLOOKUP(MP_registro[[#This Row],[TAG]],'DB-EQUIPOS GEN'!$C$11:$H$833,4,0)</f>
        <v>PREPARACIÓN DE CAÑA</v>
      </c>
      <c r="I249" s="166" t="str">
        <f>VLOOKUP(MP_registro[[#This Row],[TAG]],'DB-EQUIPOS GEN'!$C$11:$H$833,5,0)</f>
        <v>CONDUCTOR AUXILIAR DE CAÑA</v>
      </c>
      <c r="J249" s="166" t="str">
        <f>VLOOKUP(MP_registro[[#This Row],[TAG]],'DB-EQUIPOS GEN'!$C$11:$H$833,6,0)</f>
        <v>0115CV010</v>
      </c>
      <c r="K249" s="68">
        <v>44711</v>
      </c>
      <c r="L249" s="65" t="s">
        <v>247</v>
      </c>
      <c r="M249" s="65" t="s">
        <v>2404</v>
      </c>
      <c r="N249" s="64" t="s">
        <v>1664</v>
      </c>
      <c r="O249" s="64" t="s">
        <v>1696</v>
      </c>
      <c r="Q249" s="42"/>
    </row>
    <row r="250" spans="1:17" s="33" customFormat="1" ht="35.25" customHeight="1">
      <c r="A250" s="64">
        <v>249</v>
      </c>
      <c r="B250" s="64" t="s">
        <v>261</v>
      </c>
      <c r="C250" s="64" t="s">
        <v>1380</v>
      </c>
      <c r="D250" s="65" t="s">
        <v>1630</v>
      </c>
      <c r="E250" s="154" t="s">
        <v>2407</v>
      </c>
      <c r="F250" s="166" t="str">
        <f>VLOOKUP(MP_registro[[#This Row],[TAG]],'DB-EQUIPOS GEN'!$C$11:$H$833,2,0)</f>
        <v>Vista Molino Secador - Conductor Intermedio</v>
      </c>
      <c r="G250" s="167" t="str">
        <f>VLOOKUP(MP_registro[[#This Row],[TAG]],'DB-EQUIPOS GEN'!$C$11:$H$833,3,0)</f>
        <v>EXTRACCION</v>
      </c>
      <c r="H250" s="167" t="str">
        <f>VLOOKUP(MP_registro[[#This Row],[TAG]],'DB-EQUIPOS GEN'!$C$11:$H$833,4,0)</f>
        <v>MOLINOS</v>
      </c>
      <c r="I250" s="167" t="str">
        <f>VLOOKUP(MP_registro[[#This Row],[TAG]],'DB-EQUIPOS GEN'!$C$11:$H$833,5,0)</f>
        <v>CONDUCTOR INTERMEDIO - MOLINO SECADOR</v>
      </c>
      <c r="J250" s="167" t="str">
        <f>VLOOKUP(MP_registro[[#This Row],[TAG]],'DB-EQUIPOS GEN'!$C$11:$H$833,6,0)</f>
        <v>0210CV070</v>
      </c>
      <c r="K250" s="69">
        <v>44711</v>
      </c>
      <c r="L250" s="64" t="s">
        <v>245</v>
      </c>
      <c r="M250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50" s="64" t="s">
        <v>1664</v>
      </c>
      <c r="O250" s="64" t="s">
        <v>1696</v>
      </c>
      <c r="Q250" s="42"/>
    </row>
    <row r="251" spans="1:17" s="33" customFormat="1" ht="35.25" customHeight="1">
      <c r="A251" s="65">
        <v>250</v>
      </c>
      <c r="B251" s="64" t="s">
        <v>261</v>
      </c>
      <c r="C251" s="64" t="s">
        <v>1380</v>
      </c>
      <c r="D251" s="65" t="s">
        <v>1631</v>
      </c>
      <c r="E251" s="148" t="s">
        <v>1642</v>
      </c>
      <c r="F251" s="166" t="str">
        <f>VLOOKUP(MP_registro[[#This Row],[TAG]],'DB-EQUIPOS GEN'!$C$11:$H$833,2,0)</f>
        <v>Salida de bagazo de molino secador</v>
      </c>
      <c r="G251" s="167" t="str">
        <f>VLOOKUP(MP_registro[[#This Row],[TAG]],'DB-EQUIPOS GEN'!$C$11:$H$833,3,0)</f>
        <v>EXTRACCION</v>
      </c>
      <c r="H251" s="166" t="str">
        <f>VLOOKUP(MP_registro[[#This Row],[TAG]],'DB-EQUIPOS GEN'!$C$11:$H$833,4,0)</f>
        <v>MOLINOS</v>
      </c>
      <c r="I251" s="166" t="str">
        <f>VLOOKUP(MP_registro[[#This Row],[TAG]],'DB-EQUIPOS GEN'!$C$11:$H$833,5,0)</f>
        <v>MOLINO SECADOR</v>
      </c>
      <c r="J251" s="166" t="str">
        <f>VLOOKUP(MP_registro[[#This Row],[TAG]],'DB-EQUIPOS GEN'!$C$11:$H$833,6,0)</f>
        <v>0210MM090</v>
      </c>
      <c r="K251" s="68">
        <v>44711</v>
      </c>
      <c r="L251" s="65" t="s">
        <v>247</v>
      </c>
      <c r="M251" s="65" t="s">
        <v>2404</v>
      </c>
      <c r="N251" s="64" t="s">
        <v>1664</v>
      </c>
      <c r="O251" s="64" t="s">
        <v>1696</v>
      </c>
      <c r="Q251" s="42"/>
    </row>
    <row r="252" spans="1:17" s="33" customFormat="1" ht="35.25" customHeight="1">
      <c r="A252" s="64">
        <v>251</v>
      </c>
      <c r="B252" s="64" t="s">
        <v>261</v>
      </c>
      <c r="C252" s="64" t="s">
        <v>1380</v>
      </c>
      <c r="D252" s="65" t="s">
        <v>1632</v>
      </c>
      <c r="E252" s="148" t="s">
        <v>1646</v>
      </c>
      <c r="F252" s="166" t="str">
        <f>VLOOKUP(MP_registro[[#This Row],[TAG]],'DB-EQUIPOS GEN'!$C$11:$H$833,2,0)</f>
        <v>Segundo nivel de Turbina TGM</v>
      </c>
      <c r="G252" s="167" t="str">
        <f>VLOOKUP(MP_registro[[#This Row],[TAG]],'DB-EQUIPOS GEN'!$C$11:$H$833,3,0)</f>
        <v>E. ELECTRICA</v>
      </c>
      <c r="H252" s="167" t="str">
        <f>VLOOKUP(MP_registro[[#This Row],[TAG]],'DB-EQUIPOS GEN'!$C$11:$H$833,4,0)</f>
        <v>SISTEMA DE ENFRIAMIENTO</v>
      </c>
      <c r="I252" s="167" t="str">
        <f>VLOOKUP(MP_registro[[#This Row],[TAG]],'DB-EQUIPOS GEN'!$C$11:$H$833,5,0)</f>
        <v>TORRE DE ENFRIAMIENTO MARLEY - TG TGM</v>
      </c>
      <c r="J252" s="167" t="str">
        <f>VLOOKUP(MP_registro[[#This Row],[TAG]],'DB-EQUIPOS GEN'!$C$11:$H$833,6,0)</f>
        <v>0430CT050</v>
      </c>
      <c r="K252" s="69">
        <v>44711</v>
      </c>
      <c r="L252" s="64" t="s">
        <v>245</v>
      </c>
      <c r="M252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52" s="64" t="s">
        <v>1664</v>
      </c>
      <c r="O252" s="64" t="s">
        <v>1696</v>
      </c>
      <c r="Q252" s="42"/>
    </row>
    <row r="253" spans="1:17" s="33" customFormat="1" ht="35.25" customHeight="1">
      <c r="A253" s="65">
        <v>252</v>
      </c>
      <c r="B253" s="64" t="s">
        <v>261</v>
      </c>
      <c r="C253" s="64" t="s">
        <v>1380</v>
      </c>
      <c r="D253" s="65" t="s">
        <v>1633</v>
      </c>
      <c r="E253" s="148" t="s">
        <v>1659</v>
      </c>
      <c r="F253" s="166" t="str">
        <f>VLOOKUP(MP_registro[[#This Row],[TAG]],'DB-EQUIPOS GEN'!$C$11:$H$833,2,0)</f>
        <v>Vista global de tanques de jarabe 1,2 y 3</v>
      </c>
      <c r="G253" s="167" t="str">
        <f>VLOOKUP(MP_registro[[#This Row],[TAG]],'DB-EQUIPOS GEN'!$C$11:$H$833,3,0)</f>
        <v>PRODUCCION</v>
      </c>
      <c r="H253" s="166" t="str">
        <f>VLOOKUP(MP_registro[[#This Row],[TAG]],'DB-EQUIPOS GEN'!$C$11:$H$833,4,0)</f>
        <v>CRISTALIZACIÓN POR COCCIÓN</v>
      </c>
      <c r="I253" s="166" t="str">
        <f>VLOOKUP(MP_registro[[#This Row],[TAG]],'DB-EQUIPOS GEN'!$C$11:$H$833,5,0)</f>
        <v>TANQUE DE JARABE 1</v>
      </c>
      <c r="J253" s="166" t="str">
        <f>VLOOKUP(MP_registro[[#This Row],[TAG]],'DB-EQUIPOS GEN'!$C$11:$H$833,6,0)</f>
        <v>0335TK010</v>
      </c>
      <c r="K253" s="68">
        <v>44712</v>
      </c>
      <c r="L253" s="65" t="s">
        <v>247</v>
      </c>
      <c r="M253" s="65" t="s">
        <v>2404</v>
      </c>
      <c r="N253" s="64" t="s">
        <v>1664</v>
      </c>
      <c r="O253" s="64" t="s">
        <v>1696</v>
      </c>
      <c r="Q253" s="42"/>
    </row>
    <row r="254" spans="1:17" s="33" customFormat="1" ht="35.25" customHeight="1">
      <c r="A254" s="64">
        <v>253</v>
      </c>
      <c r="B254" s="64" t="s">
        <v>261</v>
      </c>
      <c r="C254" s="64" t="s">
        <v>1380</v>
      </c>
      <c r="D254" s="65" t="s">
        <v>1634</v>
      </c>
      <c r="E254" s="148" t="s">
        <v>1650</v>
      </c>
      <c r="F254" s="166" t="str">
        <f>VLOOKUP(MP_registro[[#This Row],[TAG]],'DB-EQUIPOS GEN'!$C$11:$H$833,2,0)</f>
        <v>Faja 1003 - Conductor distribuidor de bagazo</v>
      </c>
      <c r="G254" s="167" t="str">
        <f>VLOOKUP(MP_registro[[#This Row],[TAG]],'DB-EQUIPOS GEN'!$C$11:$H$833,3,0)</f>
        <v>E. TERMICA</v>
      </c>
      <c r="H254" s="167" t="str">
        <f>VLOOKUP(MP_registro[[#This Row],[TAG]],'DB-EQUIPOS GEN'!$C$11:$H$833,4,0)</f>
        <v>TRANSPORTE DE BAGAZO</v>
      </c>
      <c r="I254" s="167" t="str">
        <f>VLOOKUP(MP_registro[[#This Row],[TAG]],'DB-EQUIPOS GEN'!$C$11:$H$833,5,0)</f>
        <v>TRANSPORTADOR DE BAGAZO 1003</v>
      </c>
      <c r="J254" s="167" t="str">
        <f>VLOOKUP(MP_registro[[#This Row],[TAG]],'DB-EQUIPOS GEN'!$C$11:$H$833,6,0)</f>
        <v>0805CV060</v>
      </c>
      <c r="K254" s="69">
        <v>44711</v>
      </c>
      <c r="L254" s="64" t="s">
        <v>245</v>
      </c>
      <c r="M254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54" s="64" t="s">
        <v>1664</v>
      </c>
      <c r="O254" s="64" t="s">
        <v>1696</v>
      </c>
      <c r="Q254" s="42"/>
    </row>
    <row r="255" spans="1:17" s="33" customFormat="1" ht="35.25" customHeight="1">
      <c r="A255" s="65">
        <v>254</v>
      </c>
      <c r="B255" s="64" t="s">
        <v>261</v>
      </c>
      <c r="C255" s="64" t="s">
        <v>1380</v>
      </c>
      <c r="D255" s="65" t="s">
        <v>1635</v>
      </c>
      <c r="E255" s="148" t="s">
        <v>1651</v>
      </c>
      <c r="F255" s="166" t="str">
        <f>VLOOKUP(MP_registro[[#This Row],[TAG]],'DB-EQUIPOS GEN'!$C$11:$H$833,2,0)</f>
        <v>Faja 1008 - Tolva de retorno de bagazo</v>
      </c>
      <c r="G255" s="167" t="str">
        <f>VLOOKUP(MP_registro[[#This Row],[TAG]],'DB-EQUIPOS GEN'!$C$11:$H$833,3,0)</f>
        <v>E. TERMICA</v>
      </c>
      <c r="H255" s="166" t="str">
        <f>VLOOKUP(MP_registro[[#This Row],[TAG]],'DB-EQUIPOS GEN'!$C$11:$H$833,4,0)</f>
        <v>TRANSPORTE DE BAGAZO</v>
      </c>
      <c r="I255" s="166" t="str">
        <f>VLOOKUP(MP_registro[[#This Row],[TAG]],'DB-EQUIPOS GEN'!$C$11:$H$833,5,0)</f>
        <v>FAJA TRANSPORTADORA 1008</v>
      </c>
      <c r="J255" s="166" t="str">
        <f>VLOOKUP(MP_registro[[#This Row],[TAG]],'DB-EQUIPOS GEN'!$C$11:$H$833,6,0)</f>
        <v>0805CV100</v>
      </c>
      <c r="K255" s="68">
        <v>44711</v>
      </c>
      <c r="L255" s="65" t="s">
        <v>247</v>
      </c>
      <c r="M255" s="65" t="s">
        <v>2404</v>
      </c>
      <c r="N255" s="64" t="s">
        <v>1664</v>
      </c>
      <c r="O255" s="64" t="s">
        <v>1696</v>
      </c>
      <c r="Q255" s="42"/>
    </row>
    <row r="256" spans="1:17" s="33" customFormat="1" ht="35.25" customHeight="1">
      <c r="A256" s="64">
        <v>255</v>
      </c>
      <c r="B256" s="64" t="s">
        <v>261</v>
      </c>
      <c r="C256" s="64" t="s">
        <v>1380</v>
      </c>
      <c r="D256" s="65" t="s">
        <v>1636</v>
      </c>
      <c r="E256" s="148" t="s">
        <v>1652</v>
      </c>
      <c r="F256" s="166" t="str">
        <f>VLOOKUP(MP_registro[[#This Row],[TAG]],'DB-EQUIPOS GEN'!$C$11:$H$833,2,0)</f>
        <v>Faja 1006A - Patio de Bagazo</v>
      </c>
      <c r="G256" s="167" t="str">
        <f>VLOOKUP(MP_registro[[#This Row],[TAG]],'DB-EQUIPOS GEN'!$C$11:$H$833,3,0)</f>
        <v>E. TERMICA</v>
      </c>
      <c r="H256" s="167" t="str">
        <f>VLOOKUP(MP_registro[[#This Row],[TAG]],'DB-EQUIPOS GEN'!$C$11:$H$833,4,0)</f>
        <v>TRANSPORTE DE BAGAZO</v>
      </c>
      <c r="I256" s="167" t="str">
        <f>VLOOKUP(MP_registro[[#This Row],[TAG]],'DB-EQUIPOS GEN'!$C$11:$H$833,5,0)</f>
        <v>FAJA TRANSPORTADORA 1006 A</v>
      </c>
      <c r="J256" s="167" t="str">
        <f>VLOOKUP(MP_registro[[#This Row],[TAG]],'DB-EQUIPOS GEN'!$C$11:$H$833,6,0)</f>
        <v>0805CV080</v>
      </c>
      <c r="K256" s="69">
        <v>44711</v>
      </c>
      <c r="L256" s="64" t="s">
        <v>245</v>
      </c>
      <c r="M256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56" s="64" t="s">
        <v>1664</v>
      </c>
      <c r="O256" s="64" t="s">
        <v>1696</v>
      </c>
      <c r="Q256" s="42"/>
    </row>
    <row r="257" spans="1:17" s="33" customFormat="1" ht="35.25" customHeight="1">
      <c r="A257" s="65">
        <v>256</v>
      </c>
      <c r="B257" s="64" t="s">
        <v>261</v>
      </c>
      <c r="C257" s="64" t="s">
        <v>1380</v>
      </c>
      <c r="D257" s="65" t="s">
        <v>1637</v>
      </c>
      <c r="E257" s="148" t="s">
        <v>1653</v>
      </c>
      <c r="F257" s="166" t="str">
        <f>VLOOKUP(MP_registro[[#This Row],[TAG]],'DB-EQUIPOS GEN'!$C$11:$H$833,2,0)</f>
        <v>Operación del desviador de bagazo</v>
      </c>
      <c r="G257" s="167" t="str">
        <f>VLOOKUP(MP_registro[[#This Row],[TAG]],'DB-EQUIPOS GEN'!$C$11:$H$833,3,0)</f>
        <v>E. TERMICA</v>
      </c>
      <c r="H257" s="166" t="str">
        <f>VLOOKUP(MP_registro[[#This Row],[TAG]],'DB-EQUIPOS GEN'!$C$11:$H$833,4,0)</f>
        <v>TRANSPORTE DE BAGAZO</v>
      </c>
      <c r="I257" s="166" t="str">
        <f>VLOOKUP(MP_registro[[#This Row],[TAG]],'DB-EQUIPOS GEN'!$C$11:$H$833,5,0)</f>
        <v>FAJA TRANSPORTADORA 1004</v>
      </c>
      <c r="J257" s="166" t="str">
        <f>VLOOKUP(MP_registro[[#This Row],[TAG]],'DB-EQUIPOS GEN'!$C$11:$H$833,6,0)</f>
        <v>0805CV070</v>
      </c>
      <c r="K257" s="68">
        <v>44711</v>
      </c>
      <c r="L257" s="65" t="s">
        <v>247</v>
      </c>
      <c r="M257" s="65" t="s">
        <v>2404</v>
      </c>
      <c r="N257" s="64" t="s">
        <v>1664</v>
      </c>
      <c r="O257" s="64" t="s">
        <v>1696</v>
      </c>
      <c r="Q257" s="42"/>
    </row>
    <row r="258" spans="1:17" s="33" customFormat="1" ht="35.25" customHeight="1">
      <c r="A258" s="64">
        <v>257</v>
      </c>
      <c r="B258" s="64" t="s">
        <v>261</v>
      </c>
      <c r="C258" s="64" t="s">
        <v>1380</v>
      </c>
      <c r="D258" s="65" t="s">
        <v>1638</v>
      </c>
      <c r="E258" s="148" t="s">
        <v>1654</v>
      </c>
      <c r="F258" s="166" t="str">
        <f>VLOOKUP(MP_registro[[#This Row],[TAG]],'DB-EQUIPOS GEN'!$C$11:$H$833,2,0)</f>
        <v>Vista global de sala turbina TGM</v>
      </c>
      <c r="G258" s="167" t="str">
        <f>VLOOKUP(MP_registro[[#This Row],[TAG]],'DB-EQUIPOS GEN'!$C$11:$H$833,3,0)</f>
        <v>E. ELECTRICA</v>
      </c>
      <c r="H258" s="167" t="str">
        <f>VLOOKUP(MP_registro[[#This Row],[TAG]],'DB-EQUIPOS GEN'!$C$11:$H$833,4,0)</f>
        <v>SISTEMA DE ENFRIAMIENTO</v>
      </c>
      <c r="I258" s="167" t="str">
        <f>VLOOKUP(MP_registro[[#This Row],[TAG]],'DB-EQUIPOS GEN'!$C$11:$H$833,5,0)</f>
        <v>TORRE DE ENFRIAMIENTO MARLEY - TG TGM</v>
      </c>
      <c r="J258" s="167" t="str">
        <f>VLOOKUP(MP_registro[[#This Row],[TAG]],'DB-EQUIPOS GEN'!$C$11:$H$833,6,0)</f>
        <v>0430CT050</v>
      </c>
      <c r="K258" s="69">
        <v>44712</v>
      </c>
      <c r="L258" s="64" t="s">
        <v>245</v>
      </c>
      <c r="M258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58" s="64" t="s">
        <v>1664</v>
      </c>
      <c r="O258" s="64" t="s">
        <v>1696</v>
      </c>
      <c r="Q258" s="42"/>
    </row>
    <row r="259" spans="1:17" s="33" customFormat="1" ht="35.25" customHeight="1">
      <c r="A259" s="65">
        <v>258</v>
      </c>
      <c r="B259" s="64" t="s">
        <v>261</v>
      </c>
      <c r="C259" s="64" t="s">
        <v>1380</v>
      </c>
      <c r="D259" s="65" t="s">
        <v>1639</v>
      </c>
      <c r="E259" s="148" t="s">
        <v>1655</v>
      </c>
      <c r="F259" s="166" t="str">
        <f>VLOOKUP(MP_registro[[#This Row],[TAG]],'DB-EQUIPOS GEN'!$C$11:$H$833,2,0)</f>
        <v>Vista global de planta de osmosis</v>
      </c>
      <c r="G259" s="167" t="str">
        <f>VLOOKUP(MP_registro[[#This Row],[TAG]],'DB-EQUIPOS GEN'!$C$11:$H$833,3,0)</f>
        <v>E. TERMICA</v>
      </c>
      <c r="H259" s="166" t="str">
        <f>VLOOKUP(MP_registro[[#This Row],[TAG]],'DB-EQUIPOS GEN'!$C$11:$H$833,4,0)</f>
        <v>PLANTA TRATAMIENTO OSMOSIS INVERSA</v>
      </c>
      <c r="I259" s="166" t="str">
        <f>VLOOKUP(MP_registro[[#This Row],[TAG]],'DB-EQUIPOS GEN'!$C$11:$H$833,5,0)</f>
        <v>PLANTA DE OSMOSIS INVERSA</v>
      </c>
      <c r="J259" s="166" t="str">
        <f>VLOOKUP(MP_registro[[#This Row],[TAG]],'DB-EQUIPOS GEN'!$C$11:$H$833,6,0)</f>
        <v>0425OI101</v>
      </c>
      <c r="K259" s="68">
        <v>44711</v>
      </c>
      <c r="L259" s="65" t="s">
        <v>247</v>
      </c>
      <c r="M259" s="65" t="s">
        <v>2404</v>
      </c>
      <c r="N259" s="64" t="s">
        <v>1664</v>
      </c>
      <c r="O259" s="64" t="s">
        <v>1696</v>
      </c>
      <c r="Q259" s="42"/>
    </row>
    <row r="260" spans="1:17" ht="34.15" customHeight="1">
      <c r="A260" s="64">
        <v>259</v>
      </c>
      <c r="B260" s="77" t="s">
        <v>260</v>
      </c>
      <c r="C260" s="64" t="s">
        <v>1665</v>
      </c>
      <c r="D260" s="77" t="s">
        <v>1666</v>
      </c>
      <c r="E260" s="148" t="s">
        <v>539</v>
      </c>
      <c r="F260" s="166" t="str">
        <f>VLOOKUP(MP_registro[[#This Row],[TAG]],'DB-EQUIPOS GEN'!$C$11:$H$833,2,0)</f>
        <v>Presion del jugo de recirculacion</v>
      </c>
      <c r="G260" s="168" t="str">
        <f>VLOOKUP(MP_registro[[#This Row],[TAG]],'DB-EQUIPOS GEN'!$C$11:$H$833,3,0)</f>
        <v>PRODUCCION</v>
      </c>
      <c r="H260" s="168" t="str">
        <f>VLOOKUP(MP_registro[[#This Row],[TAG]],'DB-EQUIPOS GEN'!$C$11:$H$833,4,0)</f>
        <v>EVAPORACION DE JUGO</v>
      </c>
      <c r="I260" s="168" t="str">
        <f>VLOOKUP(MP_registro[[#This Row],[TAG]],'DB-EQUIPOS GEN'!$C$11:$H$833,5,0)</f>
        <v>FFE 5B</v>
      </c>
      <c r="J260" s="168" t="str">
        <f>VLOOKUP(MP_registro[[#This Row],[TAG]],'DB-EQUIPOS GEN'!$C$11:$H$833,6,0)</f>
        <v xml:space="preserve"> 0320EV080</v>
      </c>
      <c r="K260" s="149">
        <v>44713</v>
      </c>
      <c r="L260" s="150" t="s">
        <v>247</v>
      </c>
      <c r="M260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260" s="144" t="s">
        <v>1664</v>
      </c>
      <c r="O260" s="64" t="s">
        <v>1696</v>
      </c>
      <c r="P260" s="34"/>
      <c r="Q260" s="42"/>
    </row>
    <row r="261" spans="1:17" ht="34.15" customHeight="1">
      <c r="A261" s="65">
        <v>260</v>
      </c>
      <c r="B261" s="77" t="s">
        <v>260</v>
      </c>
      <c r="C261" s="64" t="s">
        <v>1665</v>
      </c>
      <c r="D261" s="77" t="s">
        <v>1667</v>
      </c>
      <c r="E261" s="148" t="s">
        <v>1656</v>
      </c>
      <c r="F261" s="166" t="str">
        <f>VLOOKUP(MP_registro[[#This Row],[TAG]],'DB-EQUIPOS GEN'!$C$11:$H$833,2,0)</f>
        <v>Descarga de centrifugas continuas</v>
      </c>
      <c r="G261" s="168" t="str">
        <f>VLOOKUP(MP_registro[[#This Row],[TAG]],'DB-EQUIPOS GEN'!$C$11:$H$833,3,0)</f>
        <v>PRODUCCION</v>
      </c>
      <c r="H261" s="168" t="str">
        <f>VLOOKUP(MP_registro[[#This Row],[TAG]],'DB-EQUIPOS GEN'!$C$11:$H$833,4,0)</f>
        <v>CENTRIFUGACIÓN DE AZÚCAR</v>
      </c>
      <c r="I261" s="168" t="str">
        <f>VLOOKUP(MP_registro[[#This Row],[TAG]],'DB-EQUIPOS GEN'!$C$11:$H$833,5,0)</f>
        <v>CENTRIFUGA CONTINUA 1 - C (FRANCIA)</v>
      </c>
      <c r="J261" s="168" t="str">
        <f>VLOOKUP(MP_registro[[#This Row],[TAG]],'DB-EQUIPOS GEN'!$C$11:$H$833,6,0)</f>
        <v>0345SQ160</v>
      </c>
      <c r="K261" s="149">
        <v>44713</v>
      </c>
      <c r="L261" s="150" t="s">
        <v>249</v>
      </c>
      <c r="M261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261" s="144" t="s">
        <v>1664</v>
      </c>
      <c r="O261" s="64" t="s">
        <v>1696</v>
      </c>
      <c r="Q261" s="42"/>
    </row>
    <row r="262" spans="1:17" ht="34.15" customHeight="1">
      <c r="A262" s="64">
        <v>261</v>
      </c>
      <c r="B262" s="77" t="s">
        <v>260</v>
      </c>
      <c r="C262" s="64" t="s">
        <v>1665</v>
      </c>
      <c r="D262" s="77" t="s">
        <v>1668</v>
      </c>
      <c r="E262" s="148" t="s">
        <v>1657</v>
      </c>
      <c r="F262" s="166" t="str">
        <f>VLOOKUP(MP_registro[[#This Row],[TAG]],'DB-EQUIPOS GEN'!$C$11:$H$833,2,0)</f>
        <v>Pug mill B, Cabezal C de centrifugas continuas</v>
      </c>
      <c r="G262" s="168" t="str">
        <f>VLOOKUP(MP_registro[[#This Row],[TAG]],'DB-EQUIPOS GEN'!$C$11:$H$833,3,0)</f>
        <v>PRODUCCION</v>
      </c>
      <c r="H262" s="168" t="str">
        <f>VLOOKUP(MP_registro[[#This Row],[TAG]],'DB-EQUIPOS GEN'!$C$11:$H$833,4,0)</f>
        <v>CENTRIFUGACIÓN DE AZÚCAR</v>
      </c>
      <c r="I262" s="168" t="str">
        <f>VLOOKUP(MP_registro[[#This Row],[TAG]],'DB-EQUIPOS GEN'!$C$11:$H$833,5,0)</f>
        <v>PUG MILL - B</v>
      </c>
      <c r="J262" s="168" t="str">
        <f>VLOOKUP(MP_registro[[#This Row],[TAG]],'DB-EQUIPOS GEN'!$C$11:$H$833,6,0)</f>
        <v>0345MM020</v>
      </c>
      <c r="K262" s="149">
        <v>44713</v>
      </c>
      <c r="L262" s="150" t="s">
        <v>245</v>
      </c>
      <c r="M262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62" s="144" t="s">
        <v>1664</v>
      </c>
      <c r="O262" s="64" t="s">
        <v>1696</v>
      </c>
      <c r="Q262" s="42"/>
    </row>
    <row r="263" spans="1:17" ht="34.15" customHeight="1">
      <c r="A263" s="65">
        <v>262</v>
      </c>
      <c r="B263" s="77" t="s">
        <v>260</v>
      </c>
      <c r="C263" s="64" t="s">
        <v>1665</v>
      </c>
      <c r="D263" s="77" t="s">
        <v>1669</v>
      </c>
      <c r="E263" s="148" t="s">
        <v>1658</v>
      </c>
      <c r="F263" s="166" t="str">
        <f>VLOOKUP(MP_registro[[#This Row],[TAG]],'DB-EQUIPOS GEN'!$C$11:$H$833,2,0)</f>
        <v>Pug mill A - Centrifugas batch</v>
      </c>
      <c r="G263" s="168" t="str">
        <f>VLOOKUP(MP_registro[[#This Row],[TAG]],'DB-EQUIPOS GEN'!$C$11:$H$833,3,0)</f>
        <v>PRODUCCION</v>
      </c>
      <c r="H263" s="168" t="str">
        <f>VLOOKUP(MP_registro[[#This Row],[TAG]],'DB-EQUIPOS GEN'!$C$11:$H$833,4,0)</f>
        <v>CENTRIFUGACIÓN DE AZÚCAR</v>
      </c>
      <c r="I263" s="168" t="str">
        <f>VLOOKUP(MP_registro[[#This Row],[TAG]],'DB-EQUIPOS GEN'!$C$11:$H$833,5,0)</f>
        <v>PUG MILL - A</v>
      </c>
      <c r="J263" s="168" t="str">
        <f>VLOOKUP(MP_registro[[#This Row],[TAG]],'DB-EQUIPOS GEN'!$C$11:$H$833,6,0)</f>
        <v>0345MM010</v>
      </c>
      <c r="K263" s="149">
        <v>44713</v>
      </c>
      <c r="L263" s="150" t="s">
        <v>245</v>
      </c>
      <c r="M263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63" s="144" t="s">
        <v>1664</v>
      </c>
      <c r="O263" s="64" t="s">
        <v>1696</v>
      </c>
      <c r="Q263" s="42"/>
    </row>
    <row r="264" spans="1:17" ht="34.15" customHeight="1">
      <c r="A264" s="64">
        <v>263</v>
      </c>
      <c r="B264" s="77" t="s">
        <v>260</v>
      </c>
      <c r="C264" s="64" t="s">
        <v>1665</v>
      </c>
      <c r="D264" s="77" t="s">
        <v>1670</v>
      </c>
      <c r="E264" s="148" t="s">
        <v>1661</v>
      </c>
      <c r="F264" s="166" t="str">
        <f>VLOOKUP(MP_registro[[#This Row],[TAG]],'DB-EQUIPOS GEN'!$C$11:$H$833,2,0)</f>
        <v xml:space="preserve">Faja de azucar seca a Silo </v>
      </c>
      <c r="G264" s="168" t="str">
        <f>VLOOKUP(MP_registro[[#This Row],[TAG]],'DB-EQUIPOS GEN'!$C$11:$H$833,3,0)</f>
        <v>PRODUCCION</v>
      </c>
      <c r="H264" s="168" t="str">
        <f>VLOOKUP(MP_registro[[#This Row],[TAG]],'DB-EQUIPOS GEN'!$C$11:$H$833,4,0)</f>
        <v>ENVASADO DE AZÚCAR RUBIA</v>
      </c>
      <c r="I264" s="168" t="str">
        <f>VLOOKUP(MP_registro[[#This Row],[TAG]],'DB-EQUIPOS GEN'!$C$11:$H$833,5,0)</f>
        <v>SILO DE AZUCAR 1</v>
      </c>
      <c r="J264" s="168" t="str">
        <f>VLOOKUP(MP_registro[[#This Row],[TAG]],'DB-EQUIPOS GEN'!$C$11:$H$833,6,0)</f>
        <v>0355BI090</v>
      </c>
      <c r="K264" s="149">
        <v>44713</v>
      </c>
      <c r="L264" s="150" t="s">
        <v>247</v>
      </c>
      <c r="M264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264" s="144" t="s">
        <v>1664</v>
      </c>
      <c r="O264" s="64" t="s">
        <v>1696</v>
      </c>
      <c r="Q264" s="42"/>
    </row>
    <row r="265" spans="1:17" ht="34.15" customHeight="1">
      <c r="A265" s="65">
        <v>264</v>
      </c>
      <c r="B265" s="77" t="s">
        <v>260</v>
      </c>
      <c r="C265" s="64" t="s">
        <v>1665</v>
      </c>
      <c r="D265" s="77" t="s">
        <v>1671</v>
      </c>
      <c r="E265" s="148" t="s">
        <v>1648</v>
      </c>
      <c r="F265" s="166" t="str">
        <f>VLOOKUP(MP_registro[[#This Row],[TAG]],'DB-EQUIPOS GEN'!$C$11:$H$833,2,0)</f>
        <v>Nivel de agua en domo</v>
      </c>
      <c r="G265" s="168" t="str">
        <f>VLOOKUP(MP_registro[[#This Row],[TAG]],'DB-EQUIPOS GEN'!$C$11:$H$833,3,0)</f>
        <v>E. TERMICA</v>
      </c>
      <c r="H265" s="168" t="str">
        <f>VLOOKUP(MP_registro[[#This Row],[TAG]],'DB-EQUIPOS GEN'!$C$11:$H$833,4,0)</f>
        <v>GENERACIÓN DE VAPOR</v>
      </c>
      <c r="I265" s="168" t="str">
        <f>VLOOKUP(MP_registro[[#This Row],[TAG]],'DB-EQUIPOS GEN'!$C$11:$H$833,5,0)</f>
        <v>DOMO SUPERIOR</v>
      </c>
      <c r="J265" s="168" t="str">
        <f>VLOOKUP(MP_registro[[#This Row],[TAG]],'DB-EQUIPOS GEN'!$C$11:$H$833,6,0)</f>
        <v>0405DO020</v>
      </c>
      <c r="K265" s="149">
        <v>44713</v>
      </c>
      <c r="L265" s="150" t="s">
        <v>249</v>
      </c>
      <c r="M265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265" s="144" t="s">
        <v>13</v>
      </c>
      <c r="O265" s="64" t="s">
        <v>1696</v>
      </c>
      <c r="Q265" s="42"/>
    </row>
    <row r="266" spans="1:17" ht="34.15" customHeight="1">
      <c r="A266" s="64">
        <v>265</v>
      </c>
      <c r="B266" s="77" t="s">
        <v>260</v>
      </c>
      <c r="C266" s="64" t="s">
        <v>1665</v>
      </c>
      <c r="D266" s="77" t="s">
        <v>1672</v>
      </c>
      <c r="E266" s="148" t="s">
        <v>1044</v>
      </c>
      <c r="F266" s="166" t="str">
        <f>VLOOKUP(MP_registro[[#This Row],[TAG]],'DB-EQUIPOS GEN'!$C$11:$H$833,2,0)</f>
        <v>Valvula de control de ingreso de agua a desaireador</v>
      </c>
      <c r="G266" s="168" t="str">
        <f>VLOOKUP(MP_registro[[#This Row],[TAG]],'DB-EQUIPOS GEN'!$C$11:$H$833,3,0)</f>
        <v>E. TERMICA</v>
      </c>
      <c r="H266" s="168" t="str">
        <f>VLOOKUP(MP_registro[[#This Row],[TAG]],'DB-EQUIPOS GEN'!$C$11:$H$833,4,0)</f>
        <v>AGUA ALIMENTACION</v>
      </c>
      <c r="I266" s="168" t="str">
        <f>VLOOKUP(MP_registro[[#This Row],[TAG]],'DB-EQUIPOS GEN'!$C$11:$H$833,5,0)</f>
        <v>DESAIREADOR TERMICO</v>
      </c>
      <c r="J266" s="168" t="str">
        <f>VLOOKUP(MP_registro[[#This Row],[TAG]],'DB-EQUIPOS GEN'!$C$11:$H$833,6,0)</f>
        <v>0405DA020</v>
      </c>
      <c r="K266" s="149">
        <v>44714</v>
      </c>
      <c r="L266" s="150" t="s">
        <v>247</v>
      </c>
      <c r="M266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266" s="144" t="s">
        <v>1664</v>
      </c>
      <c r="O266" s="64" t="s">
        <v>1696</v>
      </c>
      <c r="Q266" s="42"/>
    </row>
    <row r="267" spans="1:17" ht="34.15" customHeight="1">
      <c r="A267" s="65">
        <v>266</v>
      </c>
      <c r="B267" s="77" t="s">
        <v>260</v>
      </c>
      <c r="C267" s="64" t="s">
        <v>1665</v>
      </c>
      <c r="D267" s="77" t="s">
        <v>1673</v>
      </c>
      <c r="E267" s="154" t="s">
        <v>2407</v>
      </c>
      <c r="F267" s="166" t="str">
        <f>VLOOKUP(MP_registro[[#This Row],[TAG]],'DB-EQUIPOS GEN'!$C$11:$H$833,2,0)</f>
        <v>Vista Molino Secador - Conductor Intermedio</v>
      </c>
      <c r="G267" s="168" t="str">
        <f>VLOOKUP(MP_registro[[#This Row],[TAG]],'DB-EQUIPOS GEN'!$C$11:$H$833,3,0)</f>
        <v>EXTRACCION</v>
      </c>
      <c r="H267" s="168" t="str">
        <f>VLOOKUP(MP_registro[[#This Row],[TAG]],'DB-EQUIPOS GEN'!$C$11:$H$833,4,0)</f>
        <v>MOLINOS</v>
      </c>
      <c r="I267" s="168" t="str">
        <f>VLOOKUP(MP_registro[[#This Row],[TAG]],'DB-EQUIPOS GEN'!$C$11:$H$833,5,0)</f>
        <v>CONDUCTOR INTERMEDIO - MOLINO SECADOR</v>
      </c>
      <c r="J267" s="168" t="str">
        <f>VLOOKUP(MP_registro[[#This Row],[TAG]],'DB-EQUIPOS GEN'!$C$11:$H$833,6,0)</f>
        <v>0210CV070</v>
      </c>
      <c r="K267" s="149">
        <v>44714</v>
      </c>
      <c r="L267" s="150" t="s">
        <v>249</v>
      </c>
      <c r="M267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267" s="144" t="s">
        <v>1664</v>
      </c>
      <c r="O267" s="64" t="s">
        <v>1696</v>
      </c>
      <c r="Q267" s="42"/>
    </row>
    <row r="268" spans="1:17" ht="34.15" customHeight="1">
      <c r="A268" s="64">
        <v>267</v>
      </c>
      <c r="B268" s="77" t="s">
        <v>260</v>
      </c>
      <c r="C268" s="64" t="s">
        <v>1665</v>
      </c>
      <c r="D268" s="77" t="s">
        <v>1674</v>
      </c>
      <c r="E268" s="148" t="s">
        <v>2407</v>
      </c>
      <c r="F268" s="166" t="str">
        <f>VLOOKUP(MP_registro[[#This Row],[TAG]],'DB-EQUIPOS GEN'!$C$11:$H$833,2,0)</f>
        <v>Vista Molino Secador - Conductor Intermedio</v>
      </c>
      <c r="G268" s="168" t="str">
        <f>VLOOKUP(MP_registro[[#This Row],[TAG]],'DB-EQUIPOS GEN'!$C$11:$H$833,3,0)</f>
        <v>EXTRACCION</v>
      </c>
      <c r="H268" s="168" t="str">
        <f>VLOOKUP(MP_registro[[#This Row],[TAG]],'DB-EQUIPOS GEN'!$C$11:$H$833,4,0)</f>
        <v>MOLINOS</v>
      </c>
      <c r="I268" s="168" t="str">
        <f>VLOOKUP(MP_registro[[#This Row],[TAG]],'DB-EQUIPOS GEN'!$C$11:$H$833,5,0)</f>
        <v>CONDUCTOR INTERMEDIO - MOLINO SECADOR</v>
      </c>
      <c r="J268" s="168" t="str">
        <f>VLOOKUP(MP_registro[[#This Row],[TAG]],'DB-EQUIPOS GEN'!$C$11:$H$833,6,0)</f>
        <v>0210CV070</v>
      </c>
      <c r="K268" s="149">
        <v>44714</v>
      </c>
      <c r="L268" s="150" t="s">
        <v>247</v>
      </c>
      <c r="M268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268" s="144" t="s">
        <v>1664</v>
      </c>
      <c r="O268" s="64" t="s">
        <v>1696</v>
      </c>
      <c r="Q268" s="42"/>
    </row>
    <row r="269" spans="1:17" ht="34.15" customHeight="1">
      <c r="A269" s="65">
        <v>268</v>
      </c>
      <c r="B269" s="77" t="s">
        <v>260</v>
      </c>
      <c r="C269" s="64" t="s">
        <v>1665</v>
      </c>
      <c r="D269" s="77" t="s">
        <v>1675</v>
      </c>
      <c r="E269" s="148" t="s">
        <v>2407</v>
      </c>
      <c r="F269" s="166" t="str">
        <f>VLOOKUP(MP_registro[[#This Row],[TAG]],'DB-EQUIPOS GEN'!$C$11:$H$833,2,0)</f>
        <v>Vista Molino Secador - Conductor Intermedio</v>
      </c>
      <c r="G269" s="168" t="str">
        <f>VLOOKUP(MP_registro[[#This Row],[TAG]],'DB-EQUIPOS GEN'!$C$11:$H$833,3,0)</f>
        <v>EXTRACCION</v>
      </c>
      <c r="H269" s="168" t="str">
        <f>VLOOKUP(MP_registro[[#This Row],[TAG]],'DB-EQUIPOS GEN'!$C$11:$H$833,4,0)</f>
        <v>MOLINOS</v>
      </c>
      <c r="I269" s="168" t="str">
        <f>VLOOKUP(MP_registro[[#This Row],[TAG]],'DB-EQUIPOS GEN'!$C$11:$H$833,5,0)</f>
        <v>CONDUCTOR INTERMEDIO - MOLINO SECADOR</v>
      </c>
      <c r="J269" s="168" t="str">
        <f>VLOOKUP(MP_registro[[#This Row],[TAG]],'DB-EQUIPOS GEN'!$C$11:$H$833,6,0)</f>
        <v>0210CV070</v>
      </c>
      <c r="K269" s="149">
        <v>44714</v>
      </c>
      <c r="L269" s="150" t="s">
        <v>249</v>
      </c>
      <c r="M269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269" s="144" t="s">
        <v>1664</v>
      </c>
      <c r="O269" s="64" t="s">
        <v>1696</v>
      </c>
      <c r="Q269" s="42"/>
    </row>
    <row r="270" spans="1:17" ht="34.15" customHeight="1">
      <c r="A270" s="64">
        <v>269</v>
      </c>
      <c r="B270" s="77" t="s">
        <v>260</v>
      </c>
      <c r="C270" s="64" t="s">
        <v>1665</v>
      </c>
      <c r="D270" s="77" t="s">
        <v>1676</v>
      </c>
      <c r="E270" s="148" t="s">
        <v>1652</v>
      </c>
      <c r="F270" s="166" t="str">
        <f>VLOOKUP(MP_registro[[#This Row],[TAG]],'DB-EQUIPOS GEN'!$C$11:$H$833,2,0)</f>
        <v>Faja 1006A - Patio de Bagazo</v>
      </c>
      <c r="G270" s="168" t="str">
        <f>VLOOKUP(MP_registro[[#This Row],[TAG]],'DB-EQUIPOS GEN'!$C$11:$H$833,3,0)</f>
        <v>E. TERMICA</v>
      </c>
      <c r="H270" s="168" t="str">
        <f>VLOOKUP(MP_registro[[#This Row],[TAG]],'DB-EQUIPOS GEN'!$C$11:$H$833,4,0)</f>
        <v>TRANSPORTE DE BAGAZO</v>
      </c>
      <c r="I270" s="168" t="str">
        <f>VLOOKUP(MP_registro[[#This Row],[TAG]],'DB-EQUIPOS GEN'!$C$11:$H$833,5,0)</f>
        <v>FAJA TRANSPORTADORA 1006 A</v>
      </c>
      <c r="J270" s="168" t="str">
        <f>VLOOKUP(MP_registro[[#This Row],[TAG]],'DB-EQUIPOS GEN'!$C$11:$H$833,6,0)</f>
        <v>0805CV080</v>
      </c>
      <c r="K270" s="149">
        <v>44714</v>
      </c>
      <c r="L270" s="150" t="s">
        <v>247</v>
      </c>
      <c r="M270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270" s="144" t="s">
        <v>1664</v>
      </c>
      <c r="O270" s="64" t="s">
        <v>1696</v>
      </c>
      <c r="Q270" s="42"/>
    </row>
    <row r="271" spans="1:17" ht="34.15" customHeight="1">
      <c r="A271" s="65">
        <v>270</v>
      </c>
      <c r="B271" s="77" t="s">
        <v>260</v>
      </c>
      <c r="C271" s="64" t="s">
        <v>1665</v>
      </c>
      <c r="D271" s="77" t="s">
        <v>1677</v>
      </c>
      <c r="E271" s="148" t="s">
        <v>1046</v>
      </c>
      <c r="F271" s="166" t="str">
        <f>VLOOKUP(MP_registro[[#This Row],[TAG]],'DB-EQUIPOS GEN'!$C$11:$H$833,2,0)</f>
        <v>Valvula de control de ingreso de agua a desaireador</v>
      </c>
      <c r="G271" s="168" t="str">
        <f>VLOOKUP(MP_registro[[#This Row],[TAG]],'DB-EQUIPOS GEN'!$C$11:$H$833,3,0)</f>
        <v>E. TERMICA</v>
      </c>
      <c r="H271" s="168" t="str">
        <f>VLOOKUP(MP_registro[[#This Row],[TAG]],'DB-EQUIPOS GEN'!$C$11:$H$833,4,0)</f>
        <v>AGUA ALIMENTACION</v>
      </c>
      <c r="I271" s="168" t="str">
        <f>VLOOKUP(MP_registro[[#This Row],[TAG]],'DB-EQUIPOS GEN'!$C$11:$H$833,5,0)</f>
        <v>DESAIREADOR TERMICO</v>
      </c>
      <c r="J271" s="168" t="str">
        <f>VLOOKUP(MP_registro[[#This Row],[TAG]],'DB-EQUIPOS GEN'!$C$11:$H$833,6,0)</f>
        <v>0405DA020</v>
      </c>
      <c r="K271" s="149">
        <v>44715</v>
      </c>
      <c r="L271" s="150" t="s">
        <v>249</v>
      </c>
      <c r="M271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271" s="144" t="s">
        <v>1664</v>
      </c>
      <c r="O271" s="64" t="s">
        <v>1696</v>
      </c>
      <c r="Q271" s="42"/>
    </row>
    <row r="272" spans="1:17" ht="34.15" customHeight="1">
      <c r="A272" s="64">
        <v>271</v>
      </c>
      <c r="B272" s="77" t="s">
        <v>260</v>
      </c>
      <c r="C272" s="64" t="s">
        <v>1665</v>
      </c>
      <c r="D272" s="77" t="s">
        <v>1678</v>
      </c>
      <c r="E272" s="154" t="s">
        <v>1694</v>
      </c>
      <c r="F272" s="166" t="str">
        <f>VLOOKUP(MP_registro[[#This Row],[TAG]],'DB-EQUIPOS GEN'!$C$11:$H$833,2,0)</f>
        <v>Aire Instrumentacion p/ Caldera</v>
      </c>
      <c r="G272" s="168" t="str">
        <f>VLOOKUP(MP_registro[[#This Row],[TAG]],'DB-EQUIPOS GEN'!$C$11:$H$833,3,0)</f>
        <v>E. ELECTRICA</v>
      </c>
      <c r="H272" s="168" t="str">
        <f>VLOOKUP(MP_registro[[#This Row],[TAG]],'DB-EQUIPOS GEN'!$C$11:$H$833,4,0)</f>
        <v>GENERACION ENERG. ELEC. TURBO GENERADOR</v>
      </c>
      <c r="I272" s="168" t="str">
        <f>VLOOKUP(MP_registro[[#This Row],[TAG]],'DB-EQUIPOS GEN'!$C$11:$H$833,5,0)</f>
        <v/>
      </c>
      <c r="J272" s="168" t="str">
        <f>VLOOKUP(MP_registro[[#This Row],[TAG]],'DB-EQUIPOS GEN'!$C$11:$H$833,6,0)</f>
        <v/>
      </c>
      <c r="K272" s="149">
        <v>44715</v>
      </c>
      <c r="L272" s="150" t="s">
        <v>249</v>
      </c>
      <c r="M272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272" s="144" t="s">
        <v>1664</v>
      </c>
      <c r="O272" s="64" t="s">
        <v>1696</v>
      </c>
      <c r="Q272" s="42"/>
    </row>
    <row r="273" spans="1:17" ht="34.15" customHeight="1">
      <c r="A273" s="65">
        <v>272</v>
      </c>
      <c r="B273" s="77" t="s">
        <v>260</v>
      </c>
      <c r="C273" s="64" t="s">
        <v>1665</v>
      </c>
      <c r="D273" s="77" t="s">
        <v>1679</v>
      </c>
      <c r="E273" s="148" t="s">
        <v>1644</v>
      </c>
      <c r="F273" s="166" t="str">
        <f>VLOOKUP(MP_registro[[#This Row],[TAG]],'DB-EQUIPOS GEN'!$C$11:$H$833,2,0)</f>
        <v>Explanada de Turbina Triveni</v>
      </c>
      <c r="G273" s="168" t="str">
        <f>VLOOKUP(MP_registro[[#This Row],[TAG]],'DB-EQUIPOS GEN'!$C$11:$H$833,3,0)</f>
        <v>E. ELECTRICA</v>
      </c>
      <c r="H273" s="168" t="str">
        <f>VLOOKUP(MP_registro[[#This Row],[TAG]],'DB-EQUIPOS GEN'!$C$11:$H$833,4,0)</f>
        <v>GENERACIÓN ENERG. ELEC. TURBO GENERADOR</v>
      </c>
      <c r="I273" s="168" t="str">
        <f>VLOOKUP(MP_registro[[#This Row],[TAG]],'DB-EQUIPOS GEN'!$C$11:$H$833,5,0)</f>
        <v>TURBOGENERADOR TRIVENI 23.2 MW</v>
      </c>
      <c r="J273" s="168" t="str">
        <f>VLOOKUP(MP_registro[[#This Row],[TAG]],'DB-EQUIPOS GEN'!$C$11:$H$833,6,0)</f>
        <v>0430TG020</v>
      </c>
      <c r="K273" s="149">
        <v>44715</v>
      </c>
      <c r="L273" s="150" t="s">
        <v>245</v>
      </c>
      <c r="M273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73" s="144" t="s">
        <v>1664</v>
      </c>
      <c r="O273" s="64" t="s">
        <v>1696</v>
      </c>
      <c r="Q273" s="42"/>
    </row>
    <row r="274" spans="1:17" ht="34.15" customHeight="1">
      <c r="A274" s="64">
        <v>273</v>
      </c>
      <c r="B274" s="77" t="s">
        <v>260</v>
      </c>
      <c r="C274" s="64" t="s">
        <v>1665</v>
      </c>
      <c r="D274" s="77" t="s">
        <v>1680</v>
      </c>
      <c r="E274" s="148" t="s">
        <v>1646</v>
      </c>
      <c r="F274" s="166" t="str">
        <f>VLOOKUP(MP_registro[[#This Row],[TAG]],'DB-EQUIPOS GEN'!$C$11:$H$833,2,0)</f>
        <v>Segundo nivel de Turbina TGM</v>
      </c>
      <c r="G274" s="168" t="str">
        <f>VLOOKUP(MP_registro[[#This Row],[TAG]],'DB-EQUIPOS GEN'!$C$11:$H$833,3,0)</f>
        <v>E. ELECTRICA</v>
      </c>
      <c r="H274" s="168" t="str">
        <f>VLOOKUP(MP_registro[[#This Row],[TAG]],'DB-EQUIPOS GEN'!$C$11:$H$833,4,0)</f>
        <v>SISTEMA DE ENFRIAMIENTO</v>
      </c>
      <c r="I274" s="168" t="str">
        <f>VLOOKUP(MP_registro[[#This Row],[TAG]],'DB-EQUIPOS GEN'!$C$11:$H$833,5,0)</f>
        <v>TORRE DE ENFRIAMIENTO MARLEY - TG TGM</v>
      </c>
      <c r="J274" s="168" t="str">
        <f>VLOOKUP(MP_registro[[#This Row],[TAG]],'DB-EQUIPOS GEN'!$C$11:$H$833,6,0)</f>
        <v>0430CT050</v>
      </c>
      <c r="K274" s="149">
        <v>44715</v>
      </c>
      <c r="L274" s="150" t="s">
        <v>245</v>
      </c>
      <c r="M274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74" s="144" t="s">
        <v>1664</v>
      </c>
      <c r="O274" s="64" t="s">
        <v>1696</v>
      </c>
      <c r="Q274" s="42"/>
    </row>
    <row r="275" spans="1:17" ht="34.15" customHeight="1">
      <c r="A275" s="65">
        <v>274</v>
      </c>
      <c r="B275" s="77" t="s">
        <v>260</v>
      </c>
      <c r="C275" s="64" t="s">
        <v>1665</v>
      </c>
      <c r="D275" s="77" t="s">
        <v>1681</v>
      </c>
      <c r="E275" s="148" t="s">
        <v>1647</v>
      </c>
      <c r="F275" s="166" t="str">
        <f>VLOOKUP(MP_registro[[#This Row],[TAG]],'DB-EQUIPOS GEN'!$C$11:$H$833,2,0)</f>
        <v>Explanada frontal de Turbina Triveni</v>
      </c>
      <c r="G275" s="168" t="str">
        <f>VLOOKUP(MP_registro[[#This Row],[TAG]],'DB-EQUIPOS GEN'!$C$11:$H$833,3,0)</f>
        <v>E. ELECTRICA</v>
      </c>
      <c r="H275" s="168" t="str">
        <f>VLOOKUP(MP_registro[[#This Row],[TAG]],'DB-EQUIPOS GEN'!$C$11:$H$833,4,0)</f>
        <v>GENERACIÓN ENERG. ELEC. TURBO GENERADOR</v>
      </c>
      <c r="I275" s="168" t="str">
        <f>VLOOKUP(MP_registro[[#This Row],[TAG]],'DB-EQUIPOS GEN'!$C$11:$H$833,5,0)</f>
        <v>TURBOGENERADOR TRIVENI 23.2 MW</v>
      </c>
      <c r="J275" s="168" t="str">
        <f>VLOOKUP(MP_registro[[#This Row],[TAG]],'DB-EQUIPOS GEN'!$C$11:$H$833,6,0)</f>
        <v>0430TG020</v>
      </c>
      <c r="K275" s="149">
        <v>44715</v>
      </c>
      <c r="L275" s="150" t="s">
        <v>245</v>
      </c>
      <c r="M275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75" s="144" t="s">
        <v>1664</v>
      </c>
      <c r="O275" s="64" t="s">
        <v>1696</v>
      </c>
      <c r="Q275" s="42"/>
    </row>
    <row r="276" spans="1:17" ht="34.15" customHeight="1">
      <c r="A276" s="64">
        <v>275</v>
      </c>
      <c r="B276" s="77" t="s">
        <v>260</v>
      </c>
      <c r="C276" s="64" t="s">
        <v>1665</v>
      </c>
      <c r="D276" s="77" t="s">
        <v>1682</v>
      </c>
      <c r="E276" s="148" t="s">
        <v>1650</v>
      </c>
      <c r="F276" s="166" t="str">
        <f>VLOOKUP(MP_registro[[#This Row],[TAG]],'DB-EQUIPOS GEN'!$C$11:$H$833,2,0)</f>
        <v>Faja 1003 - Conductor distribuidor de bagazo</v>
      </c>
      <c r="G276" s="168" t="str">
        <f>VLOOKUP(MP_registro[[#This Row],[TAG]],'DB-EQUIPOS GEN'!$C$11:$H$833,3,0)</f>
        <v>E. TERMICA</v>
      </c>
      <c r="H276" s="168" t="str">
        <f>VLOOKUP(MP_registro[[#This Row],[TAG]],'DB-EQUIPOS GEN'!$C$11:$H$833,4,0)</f>
        <v>TRANSPORTE DE BAGAZO</v>
      </c>
      <c r="I276" s="168" t="str">
        <f>VLOOKUP(MP_registro[[#This Row],[TAG]],'DB-EQUIPOS GEN'!$C$11:$H$833,5,0)</f>
        <v>TRANSPORTADOR DE BAGAZO 1003</v>
      </c>
      <c r="J276" s="168" t="str">
        <f>VLOOKUP(MP_registro[[#This Row],[TAG]],'DB-EQUIPOS GEN'!$C$11:$H$833,6,0)</f>
        <v>0805CV060</v>
      </c>
      <c r="K276" s="149">
        <v>44715</v>
      </c>
      <c r="L276" s="150" t="s">
        <v>247</v>
      </c>
      <c r="M276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276" s="144" t="s">
        <v>1664</v>
      </c>
      <c r="O276" s="64" t="s">
        <v>1696</v>
      </c>
      <c r="Q276" s="42"/>
    </row>
    <row r="277" spans="1:17" ht="34.15" customHeight="1">
      <c r="A277" s="65">
        <v>276</v>
      </c>
      <c r="B277" s="77" t="s">
        <v>260</v>
      </c>
      <c r="C277" s="64" t="s">
        <v>1665</v>
      </c>
      <c r="D277" s="77" t="s">
        <v>1683</v>
      </c>
      <c r="E277" s="148" t="s">
        <v>1654</v>
      </c>
      <c r="F277" s="166" t="str">
        <f>VLOOKUP(MP_registro[[#This Row],[TAG]],'DB-EQUIPOS GEN'!$C$11:$H$833,2,0)</f>
        <v>Vista global de sala turbina TGM</v>
      </c>
      <c r="G277" s="168" t="str">
        <f>VLOOKUP(MP_registro[[#This Row],[TAG]],'DB-EQUIPOS GEN'!$C$11:$H$833,3,0)</f>
        <v>E. ELECTRICA</v>
      </c>
      <c r="H277" s="168" t="str">
        <f>VLOOKUP(MP_registro[[#This Row],[TAG]],'DB-EQUIPOS GEN'!$C$11:$H$833,4,0)</f>
        <v>SISTEMA DE ENFRIAMIENTO</v>
      </c>
      <c r="I277" s="168" t="str">
        <f>VLOOKUP(MP_registro[[#This Row],[TAG]],'DB-EQUIPOS GEN'!$C$11:$H$833,5,0)</f>
        <v>TORRE DE ENFRIAMIENTO MARLEY - TG TGM</v>
      </c>
      <c r="J277" s="168" t="str">
        <f>VLOOKUP(MP_registro[[#This Row],[TAG]],'DB-EQUIPOS GEN'!$C$11:$H$833,6,0)</f>
        <v>0430CT050</v>
      </c>
      <c r="K277" s="149">
        <v>44715</v>
      </c>
      <c r="L277" s="150" t="s">
        <v>245</v>
      </c>
      <c r="M277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77" s="144" t="s">
        <v>1664</v>
      </c>
      <c r="O277" s="64" t="s">
        <v>1696</v>
      </c>
      <c r="Q277" s="42"/>
    </row>
    <row r="278" spans="1:17" ht="34.15" customHeight="1">
      <c r="A278" s="64">
        <v>277</v>
      </c>
      <c r="B278" s="77" t="s">
        <v>260</v>
      </c>
      <c r="C278" s="64" t="s">
        <v>1665</v>
      </c>
      <c r="D278" s="77" t="s">
        <v>1684</v>
      </c>
      <c r="E278" s="148" t="s">
        <v>1040</v>
      </c>
      <c r="F278" s="166" t="str">
        <f>VLOOKUP(MP_registro[[#This Row],[TAG]],'DB-EQUIPOS GEN'!$C$11:$H$833,2,0)</f>
        <v>Valvula de control de ingreso de vapor a desaireador</v>
      </c>
      <c r="G278" s="168" t="str">
        <f>VLOOKUP(MP_registro[[#This Row],[TAG]],'DB-EQUIPOS GEN'!$C$11:$H$833,3,0)</f>
        <v>E. TERMICA</v>
      </c>
      <c r="H278" s="168" t="str">
        <f>VLOOKUP(MP_registro[[#This Row],[TAG]],'DB-EQUIPOS GEN'!$C$11:$H$833,4,0)</f>
        <v>AGUA ALIMENTACION</v>
      </c>
      <c r="I278" s="168" t="str">
        <f>VLOOKUP(MP_registro[[#This Row],[TAG]],'DB-EQUIPOS GEN'!$C$11:$H$833,5,0)</f>
        <v>DESAIREADOR TERMICO</v>
      </c>
      <c r="J278" s="168" t="str">
        <f>VLOOKUP(MP_registro[[#This Row],[TAG]],'DB-EQUIPOS GEN'!$C$11:$H$833,6,0)</f>
        <v>0405DA020</v>
      </c>
      <c r="K278" s="149">
        <v>44716</v>
      </c>
      <c r="L278" s="150" t="s">
        <v>249</v>
      </c>
      <c r="M278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278" s="144" t="s">
        <v>1664</v>
      </c>
      <c r="O278" s="64" t="s">
        <v>1696</v>
      </c>
      <c r="Q278" s="42"/>
    </row>
    <row r="279" spans="1:17" ht="34.15" customHeight="1">
      <c r="A279" s="65">
        <v>278</v>
      </c>
      <c r="B279" s="77" t="s">
        <v>260</v>
      </c>
      <c r="C279" s="64" t="s">
        <v>1665</v>
      </c>
      <c r="D279" s="77" t="s">
        <v>1685</v>
      </c>
      <c r="E279" s="148" t="s">
        <v>754</v>
      </c>
      <c r="F279" s="166" t="str">
        <f>VLOOKUP(MP_registro[[#This Row],[TAG]],'DB-EQUIPOS GEN'!$C$11:$H$833,2,0)</f>
        <v>Brix de masa B - Celda 3</v>
      </c>
      <c r="G279" s="168" t="str">
        <f>VLOOKUP(MP_registro[[#This Row],[TAG]],'DB-EQUIPOS GEN'!$C$11:$H$833,3,0)</f>
        <v>PRODUCCION</v>
      </c>
      <c r="H279" s="168" t="str">
        <f>VLOOKUP(MP_registro[[#This Row],[TAG]],'DB-EQUIPOS GEN'!$C$11:$H$833,4,0)</f>
        <v>CRISTALIZACION POR COCCION</v>
      </c>
      <c r="I279" s="168" t="str">
        <f>VLOOKUP(MP_registro[[#This Row],[TAG]],'DB-EQUIPOS GEN'!$C$11:$H$833,5,0)</f>
        <v xml:space="preserve">TACHO CONTINUO B </v>
      </c>
      <c r="J279" s="168" t="str">
        <f>VLOOKUP(MP_registro[[#This Row],[TAG]],'DB-EQUIPOS GEN'!$C$11:$H$833,6,0)</f>
        <v xml:space="preserve"> 0335HX230</v>
      </c>
      <c r="K279" s="149">
        <v>44716</v>
      </c>
      <c r="L279" s="151" t="s">
        <v>245</v>
      </c>
      <c r="M279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79" s="144" t="s">
        <v>1664</v>
      </c>
      <c r="O279" s="64" t="s">
        <v>1696</v>
      </c>
      <c r="Q279" s="42"/>
    </row>
    <row r="280" spans="1:17" ht="34.15" customHeight="1">
      <c r="A280" s="64">
        <v>279</v>
      </c>
      <c r="B280" s="77" t="s">
        <v>260</v>
      </c>
      <c r="C280" s="64" t="s">
        <v>1665</v>
      </c>
      <c r="D280" s="77" t="s">
        <v>1686</v>
      </c>
      <c r="E280" s="148" t="s">
        <v>756</v>
      </c>
      <c r="F280" s="166" t="str">
        <f>VLOOKUP(MP_registro[[#This Row],[TAG]],'DB-EQUIPOS GEN'!$C$11:$H$833,2,0)</f>
        <v>Brix de masa B - Celda 4</v>
      </c>
      <c r="G280" s="168" t="str">
        <f>VLOOKUP(MP_registro[[#This Row],[TAG]],'DB-EQUIPOS GEN'!$C$11:$H$833,3,0)</f>
        <v>PRODUCCION</v>
      </c>
      <c r="H280" s="168" t="str">
        <f>VLOOKUP(MP_registro[[#This Row],[TAG]],'DB-EQUIPOS GEN'!$C$11:$H$833,4,0)</f>
        <v>CRISTALIZACION POR COCCION</v>
      </c>
      <c r="I280" s="168" t="str">
        <f>VLOOKUP(MP_registro[[#This Row],[TAG]],'DB-EQUIPOS GEN'!$C$11:$H$833,5,0)</f>
        <v xml:space="preserve">TACHO CONTINUO B </v>
      </c>
      <c r="J280" s="168" t="str">
        <f>VLOOKUP(MP_registro[[#This Row],[TAG]],'DB-EQUIPOS GEN'!$C$11:$H$833,6,0)</f>
        <v xml:space="preserve"> 0335HX230</v>
      </c>
      <c r="K280" s="149">
        <v>44716</v>
      </c>
      <c r="L280" s="151" t="s">
        <v>245</v>
      </c>
      <c r="M280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80" s="144" t="s">
        <v>1664</v>
      </c>
      <c r="O280" s="64" t="s">
        <v>1696</v>
      </c>
      <c r="Q280" s="42"/>
    </row>
    <row r="281" spans="1:17" ht="34.15" customHeight="1">
      <c r="A281" s="65">
        <v>280</v>
      </c>
      <c r="B281" s="77" t="s">
        <v>260</v>
      </c>
      <c r="C281" s="64" t="s">
        <v>1665</v>
      </c>
      <c r="D281" s="77" t="s">
        <v>1687</v>
      </c>
      <c r="E281" s="148" t="s">
        <v>758</v>
      </c>
      <c r="F281" s="166" t="str">
        <f>VLOOKUP(MP_registro[[#This Row],[TAG]],'DB-EQUIPOS GEN'!$C$11:$H$833,2,0)</f>
        <v>Brix de masa B - Celda 5</v>
      </c>
      <c r="G281" s="168" t="str">
        <f>VLOOKUP(MP_registro[[#This Row],[TAG]],'DB-EQUIPOS GEN'!$C$11:$H$833,3,0)</f>
        <v>PRODUCCION</v>
      </c>
      <c r="H281" s="168" t="str">
        <f>VLOOKUP(MP_registro[[#This Row],[TAG]],'DB-EQUIPOS GEN'!$C$11:$H$833,4,0)</f>
        <v>CRISTALIZACION POR COCCION</v>
      </c>
      <c r="I281" s="168" t="str">
        <f>VLOOKUP(MP_registro[[#This Row],[TAG]],'DB-EQUIPOS GEN'!$C$11:$H$833,5,0)</f>
        <v xml:space="preserve">TACHO CONTINUO B </v>
      </c>
      <c r="J281" s="168" t="str">
        <f>VLOOKUP(MP_registro[[#This Row],[TAG]],'DB-EQUIPOS GEN'!$C$11:$H$833,6,0)</f>
        <v xml:space="preserve"> 0335HX230</v>
      </c>
      <c r="K281" s="149">
        <v>44716</v>
      </c>
      <c r="L281" s="151" t="s">
        <v>245</v>
      </c>
      <c r="M281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81" s="144" t="s">
        <v>1664</v>
      </c>
      <c r="O281" s="64" t="s">
        <v>1696</v>
      </c>
      <c r="Q281" s="42"/>
    </row>
    <row r="282" spans="1:17" ht="34.15" customHeight="1">
      <c r="A282" s="64">
        <v>281</v>
      </c>
      <c r="B282" s="77" t="s">
        <v>260</v>
      </c>
      <c r="C282" s="64" t="s">
        <v>1665</v>
      </c>
      <c r="D282" s="77" t="s">
        <v>1688</v>
      </c>
      <c r="E282" s="148" t="s">
        <v>1643</v>
      </c>
      <c r="F282" s="166" t="str">
        <f>VLOOKUP(MP_registro[[#This Row],[TAG]],'DB-EQUIPOS GEN'!$C$11:$H$833,2,0)</f>
        <v>Nivelador de cama de bagazo en difusor</v>
      </c>
      <c r="G282" s="168" t="str">
        <f>VLOOKUP(MP_registro[[#This Row],[TAG]],'DB-EQUIPOS GEN'!$C$11:$H$833,3,0)</f>
        <v>EXTRACCION</v>
      </c>
      <c r="H282" s="168" t="str">
        <f>VLOOKUP(MP_registro[[#This Row],[TAG]],'DB-EQUIPOS GEN'!$C$11:$H$833,4,0)</f>
        <v>DIFUSOR</v>
      </c>
      <c r="I282" s="168" t="str">
        <f>VLOOKUP(MP_registro[[#This Row],[TAG]],'DB-EQUIPOS GEN'!$C$11:$H$833,5,0)</f>
        <v>CONDUCTOR TRANSVERSAL</v>
      </c>
      <c r="J282" s="168" t="str">
        <f>VLOOKUP(MP_registro[[#This Row],[TAG]],'DB-EQUIPOS GEN'!$C$11:$H$833,6,0)</f>
        <v>0205CV190</v>
      </c>
      <c r="K282" s="149">
        <v>44716</v>
      </c>
      <c r="L282" s="151" t="s">
        <v>245</v>
      </c>
      <c r="M282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82" s="144" t="s">
        <v>1664</v>
      </c>
      <c r="O282" s="64" t="s">
        <v>1696</v>
      </c>
      <c r="Q282" s="42"/>
    </row>
    <row r="283" spans="1:17" ht="34.15" customHeight="1">
      <c r="A283" s="65">
        <v>282</v>
      </c>
      <c r="B283" s="77" t="s">
        <v>260</v>
      </c>
      <c r="C283" s="64" t="s">
        <v>1665</v>
      </c>
      <c r="D283" s="77" t="s">
        <v>1689</v>
      </c>
      <c r="E283" s="148" t="s">
        <v>1645</v>
      </c>
      <c r="F283" s="166" t="str">
        <f>VLOOKUP(MP_registro[[#This Row],[TAG]],'DB-EQUIPOS GEN'!$C$11:$H$833,2,0)</f>
        <v>Tamiz rotativo</v>
      </c>
      <c r="G283" s="168" t="str">
        <f>VLOOKUP(MP_registro[[#This Row],[TAG]],'DB-EQUIPOS GEN'!$C$11:$H$833,3,0)</f>
        <v>EXTRACCION</v>
      </c>
      <c r="H283" s="168" t="str">
        <f>VLOOKUP(MP_registro[[#This Row],[TAG]],'DB-EQUIPOS GEN'!$C$11:$H$833,4,0)</f>
        <v>DIFUSOR</v>
      </c>
      <c r="I283" s="168" t="str">
        <f>VLOOKUP(MP_registro[[#This Row],[TAG]],'DB-EQUIPOS GEN'!$C$11:$H$833,5,0)</f>
        <v>TAMIZ ROTATIVO</v>
      </c>
      <c r="J283" s="168" t="str">
        <f>VLOOKUP(MP_registro[[#This Row],[TAG]],'DB-EQUIPOS GEN'!$C$11:$H$833,6,0)</f>
        <v>0305FL010</v>
      </c>
      <c r="K283" s="149">
        <v>44716</v>
      </c>
      <c r="L283" s="151" t="s">
        <v>245</v>
      </c>
      <c r="M283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83" s="144" t="s">
        <v>1664</v>
      </c>
      <c r="O283" s="64" t="s">
        <v>1696</v>
      </c>
      <c r="Q283" s="42"/>
    </row>
    <row r="284" spans="1:17" ht="34.15" customHeight="1">
      <c r="A284" s="64">
        <v>283</v>
      </c>
      <c r="B284" s="77" t="s">
        <v>260</v>
      </c>
      <c r="C284" s="64" t="s">
        <v>1665</v>
      </c>
      <c r="D284" s="77" t="s">
        <v>1690</v>
      </c>
      <c r="E284" s="148" t="s">
        <v>1042</v>
      </c>
      <c r="F284" s="166" t="str">
        <f>VLOOKUP(MP_registro[[#This Row],[TAG]],'DB-EQUIPOS GEN'!$C$11:$H$833,2,0)</f>
        <v>Valvula de control de ingreso de vapor a desaireador</v>
      </c>
      <c r="G284" s="168" t="str">
        <f>VLOOKUP(MP_registro[[#This Row],[TAG]],'DB-EQUIPOS GEN'!$C$11:$H$833,3,0)</f>
        <v>E. TERMICA</v>
      </c>
      <c r="H284" s="168" t="str">
        <f>VLOOKUP(MP_registro[[#This Row],[TAG]],'DB-EQUIPOS GEN'!$C$11:$H$833,4,0)</f>
        <v>AGUA ALIMENTACION</v>
      </c>
      <c r="I284" s="168" t="str">
        <f>VLOOKUP(MP_registro[[#This Row],[TAG]],'DB-EQUIPOS GEN'!$C$11:$H$833,5,0)</f>
        <v>DESAIREADOR TERMICO</v>
      </c>
      <c r="J284" s="168" t="str">
        <f>VLOOKUP(MP_registro[[#This Row],[TAG]],'DB-EQUIPOS GEN'!$C$11:$H$833,6,0)</f>
        <v>0405DA020</v>
      </c>
      <c r="K284" s="149">
        <v>44717</v>
      </c>
      <c r="L284" s="150" t="s">
        <v>247</v>
      </c>
      <c r="M284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284" s="144" t="s">
        <v>1664</v>
      </c>
      <c r="O284" s="64" t="s">
        <v>1696</v>
      </c>
      <c r="Q284" s="42"/>
    </row>
    <row r="285" spans="1:17" ht="34.15" customHeight="1">
      <c r="A285" s="65">
        <v>284</v>
      </c>
      <c r="B285" s="77" t="s">
        <v>260</v>
      </c>
      <c r="C285" s="64" t="s">
        <v>1665</v>
      </c>
      <c r="D285" s="77" t="s">
        <v>1691</v>
      </c>
      <c r="E285" s="154" t="s">
        <v>2416</v>
      </c>
      <c r="F285" s="166" t="str">
        <f>VLOOKUP(MP_registro[[#This Row],[TAG]],'DB-EQUIPOS GEN'!$C$11:$H$833,2,0)</f>
        <v>Vista Conductor Auxiliar - Superior</v>
      </c>
      <c r="G285" s="168" t="str">
        <f>VLOOKUP(MP_registro[[#This Row],[TAG]],'DB-EQUIPOS GEN'!$C$11:$H$833,3,0)</f>
        <v>EXTRACCION</v>
      </c>
      <c r="H285" s="168" t="str">
        <f>VLOOKUP(MP_registro[[#This Row],[TAG]],'DB-EQUIPOS GEN'!$C$11:$H$833,4,0)</f>
        <v>PREPARACIÓN DE CAÑA</v>
      </c>
      <c r="I285" s="168" t="str">
        <f>VLOOKUP(MP_registro[[#This Row],[TAG]],'DB-EQUIPOS GEN'!$C$11:$H$833,5,0)</f>
        <v>CONDUCTOR AUXILIAR DE CAÑA</v>
      </c>
      <c r="J285" s="168" t="str">
        <f>VLOOKUP(MP_registro[[#This Row],[TAG]],'DB-EQUIPOS GEN'!$C$11:$H$833,6,0)</f>
        <v>0115CV010</v>
      </c>
      <c r="K285" s="149">
        <v>44717</v>
      </c>
      <c r="L285" s="151" t="s">
        <v>245</v>
      </c>
      <c r="M285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85" s="144" t="s">
        <v>1664</v>
      </c>
      <c r="O285" s="64" t="s">
        <v>1696</v>
      </c>
      <c r="Q285" s="42"/>
    </row>
    <row r="286" spans="1:17" ht="34.15" customHeight="1">
      <c r="A286" s="64">
        <v>285</v>
      </c>
      <c r="B286" s="77" t="s">
        <v>260</v>
      </c>
      <c r="C286" s="64" t="s">
        <v>1665</v>
      </c>
      <c r="D286" s="77" t="s">
        <v>1692</v>
      </c>
      <c r="E286" s="154" t="s">
        <v>2406</v>
      </c>
      <c r="F286" s="166" t="str">
        <f>VLOOKUP(MP_registro[[#This Row],[TAG]],'DB-EQUIPOS GEN'!$C$11:$H$833,2,0)</f>
        <v>Vista Mesa de Caña - Descarga de Tetras</v>
      </c>
      <c r="G286" s="168" t="str">
        <f>VLOOKUP(MP_registro[[#This Row],[TAG]],'DB-EQUIPOS GEN'!$C$11:$H$833,3,0)</f>
        <v>EXTRACCION</v>
      </c>
      <c r="H286" s="168" t="str">
        <f>VLOOKUP(MP_registro[[#This Row],[TAG]],'DB-EQUIPOS GEN'!$C$11:$H$833,4,0)</f>
        <v>RECEPCIÓN DE CAÑA</v>
      </c>
      <c r="I286" s="168" t="str">
        <f>VLOOKUP(MP_registro[[#This Row],[TAG]],'DB-EQUIPOS GEN'!$C$11:$H$833,5,0)</f>
        <v>MESA DE CAÑA</v>
      </c>
      <c r="J286" s="168" t="str">
        <f>VLOOKUP(MP_registro[[#This Row],[TAG]],'DB-EQUIPOS GEN'!$C$11:$H$833,6,0)</f>
        <v>0110FE019</v>
      </c>
      <c r="K286" s="149">
        <v>44717</v>
      </c>
      <c r="L286" s="150" t="s">
        <v>247</v>
      </c>
      <c r="M286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286" s="144" t="s">
        <v>1664</v>
      </c>
      <c r="O286" s="64" t="s">
        <v>1696</v>
      </c>
      <c r="Q286" s="42"/>
    </row>
    <row r="287" spans="1:17" ht="34.15" customHeight="1">
      <c r="A287" s="65">
        <v>286</v>
      </c>
      <c r="B287" s="77" t="s">
        <v>260</v>
      </c>
      <c r="C287" s="64" t="s">
        <v>1693</v>
      </c>
      <c r="D287" s="151" t="s">
        <v>1697</v>
      </c>
      <c r="E287" s="148" t="s">
        <v>1051</v>
      </c>
      <c r="F287" s="166" t="str">
        <f>VLOOKUP(MP_registro[[#This Row],[TAG]],'DB-EQUIPOS GEN'!$C$11:$H$833,2,0)</f>
        <v>Valvula de sopladores de hollin</v>
      </c>
      <c r="G287" s="168" t="str">
        <f>VLOOKUP(MP_registro[[#This Row],[TAG]],'DB-EQUIPOS GEN'!$C$11:$H$833,3,0)</f>
        <v>E. TERMICA</v>
      </c>
      <c r="H287" s="168" t="str">
        <f>VLOOKUP(MP_registro[[#This Row],[TAG]],'DB-EQUIPOS GEN'!$C$11:$H$833,4,0)</f>
        <v>GENERACION DE VAPOR</v>
      </c>
      <c r="I287" s="168" t="str">
        <f>VLOOKUP(MP_registro[[#This Row],[TAG]],'DB-EQUIPOS GEN'!$C$11:$H$833,5,0)</f>
        <v>SOPLADOR DE HOLLIN 1</v>
      </c>
      <c r="J287" s="168" t="str">
        <f>VLOOKUP(MP_registro[[#This Row],[TAG]],'DB-EQUIPOS GEN'!$C$11:$H$833,6,0)</f>
        <v>0405BL010</v>
      </c>
      <c r="K287" s="149">
        <v>44718</v>
      </c>
      <c r="L287" s="150" t="s">
        <v>247</v>
      </c>
      <c r="M287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287" s="144" t="s">
        <v>1664</v>
      </c>
      <c r="O287" s="64" t="s">
        <v>1696</v>
      </c>
      <c r="Q287" s="42"/>
    </row>
    <row r="288" spans="1:17" ht="34.15" customHeight="1">
      <c r="A288" s="64">
        <v>287</v>
      </c>
      <c r="B288" s="77" t="s">
        <v>260</v>
      </c>
      <c r="C288" s="64" t="s">
        <v>1693</v>
      </c>
      <c r="D288" s="151" t="s">
        <v>1698</v>
      </c>
      <c r="E288" s="148" t="s">
        <v>1640</v>
      </c>
      <c r="F288" s="166" t="str">
        <f>VLOOKUP(MP_registro[[#This Row],[TAG]],'DB-EQUIPOS GEN'!$C$11:$H$833,2,0)</f>
        <v>Conductor de alimentación a difusor y retorno</v>
      </c>
      <c r="G288" s="168" t="str">
        <f>VLOOKUP(MP_registro[[#This Row],[TAG]],'DB-EQUIPOS GEN'!$C$11:$H$833,3,0)</f>
        <v>EXTRACCION</v>
      </c>
      <c r="H288" s="168" t="str">
        <f>VLOOKUP(MP_registro[[#This Row],[TAG]],'DB-EQUIPOS GEN'!$C$11:$H$833,4,0)</f>
        <v>PREPARACIÓN DE CAÑA</v>
      </c>
      <c r="I288" s="168" t="str">
        <f>VLOOKUP(MP_registro[[#This Row],[TAG]],'DB-EQUIPOS GEN'!$C$11:$H$833,5,0)</f>
        <v>CONDUCTOR DE RETORNO</v>
      </c>
      <c r="J288" s="168" t="str">
        <f>VLOOKUP(MP_registro[[#This Row],[TAG]],'DB-EQUIPOS GEN'!$C$11:$H$833,6,0)</f>
        <v>0115CV090</v>
      </c>
      <c r="K288" s="149">
        <v>44718</v>
      </c>
      <c r="L288" s="150" t="s">
        <v>245</v>
      </c>
      <c r="M288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88" s="144" t="s">
        <v>1664</v>
      </c>
      <c r="O288" s="64" t="s">
        <v>1696</v>
      </c>
      <c r="Q288" s="42"/>
    </row>
    <row r="289" spans="1:17" ht="34.15" customHeight="1">
      <c r="A289" s="65">
        <v>288</v>
      </c>
      <c r="B289" s="77" t="s">
        <v>260</v>
      </c>
      <c r="C289" s="64" t="s">
        <v>1693</v>
      </c>
      <c r="D289" s="151" t="s">
        <v>1699</v>
      </c>
      <c r="E289" s="148" t="s">
        <v>1641</v>
      </c>
      <c r="F289" s="166" t="str">
        <f>VLOOKUP(MP_registro[[#This Row],[TAG]],'DB-EQUIPOS GEN'!$C$11:$H$833,2,0)</f>
        <v>Mesa de caña</v>
      </c>
      <c r="G289" s="168" t="str">
        <f>VLOOKUP(MP_registro[[#This Row],[TAG]],'DB-EQUIPOS GEN'!$C$11:$H$833,3,0)</f>
        <v>EXTRACCION</v>
      </c>
      <c r="H289" s="168" t="str">
        <f>VLOOKUP(MP_registro[[#This Row],[TAG]],'DB-EQUIPOS GEN'!$C$11:$H$833,4,0)</f>
        <v>RECEPCIÓN DE CAÑA</v>
      </c>
      <c r="I289" s="168" t="str">
        <f>VLOOKUP(MP_registro[[#This Row],[TAG]],'DB-EQUIPOS GEN'!$C$11:$H$833,5,0)</f>
        <v>MESA DE CAÑA</v>
      </c>
      <c r="J289" s="168" t="str">
        <f>VLOOKUP(MP_registro[[#This Row],[TAG]],'DB-EQUIPOS GEN'!$C$11:$H$833,6,0)</f>
        <v>0110FE019</v>
      </c>
      <c r="K289" s="149">
        <v>44718</v>
      </c>
      <c r="L289" s="150" t="s">
        <v>249</v>
      </c>
      <c r="M289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289" s="144" t="s">
        <v>1664</v>
      </c>
      <c r="O289" s="64" t="s">
        <v>1696</v>
      </c>
      <c r="Q289" s="42"/>
    </row>
    <row r="290" spans="1:17" ht="34.15" customHeight="1">
      <c r="A290" s="64">
        <v>289</v>
      </c>
      <c r="B290" s="77" t="s">
        <v>260</v>
      </c>
      <c r="C290" s="64" t="s">
        <v>1693</v>
      </c>
      <c r="D290" s="151" t="s">
        <v>1700</v>
      </c>
      <c r="E290" s="148" t="s">
        <v>1653</v>
      </c>
      <c r="F290" s="166" t="str">
        <f>VLOOKUP(MP_registro[[#This Row],[TAG]],'DB-EQUIPOS GEN'!$C$11:$H$833,2,0)</f>
        <v>Operación del desviador de bagazo</v>
      </c>
      <c r="G290" s="168" t="str">
        <f>VLOOKUP(MP_registro[[#This Row],[TAG]],'DB-EQUIPOS GEN'!$C$11:$H$833,3,0)</f>
        <v>E. TERMICA</v>
      </c>
      <c r="H290" s="168" t="str">
        <f>VLOOKUP(MP_registro[[#This Row],[TAG]],'DB-EQUIPOS GEN'!$C$11:$H$833,4,0)</f>
        <v>TRANSPORTE DE BAGAZO</v>
      </c>
      <c r="I290" s="168" t="str">
        <f>VLOOKUP(MP_registro[[#This Row],[TAG]],'DB-EQUIPOS GEN'!$C$11:$H$833,5,0)</f>
        <v>FAJA TRANSPORTADORA 1004</v>
      </c>
      <c r="J290" s="168" t="str">
        <f>VLOOKUP(MP_registro[[#This Row],[TAG]],'DB-EQUIPOS GEN'!$C$11:$H$833,6,0)</f>
        <v>0805CV070</v>
      </c>
      <c r="K290" s="149">
        <v>44718</v>
      </c>
      <c r="L290" s="150" t="s">
        <v>247</v>
      </c>
      <c r="M290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290" s="144" t="s">
        <v>1664</v>
      </c>
      <c r="O290" s="64" t="s">
        <v>1696</v>
      </c>
      <c r="Q290" s="42"/>
    </row>
    <row r="291" spans="1:17" ht="34.15" customHeight="1">
      <c r="A291" s="65">
        <v>290</v>
      </c>
      <c r="B291" s="77" t="s">
        <v>260</v>
      </c>
      <c r="C291" s="64" t="s">
        <v>1693</v>
      </c>
      <c r="D291" s="151" t="s">
        <v>1701</v>
      </c>
      <c r="E291" s="148" t="s">
        <v>766</v>
      </c>
      <c r="F291" s="166" t="str">
        <f>VLOOKUP(MP_registro[[#This Row],[TAG]],'DB-EQUIPOS GEN'!$C$11:$H$833,2,0)</f>
        <v>Brix de masa C - Celda 1</v>
      </c>
      <c r="G291" s="168" t="str">
        <f>VLOOKUP(MP_registro[[#This Row],[TAG]],'DB-EQUIPOS GEN'!$C$11:$H$833,3,0)</f>
        <v>PRODUCCION</v>
      </c>
      <c r="H291" s="168" t="str">
        <f>VLOOKUP(MP_registro[[#This Row],[TAG]],'DB-EQUIPOS GEN'!$C$11:$H$833,4,0)</f>
        <v>CRISTALIZACION POR COCCION</v>
      </c>
      <c r="I291" s="168" t="str">
        <f>VLOOKUP(MP_registro[[#This Row],[TAG]],'DB-EQUIPOS GEN'!$C$11:$H$833,5,0)</f>
        <v xml:space="preserve">TACHO CONTINUO C </v>
      </c>
      <c r="J291" s="168" t="str">
        <f>VLOOKUP(MP_registro[[#This Row],[TAG]],'DB-EQUIPOS GEN'!$C$11:$H$833,6,0)</f>
        <v xml:space="preserve"> 0335HX260</v>
      </c>
      <c r="K291" s="149">
        <v>44719</v>
      </c>
      <c r="L291" s="150" t="s">
        <v>249</v>
      </c>
      <c r="M291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291" s="144" t="s">
        <v>1664</v>
      </c>
      <c r="O291" s="64" t="s">
        <v>1696</v>
      </c>
      <c r="Q291" s="42"/>
    </row>
    <row r="292" spans="1:17" ht="34.15" customHeight="1">
      <c r="A292" s="64">
        <v>291</v>
      </c>
      <c r="B292" s="77" t="s">
        <v>260</v>
      </c>
      <c r="C292" s="64" t="s">
        <v>1693</v>
      </c>
      <c r="D292" s="151" t="s">
        <v>1702</v>
      </c>
      <c r="E292" s="148" t="s">
        <v>800</v>
      </c>
      <c r="F292" s="166" t="str">
        <f>VLOOKUP(MP_registro[[#This Row],[TAG]],'DB-EQUIPOS GEN'!$C$11:$H$833,2,0)</f>
        <v>Nivel de azucar en silo 1</v>
      </c>
      <c r="G292" s="168" t="str">
        <f>VLOOKUP(MP_registro[[#This Row],[TAG]],'DB-EQUIPOS GEN'!$C$11:$H$833,3,0)</f>
        <v>PRODUCCION</v>
      </c>
      <c r="H292" s="168" t="str">
        <f>VLOOKUP(MP_registro[[#This Row],[TAG]],'DB-EQUIPOS GEN'!$C$11:$H$833,4,0)</f>
        <v>ENVASADO DE AZUCAR RUBIA</v>
      </c>
      <c r="I292" s="168" t="str">
        <f>VLOOKUP(MP_registro[[#This Row],[TAG]],'DB-EQUIPOS GEN'!$C$11:$H$833,5,0)</f>
        <v xml:space="preserve">SILO 1 </v>
      </c>
      <c r="J292" s="168" t="str">
        <f>VLOOKUP(MP_registro[[#This Row],[TAG]],'DB-EQUIPOS GEN'!$C$11:$H$833,6,0)</f>
        <v>0355BI090</v>
      </c>
      <c r="K292" s="149">
        <v>44719</v>
      </c>
      <c r="L292" s="150" t="s">
        <v>247</v>
      </c>
      <c r="M292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292" s="144" t="s">
        <v>1664</v>
      </c>
      <c r="O292" s="64" t="s">
        <v>1696</v>
      </c>
      <c r="Q292" s="42"/>
    </row>
    <row r="293" spans="1:17" ht="34.15" customHeight="1">
      <c r="A293" s="65">
        <v>292</v>
      </c>
      <c r="B293" s="77" t="s">
        <v>260</v>
      </c>
      <c r="C293" s="64" t="s">
        <v>1693</v>
      </c>
      <c r="D293" s="151" t="s">
        <v>1703</v>
      </c>
      <c r="E293" s="148" t="s">
        <v>254</v>
      </c>
      <c r="F293" s="166" t="str">
        <f>VLOOKUP(MP_registro[[#This Row],[TAG]],'DB-EQUIPOS GEN'!$C$11:$H$833,2,0)</f>
        <v>Tablero de periferia en Asset Caldera</v>
      </c>
      <c r="G293" s="168" t="str">
        <f>VLOOKUP(MP_registro[[#This Row],[TAG]],'DB-EQUIPOS GEN'!$C$11:$H$833,3,0)</f>
        <v>E. TERMICA</v>
      </c>
      <c r="H293" s="168" t="str">
        <f>VLOOKUP(MP_registro[[#This Row],[TAG]],'DB-EQUIPOS GEN'!$C$11:$H$833,4,0)</f>
        <v>GENERACION DE VAPOR</v>
      </c>
      <c r="I293" s="168" t="str">
        <f>VLOOKUP(MP_registro[[#This Row],[TAG]],'DB-EQUIPOS GEN'!$C$11:$H$833,5,0)</f>
        <v>CALDERA</v>
      </c>
      <c r="J293" s="168" t="str">
        <f>VLOOKUP(MP_registro[[#This Row],[TAG]],'DB-EQUIPOS GEN'!$C$11:$H$833,6,0)</f>
        <v>0405BR010</v>
      </c>
      <c r="K293" s="149">
        <v>44719</v>
      </c>
      <c r="L293" s="150" t="s">
        <v>248</v>
      </c>
      <c r="M293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293" s="144" t="s">
        <v>1664</v>
      </c>
      <c r="O293" s="64" t="s">
        <v>1696</v>
      </c>
      <c r="Q293" s="42"/>
    </row>
    <row r="294" spans="1:17" ht="34.15" customHeight="1">
      <c r="A294" s="64">
        <v>293</v>
      </c>
      <c r="B294" s="77" t="s">
        <v>260</v>
      </c>
      <c r="C294" s="64" t="s">
        <v>1693</v>
      </c>
      <c r="D294" s="151" t="s">
        <v>1704</v>
      </c>
      <c r="E294" s="148" t="s">
        <v>1659</v>
      </c>
      <c r="F294" s="166" t="str">
        <f>VLOOKUP(MP_registro[[#This Row],[TAG]],'DB-EQUIPOS GEN'!$C$11:$H$833,2,0)</f>
        <v>Vista global de tanques de jarabe 1,2 y 3</v>
      </c>
      <c r="G294" s="168" t="str">
        <f>VLOOKUP(MP_registro[[#This Row],[TAG]],'DB-EQUIPOS GEN'!$C$11:$H$833,3,0)</f>
        <v>PRODUCCION</v>
      </c>
      <c r="H294" s="168" t="str">
        <f>VLOOKUP(MP_registro[[#This Row],[TAG]],'DB-EQUIPOS GEN'!$C$11:$H$833,4,0)</f>
        <v>CRISTALIZACIÓN POR COCCIÓN</v>
      </c>
      <c r="I294" s="168" t="str">
        <f>VLOOKUP(MP_registro[[#This Row],[TAG]],'DB-EQUIPOS GEN'!$C$11:$H$833,5,0)</f>
        <v>TANQUE DE JARABE 1</v>
      </c>
      <c r="J294" s="168" t="str">
        <f>VLOOKUP(MP_registro[[#This Row],[TAG]],'DB-EQUIPOS GEN'!$C$11:$H$833,6,0)</f>
        <v>0335TK010</v>
      </c>
      <c r="K294" s="149">
        <v>44719</v>
      </c>
      <c r="L294" s="150" t="s">
        <v>249</v>
      </c>
      <c r="M294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294" s="144" t="s">
        <v>1664</v>
      </c>
      <c r="O294" s="64" t="s">
        <v>1696</v>
      </c>
      <c r="Q294" s="42"/>
    </row>
    <row r="295" spans="1:17" ht="34.15" customHeight="1">
      <c r="A295" s="65">
        <v>294</v>
      </c>
      <c r="B295" s="77" t="s">
        <v>260</v>
      </c>
      <c r="C295" s="64" t="s">
        <v>1693</v>
      </c>
      <c r="D295" s="151" t="s">
        <v>1705</v>
      </c>
      <c r="E295" s="148" t="s">
        <v>1660</v>
      </c>
      <c r="F295" s="166" t="str">
        <f>VLOOKUP(MP_registro[[#This Row],[TAG]],'DB-EQUIPOS GEN'!$C$11:$H$833,2,0)</f>
        <v>Vista global de tacho continuo A.</v>
      </c>
      <c r="G295" s="168" t="str">
        <f>VLOOKUP(MP_registro[[#This Row],[TAG]],'DB-EQUIPOS GEN'!$C$11:$H$833,3,0)</f>
        <v>PRODUCCION</v>
      </c>
      <c r="H295" s="168" t="str">
        <f>VLOOKUP(MP_registro[[#This Row],[TAG]],'DB-EQUIPOS GEN'!$C$11:$H$833,4,0)</f>
        <v>CRISTALIZACIÓN POR COCCIÓN</v>
      </c>
      <c r="I295" s="168" t="str">
        <f>VLOOKUP(MP_registro[[#This Row],[TAG]],'DB-EQUIPOS GEN'!$C$11:$H$833,5,0)</f>
        <v>TACHO CONTINUO - A</v>
      </c>
      <c r="J295" s="168" t="str">
        <f>VLOOKUP(MP_registro[[#This Row],[TAG]],'DB-EQUIPOS GEN'!$C$11:$H$833,6,0)</f>
        <v>0335HX200</v>
      </c>
      <c r="K295" s="149">
        <v>44719</v>
      </c>
      <c r="L295" s="150" t="s">
        <v>247</v>
      </c>
      <c r="M295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295" s="144" t="s">
        <v>1664</v>
      </c>
      <c r="O295" s="64" t="s">
        <v>1696</v>
      </c>
      <c r="Q295" s="42"/>
    </row>
    <row r="296" spans="1:17" ht="34.15" customHeight="1">
      <c r="A296" s="64">
        <v>295</v>
      </c>
      <c r="B296" s="77" t="s">
        <v>260</v>
      </c>
      <c r="C296" s="64" t="s">
        <v>1693</v>
      </c>
      <c r="D296" s="151" t="s">
        <v>1706</v>
      </c>
      <c r="E296" s="148" t="s">
        <v>1649</v>
      </c>
      <c r="F296" s="166" t="str">
        <f>VLOOKUP(MP_registro[[#This Row],[TAG]],'DB-EQUIPOS GEN'!$C$11:$H$833,2,0)</f>
        <v>Chute alimentadores de bagazo</v>
      </c>
      <c r="G296" s="168" t="str">
        <f>VLOOKUP(MP_registro[[#This Row],[TAG]],'DB-EQUIPOS GEN'!$C$11:$H$833,3,0)</f>
        <v>E. TERMICA</v>
      </c>
      <c r="H296" s="168" t="str">
        <f>VLOOKUP(MP_registro[[#This Row],[TAG]],'DB-EQUIPOS GEN'!$C$11:$H$833,4,0)</f>
        <v>TRANSPORTE DE BAGAZO</v>
      </c>
      <c r="I296" s="168" t="str">
        <f>VLOOKUP(MP_registro[[#This Row],[TAG]],'DB-EQUIPOS GEN'!$C$11:$H$833,5,0)</f>
        <v>ALIMENTADOR DE BAGAZO 1</v>
      </c>
      <c r="J296" s="168" t="str">
        <f>VLOOKUP(MP_registro[[#This Row],[TAG]],'DB-EQUIPOS GEN'!$C$11:$H$833,6,0)</f>
        <v>0405RV240</v>
      </c>
      <c r="K296" s="149">
        <v>44719</v>
      </c>
      <c r="L296" s="150" t="s">
        <v>249</v>
      </c>
      <c r="M296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296" s="144" t="s">
        <v>1664</v>
      </c>
      <c r="O296" s="64" t="s">
        <v>1696</v>
      </c>
      <c r="Q296" s="42"/>
    </row>
    <row r="297" spans="1:17" ht="34.15" customHeight="1">
      <c r="A297" s="65">
        <v>296</v>
      </c>
      <c r="B297" s="77" t="s">
        <v>260</v>
      </c>
      <c r="C297" s="64" t="s">
        <v>1693</v>
      </c>
      <c r="D297" s="151" t="s">
        <v>1707</v>
      </c>
      <c r="E297" s="148" t="s">
        <v>1655</v>
      </c>
      <c r="F297" s="166" t="str">
        <f>VLOOKUP(MP_registro[[#This Row],[TAG]],'DB-EQUIPOS GEN'!$C$11:$H$833,2,0)</f>
        <v>Vista global de planta de osmosis</v>
      </c>
      <c r="G297" s="168" t="str">
        <f>VLOOKUP(MP_registro[[#This Row],[TAG]],'DB-EQUIPOS GEN'!$C$11:$H$833,3,0)</f>
        <v>E. TERMICA</v>
      </c>
      <c r="H297" s="168" t="str">
        <f>VLOOKUP(MP_registro[[#This Row],[TAG]],'DB-EQUIPOS GEN'!$C$11:$H$833,4,0)</f>
        <v>PLANTA TRATAMIENTO OSMOSIS INVERSA</v>
      </c>
      <c r="I297" s="168" t="str">
        <f>VLOOKUP(MP_registro[[#This Row],[TAG]],'DB-EQUIPOS GEN'!$C$11:$H$833,5,0)</f>
        <v>PLANTA DE OSMOSIS INVERSA</v>
      </c>
      <c r="J297" s="168" t="str">
        <f>VLOOKUP(MP_registro[[#This Row],[TAG]],'DB-EQUIPOS GEN'!$C$11:$H$833,6,0)</f>
        <v>0425OI101</v>
      </c>
      <c r="K297" s="149">
        <v>44719</v>
      </c>
      <c r="L297" s="150" t="s">
        <v>245</v>
      </c>
      <c r="M297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297" s="144" t="s">
        <v>1664</v>
      </c>
      <c r="O297" s="64" t="s">
        <v>1696</v>
      </c>
      <c r="Q297" s="42"/>
    </row>
    <row r="298" spans="1:17" ht="34.15" customHeight="1">
      <c r="A298" s="64">
        <v>297</v>
      </c>
      <c r="B298" s="77" t="s">
        <v>260</v>
      </c>
      <c r="C298" s="64" t="s">
        <v>1693</v>
      </c>
      <c r="D298" s="151" t="s">
        <v>1708</v>
      </c>
      <c r="E298" s="148" t="s">
        <v>338</v>
      </c>
      <c r="F298" s="166" t="str">
        <f>VLOOKUP(MP_registro[[#This Row],[TAG]],'DB-EQUIPOS GEN'!$C$11:$H$833,2,0)</f>
        <v>Flotacion de masa lado motor</v>
      </c>
      <c r="G298" s="168" t="str">
        <f>VLOOKUP(MP_registro[[#This Row],[TAG]],'DB-EQUIPOS GEN'!$C$11:$H$833,3,0)</f>
        <v>EXTRACCION</v>
      </c>
      <c r="H298" s="168" t="str">
        <f>VLOOKUP(MP_registro[[#This Row],[TAG]],'DB-EQUIPOS GEN'!$C$11:$H$833,4,0)</f>
        <v>MOLINOS</v>
      </c>
      <c r="I298" s="168" t="str">
        <f>VLOOKUP(MP_registro[[#This Row],[TAG]],'DB-EQUIPOS GEN'!$C$11:$H$833,5,0)</f>
        <v xml:space="preserve">MOLINO SECADOR </v>
      </c>
      <c r="J298" s="168" t="str">
        <f>VLOOKUP(MP_registro[[#This Row],[TAG]],'DB-EQUIPOS GEN'!$C$11:$H$833,6,0)</f>
        <v>0210MM090</v>
      </c>
      <c r="K298" s="149">
        <v>44720</v>
      </c>
      <c r="L298" s="150" t="s">
        <v>247</v>
      </c>
      <c r="M298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298" s="144" t="s">
        <v>1664</v>
      </c>
      <c r="O298" s="64" t="s">
        <v>1696</v>
      </c>
      <c r="Q298" s="42"/>
    </row>
    <row r="299" spans="1:17" ht="34.15" customHeight="1">
      <c r="A299" s="65">
        <v>298</v>
      </c>
      <c r="B299" s="77" t="s">
        <v>260</v>
      </c>
      <c r="C299" s="64" t="s">
        <v>1693</v>
      </c>
      <c r="D299" s="151" t="s">
        <v>1709</v>
      </c>
      <c r="E299" s="148" t="s">
        <v>1061</v>
      </c>
      <c r="F299" s="166" t="str">
        <f>VLOOKUP(MP_registro[[#This Row],[TAG]],'DB-EQUIPOS GEN'!$C$11:$H$833,2,0)</f>
        <v>Valvula reductora 1</v>
      </c>
      <c r="G299" s="168" t="str">
        <f>VLOOKUP(MP_registro[[#This Row],[TAG]],'DB-EQUIPOS GEN'!$C$11:$H$833,3,0)</f>
        <v>E. TERMICA</v>
      </c>
      <c r="H299" s="168" t="str">
        <f>VLOOKUP(MP_registro[[#This Row],[TAG]],'DB-EQUIPOS GEN'!$C$11:$H$833,4,0)</f>
        <v>DISTRIBUCION DE VAPOR</v>
      </c>
      <c r="I299" s="168" t="str">
        <f>VLOOKUP(MP_registro[[#This Row],[TAG]],'DB-EQUIPOS GEN'!$C$11:$H$833,5,0)</f>
        <v>REDUCTOR DE DESPACHO DE VAPOR 1</v>
      </c>
      <c r="J299" s="168" t="str">
        <f>VLOOKUP(MP_registro[[#This Row],[TAG]],'DB-EQUIPOS GEN'!$C$11:$H$833,6,0)</f>
        <v>0405RE010</v>
      </c>
      <c r="K299" s="149">
        <v>44720</v>
      </c>
      <c r="L299" s="150" t="s">
        <v>249</v>
      </c>
      <c r="M299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299" s="144" t="s">
        <v>1664</v>
      </c>
      <c r="O299" s="64" t="s">
        <v>1696</v>
      </c>
      <c r="Q299" s="42"/>
    </row>
    <row r="300" spans="1:17" ht="34.15" customHeight="1">
      <c r="A300" s="64">
        <v>299</v>
      </c>
      <c r="B300" s="77" t="s">
        <v>260</v>
      </c>
      <c r="C300" s="64" t="s">
        <v>1693</v>
      </c>
      <c r="D300" s="151" t="s">
        <v>1710</v>
      </c>
      <c r="E300" s="148" t="s">
        <v>768</v>
      </c>
      <c r="F300" s="166" t="str">
        <f>VLOOKUP(MP_registro[[#This Row],[TAG]],'DB-EQUIPOS GEN'!$C$11:$H$833,2,0)</f>
        <v>Brix de masa C - Celda 2</v>
      </c>
      <c r="G300" s="168" t="str">
        <f>VLOOKUP(MP_registro[[#This Row],[TAG]],'DB-EQUIPOS GEN'!$C$11:$H$833,3,0)</f>
        <v>PRODUCCION</v>
      </c>
      <c r="H300" s="168" t="str">
        <f>VLOOKUP(MP_registro[[#This Row],[TAG]],'DB-EQUIPOS GEN'!$C$11:$H$833,4,0)</f>
        <v>CRISTALIZACION POR COCCION</v>
      </c>
      <c r="I300" s="168" t="str">
        <f>VLOOKUP(MP_registro[[#This Row],[TAG]],'DB-EQUIPOS GEN'!$C$11:$H$833,5,0)</f>
        <v xml:space="preserve">TACHO CONTINUO C </v>
      </c>
      <c r="J300" s="168" t="str">
        <f>VLOOKUP(MP_registro[[#This Row],[TAG]],'DB-EQUIPOS GEN'!$C$11:$H$833,6,0)</f>
        <v xml:space="preserve"> 0335HX260</v>
      </c>
      <c r="K300" s="149">
        <v>44720</v>
      </c>
      <c r="L300" s="150" t="s">
        <v>247</v>
      </c>
      <c r="M300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00" s="144" t="s">
        <v>1664</v>
      </c>
      <c r="O300" s="64" t="s">
        <v>1696</v>
      </c>
      <c r="Q300" s="42"/>
    </row>
    <row r="301" spans="1:17" ht="34.15" customHeight="1">
      <c r="A301" s="65">
        <v>300</v>
      </c>
      <c r="B301" s="77" t="s">
        <v>260</v>
      </c>
      <c r="C301" s="64" t="s">
        <v>1693</v>
      </c>
      <c r="D301" s="151" t="s">
        <v>1711</v>
      </c>
      <c r="E301" s="148" t="s">
        <v>804</v>
      </c>
      <c r="F301" s="166" t="str">
        <f>VLOOKUP(MP_registro[[#This Row],[TAG]],'DB-EQUIPOS GEN'!$C$11:$H$833,2,0)</f>
        <v>Nivel de azucar en silo 2</v>
      </c>
      <c r="G301" s="168" t="str">
        <f>VLOOKUP(MP_registro[[#This Row],[TAG]],'DB-EQUIPOS GEN'!$C$11:$H$833,3,0)</f>
        <v>PRODUCCION</v>
      </c>
      <c r="H301" s="168" t="str">
        <f>VLOOKUP(MP_registro[[#This Row],[TAG]],'DB-EQUIPOS GEN'!$C$11:$H$833,4,0)</f>
        <v>ENVASADO DE AZUCAR RUBIA</v>
      </c>
      <c r="I301" s="168" t="str">
        <f>VLOOKUP(MP_registro[[#This Row],[TAG]],'DB-EQUIPOS GEN'!$C$11:$H$833,5,0)</f>
        <v>SILO 2</v>
      </c>
      <c r="J301" s="168" t="str">
        <f>VLOOKUP(MP_registro[[#This Row],[TAG]],'DB-EQUIPOS GEN'!$C$11:$H$833,6,0)</f>
        <v>0355BI100</v>
      </c>
      <c r="K301" s="149">
        <v>44720</v>
      </c>
      <c r="L301" s="150" t="s">
        <v>249</v>
      </c>
      <c r="M301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01" s="144" t="s">
        <v>1664</v>
      </c>
      <c r="O301" s="64" t="s">
        <v>1696</v>
      </c>
      <c r="Q301" s="42"/>
    </row>
    <row r="302" spans="1:17" ht="34.15" customHeight="1">
      <c r="A302" s="64">
        <v>301</v>
      </c>
      <c r="B302" s="77" t="s">
        <v>260</v>
      </c>
      <c r="C302" s="64" t="s">
        <v>1693</v>
      </c>
      <c r="D302" s="151" t="s">
        <v>1712</v>
      </c>
      <c r="E302" s="148" t="s">
        <v>1656</v>
      </c>
      <c r="F302" s="166" t="str">
        <f>VLOOKUP(MP_registro[[#This Row],[TAG]],'DB-EQUIPOS GEN'!$C$11:$H$833,2,0)</f>
        <v>Descarga de centrifugas continuas</v>
      </c>
      <c r="G302" s="168" t="str">
        <f>VLOOKUP(MP_registro[[#This Row],[TAG]],'DB-EQUIPOS GEN'!$C$11:$H$833,3,0)</f>
        <v>PRODUCCION</v>
      </c>
      <c r="H302" s="168" t="str">
        <f>VLOOKUP(MP_registro[[#This Row],[TAG]],'DB-EQUIPOS GEN'!$C$11:$H$833,4,0)</f>
        <v>CENTRIFUGACIÓN DE AZÚCAR</v>
      </c>
      <c r="I302" s="168" t="str">
        <f>VLOOKUP(MP_registro[[#This Row],[TAG]],'DB-EQUIPOS GEN'!$C$11:$H$833,5,0)</f>
        <v>CENTRIFUGA CONTINUA 1 - C (FRANCIA)</v>
      </c>
      <c r="J302" s="168" t="str">
        <f>VLOOKUP(MP_registro[[#This Row],[TAG]],'DB-EQUIPOS GEN'!$C$11:$H$833,6,0)</f>
        <v>0345SQ160</v>
      </c>
      <c r="K302" s="149">
        <v>44720</v>
      </c>
      <c r="L302" s="150" t="s">
        <v>249</v>
      </c>
      <c r="M302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02" s="144" t="s">
        <v>1664</v>
      </c>
      <c r="O302" s="64" t="s">
        <v>1696</v>
      </c>
      <c r="Q302" s="42"/>
    </row>
    <row r="303" spans="1:17" ht="34.15" customHeight="1">
      <c r="A303" s="65">
        <v>302</v>
      </c>
      <c r="B303" s="77" t="s">
        <v>260</v>
      </c>
      <c r="C303" s="64" t="s">
        <v>1693</v>
      </c>
      <c r="D303" s="151" t="s">
        <v>1713</v>
      </c>
      <c r="E303" s="148" t="s">
        <v>1657</v>
      </c>
      <c r="F303" s="166" t="str">
        <f>VLOOKUP(MP_registro[[#This Row],[TAG]],'DB-EQUIPOS GEN'!$C$11:$H$833,2,0)</f>
        <v>Pug mill B, Cabezal C de centrifugas continuas</v>
      </c>
      <c r="G303" s="168" t="str">
        <f>VLOOKUP(MP_registro[[#This Row],[TAG]],'DB-EQUIPOS GEN'!$C$11:$H$833,3,0)</f>
        <v>PRODUCCION</v>
      </c>
      <c r="H303" s="168" t="str">
        <f>VLOOKUP(MP_registro[[#This Row],[TAG]],'DB-EQUIPOS GEN'!$C$11:$H$833,4,0)</f>
        <v>CENTRIFUGACIÓN DE AZÚCAR</v>
      </c>
      <c r="I303" s="168" t="str">
        <f>VLOOKUP(MP_registro[[#This Row],[TAG]],'DB-EQUIPOS GEN'!$C$11:$H$833,5,0)</f>
        <v>PUG MILL - B</v>
      </c>
      <c r="J303" s="168" t="str">
        <f>VLOOKUP(MP_registro[[#This Row],[TAG]],'DB-EQUIPOS GEN'!$C$11:$H$833,6,0)</f>
        <v>0345MM020</v>
      </c>
      <c r="K303" s="149">
        <v>44720</v>
      </c>
      <c r="L303" s="150" t="s">
        <v>245</v>
      </c>
      <c r="M303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03" s="144" t="s">
        <v>1664</v>
      </c>
      <c r="O303" s="64" t="s">
        <v>1696</v>
      </c>
      <c r="Q303" s="42"/>
    </row>
    <row r="304" spans="1:17" ht="34.15" customHeight="1">
      <c r="A304" s="64">
        <v>303</v>
      </c>
      <c r="B304" s="77" t="s">
        <v>260</v>
      </c>
      <c r="C304" s="64" t="s">
        <v>1693</v>
      </c>
      <c r="D304" s="151" t="s">
        <v>1714</v>
      </c>
      <c r="E304" s="148" t="s">
        <v>1658</v>
      </c>
      <c r="F304" s="166" t="str">
        <f>VLOOKUP(MP_registro[[#This Row],[TAG]],'DB-EQUIPOS GEN'!$C$11:$H$833,2,0)</f>
        <v>Pug mill A - Centrifugas batch</v>
      </c>
      <c r="G304" s="168" t="str">
        <f>VLOOKUP(MP_registro[[#This Row],[TAG]],'DB-EQUIPOS GEN'!$C$11:$H$833,3,0)</f>
        <v>PRODUCCION</v>
      </c>
      <c r="H304" s="168" t="str">
        <f>VLOOKUP(MP_registro[[#This Row],[TAG]],'DB-EQUIPOS GEN'!$C$11:$H$833,4,0)</f>
        <v>CENTRIFUGACIÓN DE AZÚCAR</v>
      </c>
      <c r="I304" s="168" t="str">
        <f>VLOOKUP(MP_registro[[#This Row],[TAG]],'DB-EQUIPOS GEN'!$C$11:$H$833,5,0)</f>
        <v>PUG MILL - A</v>
      </c>
      <c r="J304" s="168" t="str">
        <f>VLOOKUP(MP_registro[[#This Row],[TAG]],'DB-EQUIPOS GEN'!$C$11:$H$833,6,0)</f>
        <v>0345MM010</v>
      </c>
      <c r="K304" s="149">
        <v>44720</v>
      </c>
      <c r="L304" s="150" t="s">
        <v>245</v>
      </c>
      <c r="M304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04" s="144" t="s">
        <v>1664</v>
      </c>
      <c r="O304" s="64" t="s">
        <v>1696</v>
      </c>
      <c r="Q304" s="42"/>
    </row>
    <row r="305" spans="1:17" ht="34.15" customHeight="1">
      <c r="A305" s="65">
        <v>304</v>
      </c>
      <c r="B305" s="77" t="s">
        <v>260</v>
      </c>
      <c r="C305" s="64" t="s">
        <v>1693</v>
      </c>
      <c r="D305" s="151" t="s">
        <v>1715</v>
      </c>
      <c r="E305" s="148" t="s">
        <v>1661</v>
      </c>
      <c r="F305" s="166" t="str">
        <f>VLOOKUP(MP_registro[[#This Row],[TAG]],'DB-EQUIPOS GEN'!$C$11:$H$833,2,0)</f>
        <v xml:space="preserve">Faja de azucar seca a Silo </v>
      </c>
      <c r="G305" s="168" t="str">
        <f>VLOOKUP(MP_registro[[#This Row],[TAG]],'DB-EQUIPOS GEN'!$C$11:$H$833,3,0)</f>
        <v>PRODUCCION</v>
      </c>
      <c r="H305" s="168" t="str">
        <f>VLOOKUP(MP_registro[[#This Row],[TAG]],'DB-EQUIPOS GEN'!$C$11:$H$833,4,0)</f>
        <v>ENVASADO DE AZÚCAR RUBIA</v>
      </c>
      <c r="I305" s="168" t="str">
        <f>VLOOKUP(MP_registro[[#This Row],[TAG]],'DB-EQUIPOS GEN'!$C$11:$H$833,5,0)</f>
        <v>SILO DE AZUCAR 1</v>
      </c>
      <c r="J305" s="168" t="str">
        <f>VLOOKUP(MP_registro[[#This Row],[TAG]],'DB-EQUIPOS GEN'!$C$11:$H$833,6,0)</f>
        <v>0355BI090</v>
      </c>
      <c r="K305" s="149">
        <v>44720</v>
      </c>
      <c r="L305" s="151" t="s">
        <v>247</v>
      </c>
      <c r="M305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05" s="144" t="s">
        <v>1664</v>
      </c>
      <c r="O305" s="64" t="s">
        <v>1696</v>
      </c>
      <c r="Q305" s="42"/>
    </row>
    <row r="306" spans="1:17" ht="34.15" customHeight="1">
      <c r="A306" s="64">
        <v>305</v>
      </c>
      <c r="B306" s="77" t="s">
        <v>260</v>
      </c>
      <c r="C306" s="64" t="s">
        <v>1693</v>
      </c>
      <c r="D306" s="151" t="s">
        <v>1716</v>
      </c>
      <c r="E306" s="148" t="s">
        <v>1648</v>
      </c>
      <c r="F306" s="166" t="str">
        <f>VLOOKUP(MP_registro[[#This Row],[TAG]],'DB-EQUIPOS GEN'!$C$11:$H$833,2,0)</f>
        <v>Nivel de agua en domo</v>
      </c>
      <c r="G306" s="168" t="str">
        <f>VLOOKUP(MP_registro[[#This Row],[TAG]],'DB-EQUIPOS GEN'!$C$11:$H$833,3,0)</f>
        <v>E. TERMICA</v>
      </c>
      <c r="H306" s="168" t="str">
        <f>VLOOKUP(MP_registro[[#This Row],[TAG]],'DB-EQUIPOS GEN'!$C$11:$H$833,4,0)</f>
        <v>GENERACIÓN DE VAPOR</v>
      </c>
      <c r="I306" s="168" t="str">
        <f>VLOOKUP(MP_registro[[#This Row],[TAG]],'DB-EQUIPOS GEN'!$C$11:$H$833,5,0)</f>
        <v>DOMO SUPERIOR</v>
      </c>
      <c r="J306" s="168" t="str">
        <f>VLOOKUP(MP_registro[[#This Row],[TAG]],'DB-EQUIPOS GEN'!$C$11:$H$833,6,0)</f>
        <v>0405DO020</v>
      </c>
      <c r="K306" s="149">
        <v>44720</v>
      </c>
      <c r="L306" s="150" t="s">
        <v>249</v>
      </c>
      <c r="M306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06" s="144" t="s">
        <v>13</v>
      </c>
      <c r="O306" s="64" t="s">
        <v>1696</v>
      </c>
      <c r="Q306" s="42"/>
    </row>
    <row r="307" spans="1:17" ht="34.15" customHeight="1">
      <c r="A307" s="65">
        <v>306</v>
      </c>
      <c r="B307" s="77" t="s">
        <v>260</v>
      </c>
      <c r="C307" s="64" t="s">
        <v>1693</v>
      </c>
      <c r="D307" s="151" t="s">
        <v>1717</v>
      </c>
      <c r="E307" s="148" t="s">
        <v>1178</v>
      </c>
      <c r="F307" s="166" t="str">
        <f>VLOOKUP(MP_registro[[#This Row],[TAG]],'DB-EQUIPOS GEN'!$C$11:$H$833,2,0)</f>
        <v>Valvula control de nivel FFE - 4B</v>
      </c>
      <c r="G307" s="168" t="str">
        <f>VLOOKUP(MP_registro[[#This Row],[TAG]],'DB-EQUIPOS GEN'!$C$11:$H$833,3,0)</f>
        <v>PRODUCCION</v>
      </c>
      <c r="H307" s="168" t="str">
        <f>VLOOKUP(MP_registro[[#This Row],[TAG]],'DB-EQUIPOS GEN'!$C$11:$H$833,4,0)</f>
        <v>EVAPORACION DE JUGO</v>
      </c>
      <c r="I307" s="168" t="str">
        <f>VLOOKUP(MP_registro[[#This Row],[TAG]],'DB-EQUIPOS GEN'!$C$11:$H$833,5,0)</f>
        <v>EVAPORADOR FFE 4B</v>
      </c>
      <c r="J307" s="168" t="str">
        <f>VLOOKUP(MP_registro[[#This Row],[TAG]],'DB-EQUIPOS GEN'!$C$11:$H$833,6,0)</f>
        <v>0320EV070</v>
      </c>
      <c r="K307" s="149">
        <v>44721</v>
      </c>
      <c r="L307" s="151" t="s">
        <v>249</v>
      </c>
      <c r="M307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07" s="144" t="s">
        <v>1664</v>
      </c>
      <c r="O307" s="64" t="s">
        <v>1696</v>
      </c>
      <c r="Q307" s="42"/>
    </row>
    <row r="308" spans="1:17" ht="34.15" customHeight="1">
      <c r="A308" s="64">
        <v>307</v>
      </c>
      <c r="B308" s="77" t="s">
        <v>260</v>
      </c>
      <c r="C308" s="64" t="s">
        <v>1693</v>
      </c>
      <c r="D308" s="151" t="s">
        <v>1718</v>
      </c>
      <c r="E308" s="148" t="s">
        <v>760</v>
      </c>
      <c r="F308" s="166" t="str">
        <f>VLOOKUP(MP_registro[[#This Row],[TAG]],'DB-EQUIPOS GEN'!$C$11:$H$833,2,0)</f>
        <v>Brix de masa B - Celda 6</v>
      </c>
      <c r="G308" s="168" t="str">
        <f>VLOOKUP(MP_registro[[#This Row],[TAG]],'DB-EQUIPOS GEN'!$C$11:$H$833,3,0)</f>
        <v>PRODUCCION</v>
      </c>
      <c r="H308" s="168" t="str">
        <f>VLOOKUP(MP_registro[[#This Row],[TAG]],'DB-EQUIPOS GEN'!$C$11:$H$833,4,0)</f>
        <v>CRISTALIZACION POR COCCION</v>
      </c>
      <c r="I308" s="168" t="str">
        <f>VLOOKUP(MP_registro[[#This Row],[TAG]],'DB-EQUIPOS GEN'!$C$11:$H$833,5,0)</f>
        <v xml:space="preserve">TACHO CONTINUO B </v>
      </c>
      <c r="J308" s="168" t="str">
        <f>VLOOKUP(MP_registro[[#This Row],[TAG]],'DB-EQUIPOS GEN'!$C$11:$H$833,6,0)</f>
        <v xml:space="preserve"> 0335HX230</v>
      </c>
      <c r="K308" s="149">
        <v>44721</v>
      </c>
      <c r="L308" s="151" t="s">
        <v>245</v>
      </c>
      <c r="M308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08" s="144" t="s">
        <v>1664</v>
      </c>
      <c r="O308" s="64" t="s">
        <v>1696</v>
      </c>
      <c r="Q308" s="42"/>
    </row>
    <row r="309" spans="1:17" ht="34.15" customHeight="1">
      <c r="A309" s="65">
        <v>308</v>
      </c>
      <c r="B309" s="77" t="s">
        <v>260</v>
      </c>
      <c r="C309" s="64" t="s">
        <v>1693</v>
      </c>
      <c r="D309" s="151" t="s">
        <v>1719</v>
      </c>
      <c r="E309" s="148" t="s">
        <v>762</v>
      </c>
      <c r="F309" s="166" t="str">
        <f>VLOOKUP(MP_registro[[#This Row],[TAG]],'DB-EQUIPOS GEN'!$C$11:$H$833,2,0)</f>
        <v>Brix de masa B - Celda 7</v>
      </c>
      <c r="G309" s="168" t="str">
        <f>VLOOKUP(MP_registro[[#This Row],[TAG]],'DB-EQUIPOS GEN'!$C$11:$H$833,3,0)</f>
        <v>PRODUCCION</v>
      </c>
      <c r="H309" s="168" t="str">
        <f>VLOOKUP(MP_registro[[#This Row],[TAG]],'DB-EQUIPOS GEN'!$C$11:$H$833,4,0)</f>
        <v>CRISTALIZACION POR COCCION</v>
      </c>
      <c r="I309" s="168" t="str">
        <f>VLOOKUP(MP_registro[[#This Row],[TAG]],'DB-EQUIPOS GEN'!$C$11:$H$833,5,0)</f>
        <v xml:space="preserve">TACHO CONTINUO B </v>
      </c>
      <c r="J309" s="168" t="str">
        <f>VLOOKUP(MP_registro[[#This Row],[TAG]],'DB-EQUIPOS GEN'!$C$11:$H$833,6,0)</f>
        <v xml:space="preserve"> 0335HX230</v>
      </c>
      <c r="K309" s="149">
        <v>44721</v>
      </c>
      <c r="L309" s="151" t="s">
        <v>245</v>
      </c>
      <c r="M309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09" s="144" t="s">
        <v>1664</v>
      </c>
      <c r="O309" s="64" t="s">
        <v>1696</v>
      </c>
      <c r="Q309" s="42"/>
    </row>
    <row r="310" spans="1:17" ht="34.15" customHeight="1">
      <c r="A310" s="64">
        <v>309</v>
      </c>
      <c r="B310" s="77" t="s">
        <v>260</v>
      </c>
      <c r="C310" s="64" t="s">
        <v>1693</v>
      </c>
      <c r="D310" s="151" t="s">
        <v>1720</v>
      </c>
      <c r="E310" s="148" t="s">
        <v>764</v>
      </c>
      <c r="F310" s="166" t="str">
        <f>VLOOKUP(MP_registro[[#This Row],[TAG]],'DB-EQUIPOS GEN'!$C$11:$H$833,2,0)</f>
        <v>Brix de masa B - Celda 8</v>
      </c>
      <c r="G310" s="168" t="str">
        <f>VLOOKUP(MP_registro[[#This Row],[TAG]],'DB-EQUIPOS GEN'!$C$11:$H$833,3,0)</f>
        <v>PRODUCCION</v>
      </c>
      <c r="H310" s="168" t="str">
        <f>VLOOKUP(MP_registro[[#This Row],[TAG]],'DB-EQUIPOS GEN'!$C$11:$H$833,4,0)</f>
        <v>CRISTALIZACION POR COCCION</v>
      </c>
      <c r="I310" s="168" t="str">
        <f>VLOOKUP(MP_registro[[#This Row],[TAG]],'DB-EQUIPOS GEN'!$C$11:$H$833,5,0)</f>
        <v xml:space="preserve">TACHO CONTINUO B </v>
      </c>
      <c r="J310" s="168" t="str">
        <f>VLOOKUP(MP_registro[[#This Row],[TAG]],'DB-EQUIPOS GEN'!$C$11:$H$833,6,0)</f>
        <v xml:space="preserve"> 0335HX230</v>
      </c>
      <c r="K310" s="149">
        <v>44721</v>
      </c>
      <c r="L310" s="151" t="s">
        <v>245</v>
      </c>
      <c r="M310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10" s="144" t="s">
        <v>1664</v>
      </c>
      <c r="O310" s="64" t="s">
        <v>1696</v>
      </c>
      <c r="Q310" s="42"/>
    </row>
    <row r="311" spans="1:17" ht="34.15" customHeight="1">
      <c r="A311" s="65">
        <v>310</v>
      </c>
      <c r="B311" s="77" t="s">
        <v>260</v>
      </c>
      <c r="C311" s="64" t="s">
        <v>1693</v>
      </c>
      <c r="D311" s="151" t="s">
        <v>1721</v>
      </c>
      <c r="E311" s="148" t="s">
        <v>770</v>
      </c>
      <c r="F311" s="166" t="str">
        <f>VLOOKUP(MP_registro[[#This Row],[TAG]],'DB-EQUIPOS GEN'!$C$11:$H$833,2,0)</f>
        <v>Brix de masa C - Celda 3</v>
      </c>
      <c r="G311" s="168" t="str">
        <f>VLOOKUP(MP_registro[[#This Row],[TAG]],'DB-EQUIPOS GEN'!$C$11:$H$833,3,0)</f>
        <v>PRODUCCION</v>
      </c>
      <c r="H311" s="168" t="str">
        <f>VLOOKUP(MP_registro[[#This Row],[TAG]],'DB-EQUIPOS GEN'!$C$11:$H$833,4,0)</f>
        <v>CRISTALIZACION POR COCCION</v>
      </c>
      <c r="I311" s="168" t="str">
        <f>VLOOKUP(MP_registro[[#This Row],[TAG]],'DB-EQUIPOS GEN'!$C$11:$H$833,5,0)</f>
        <v xml:space="preserve">TACHO CONTINUO C </v>
      </c>
      <c r="J311" s="168" t="str">
        <f>VLOOKUP(MP_registro[[#This Row],[TAG]],'DB-EQUIPOS GEN'!$C$11:$H$833,6,0)</f>
        <v xml:space="preserve"> 0335HX260</v>
      </c>
      <c r="K311" s="149">
        <v>44721</v>
      </c>
      <c r="L311" s="150" t="s">
        <v>249</v>
      </c>
      <c r="M311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11" s="144" t="s">
        <v>1664</v>
      </c>
      <c r="O311" s="64" t="s">
        <v>1696</v>
      </c>
      <c r="Q311" s="42"/>
    </row>
    <row r="312" spans="1:17" ht="34.15" customHeight="1">
      <c r="A312" s="64">
        <v>311</v>
      </c>
      <c r="B312" s="77" t="s">
        <v>260</v>
      </c>
      <c r="C312" s="64" t="s">
        <v>1693</v>
      </c>
      <c r="D312" s="151" t="s">
        <v>1722</v>
      </c>
      <c r="E312" s="148" t="s">
        <v>808</v>
      </c>
      <c r="F312" s="166" t="str">
        <f>VLOOKUP(MP_registro[[#This Row],[TAG]],'DB-EQUIPOS GEN'!$C$11:$H$833,2,0)</f>
        <v>Nivel de azucar en silo 3</v>
      </c>
      <c r="G312" s="168" t="str">
        <f>VLOOKUP(MP_registro[[#This Row],[TAG]],'DB-EQUIPOS GEN'!$C$11:$H$833,3,0)</f>
        <v>PRODUCCION</v>
      </c>
      <c r="H312" s="168" t="str">
        <f>VLOOKUP(MP_registro[[#This Row],[TAG]],'DB-EQUIPOS GEN'!$C$11:$H$833,4,0)</f>
        <v>ENVASADO DE AZUCAR RUBIA</v>
      </c>
      <c r="I312" s="168" t="str">
        <f>VLOOKUP(MP_registro[[#This Row],[TAG]],'DB-EQUIPOS GEN'!$C$11:$H$833,5,0)</f>
        <v>SILO 3</v>
      </c>
      <c r="J312" s="168" t="str">
        <f>VLOOKUP(MP_registro[[#This Row],[TAG]],'DB-EQUIPOS GEN'!$C$11:$H$833,6,0)</f>
        <v>0355BI110</v>
      </c>
      <c r="K312" s="149">
        <v>44721</v>
      </c>
      <c r="L312" s="151" t="s">
        <v>247</v>
      </c>
      <c r="M312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12" s="144" t="s">
        <v>1664</v>
      </c>
      <c r="O312" s="64" t="s">
        <v>1696</v>
      </c>
      <c r="Q312" s="42"/>
    </row>
    <row r="313" spans="1:17" ht="34.15" customHeight="1">
      <c r="A313" s="65">
        <v>312</v>
      </c>
      <c r="B313" s="77" t="s">
        <v>260</v>
      </c>
      <c r="C313" s="64" t="s">
        <v>1693</v>
      </c>
      <c r="D313" s="151" t="s">
        <v>1723</v>
      </c>
      <c r="E313" s="154" t="s">
        <v>1750</v>
      </c>
      <c r="F313" s="166" t="str">
        <f>VLOOKUP(MP_registro[[#This Row],[TAG]],'DB-EQUIPOS GEN'!$C$11:$H$833,2,0)</f>
        <v>Aire Instrumentacion p/ Caldera</v>
      </c>
      <c r="G313" s="168" t="str">
        <f>VLOOKUP(MP_registro[[#This Row],[TAG]],'DB-EQUIPOS GEN'!$C$11:$H$833,3,0)</f>
        <v>E. ELECTRICA</v>
      </c>
      <c r="H313" s="168" t="str">
        <f>VLOOKUP(MP_registro[[#This Row],[TAG]],'DB-EQUIPOS GEN'!$C$11:$H$833,4,0)</f>
        <v>GENERACION ENERG. ELEC. TURBO GENERADOR</v>
      </c>
      <c r="I313" s="168" t="str">
        <f>VLOOKUP(MP_registro[[#This Row],[TAG]],'DB-EQUIPOS GEN'!$C$11:$H$833,5,0)</f>
        <v/>
      </c>
      <c r="J313" s="168" t="str">
        <f>VLOOKUP(MP_registro[[#This Row],[TAG]],'DB-EQUIPOS GEN'!$C$11:$H$833,6,0)</f>
        <v/>
      </c>
      <c r="K313" s="149">
        <v>44721</v>
      </c>
      <c r="L313" s="150" t="s">
        <v>247</v>
      </c>
      <c r="M313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13" s="144" t="s">
        <v>1664</v>
      </c>
      <c r="O313" s="64" t="s">
        <v>1696</v>
      </c>
      <c r="Q313" s="42"/>
    </row>
    <row r="314" spans="1:17" ht="34.15" customHeight="1">
      <c r="A314" s="64">
        <v>313</v>
      </c>
      <c r="B314" s="77" t="s">
        <v>260</v>
      </c>
      <c r="C314" s="64" t="s">
        <v>1693</v>
      </c>
      <c r="D314" s="150" t="s">
        <v>1724</v>
      </c>
      <c r="E314" s="79" t="s">
        <v>2407</v>
      </c>
      <c r="F314" s="166" t="str">
        <f>VLOOKUP(MP_registro[[#This Row],[TAG]],'DB-EQUIPOS GEN'!$C$11:$H$833,2,0)</f>
        <v>Vista Molino Secador - Conductor Intermedio</v>
      </c>
      <c r="G314" s="168" t="str">
        <f>VLOOKUP(MP_registro[[#This Row],[TAG]],'DB-EQUIPOS GEN'!$C$11:$H$833,3,0)</f>
        <v>EXTRACCION</v>
      </c>
      <c r="H314" s="168" t="str">
        <f>VLOOKUP(MP_registro[[#This Row],[TAG]],'DB-EQUIPOS GEN'!$C$11:$H$833,4,0)</f>
        <v>MOLINOS</v>
      </c>
      <c r="I314" s="168" t="str">
        <f>VLOOKUP(MP_registro[[#This Row],[TAG]],'DB-EQUIPOS GEN'!$C$11:$H$833,5,0)</f>
        <v>CONDUCTOR INTERMEDIO - MOLINO SECADOR</v>
      </c>
      <c r="J314" s="168" t="str">
        <f>VLOOKUP(MP_registro[[#This Row],[TAG]],'DB-EQUIPOS GEN'!$C$11:$H$833,6,0)</f>
        <v>0210CV070</v>
      </c>
      <c r="K314" s="152">
        <v>44721</v>
      </c>
      <c r="L314" s="150" t="s">
        <v>249</v>
      </c>
      <c r="M314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14" s="144" t="s">
        <v>1664</v>
      </c>
      <c r="O314" s="64" t="s">
        <v>1696</v>
      </c>
      <c r="Q314" s="42"/>
    </row>
    <row r="315" spans="1:17" ht="34.15" customHeight="1">
      <c r="A315" s="65">
        <v>314</v>
      </c>
      <c r="B315" s="77" t="s">
        <v>260</v>
      </c>
      <c r="C315" s="64" t="s">
        <v>1693</v>
      </c>
      <c r="D315" s="150" t="s">
        <v>1725</v>
      </c>
      <c r="E315" s="79" t="s">
        <v>1642</v>
      </c>
      <c r="F315" s="166" t="str">
        <f>VLOOKUP(MP_registro[[#This Row],[TAG]],'DB-EQUIPOS GEN'!$C$11:$H$833,2,0)</f>
        <v>Salida de bagazo de molino secador</v>
      </c>
      <c r="G315" s="168" t="str">
        <f>VLOOKUP(MP_registro[[#This Row],[TAG]],'DB-EQUIPOS GEN'!$C$11:$H$833,3,0)</f>
        <v>EXTRACCION</v>
      </c>
      <c r="H315" s="168" t="str">
        <f>VLOOKUP(MP_registro[[#This Row],[TAG]],'DB-EQUIPOS GEN'!$C$11:$H$833,4,0)</f>
        <v>MOLINOS</v>
      </c>
      <c r="I315" s="168" t="str">
        <f>VLOOKUP(MP_registro[[#This Row],[TAG]],'DB-EQUIPOS GEN'!$C$11:$H$833,5,0)</f>
        <v>MOLINO SECADOR</v>
      </c>
      <c r="J315" s="168" t="str">
        <f>VLOOKUP(MP_registro[[#This Row],[TAG]],'DB-EQUIPOS GEN'!$C$11:$H$833,6,0)</f>
        <v>0210MM090</v>
      </c>
      <c r="K315" s="152">
        <v>44721</v>
      </c>
      <c r="L315" s="150" t="s">
        <v>247</v>
      </c>
      <c r="M315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15" s="144" t="s">
        <v>1664</v>
      </c>
      <c r="O315" s="64" t="s">
        <v>1696</v>
      </c>
      <c r="Q315" s="42"/>
    </row>
    <row r="316" spans="1:17" ht="34.15" customHeight="1">
      <c r="A316" s="64">
        <v>315</v>
      </c>
      <c r="B316" s="77" t="s">
        <v>260</v>
      </c>
      <c r="C316" s="64" t="s">
        <v>1693</v>
      </c>
      <c r="D316" s="150" t="s">
        <v>1726</v>
      </c>
      <c r="E316" s="79" t="s">
        <v>1651</v>
      </c>
      <c r="F316" s="166" t="str">
        <f>VLOOKUP(MP_registro[[#This Row],[TAG]],'DB-EQUIPOS GEN'!$C$11:$H$833,2,0)</f>
        <v>Faja 1008 - Tolva de retorno de bagazo</v>
      </c>
      <c r="G316" s="168" t="str">
        <f>VLOOKUP(MP_registro[[#This Row],[TAG]],'DB-EQUIPOS GEN'!$C$11:$H$833,3,0)</f>
        <v>E. TERMICA</v>
      </c>
      <c r="H316" s="168" t="str">
        <f>VLOOKUP(MP_registro[[#This Row],[TAG]],'DB-EQUIPOS GEN'!$C$11:$H$833,4,0)</f>
        <v>TRANSPORTE DE BAGAZO</v>
      </c>
      <c r="I316" s="168" t="str">
        <f>VLOOKUP(MP_registro[[#This Row],[TAG]],'DB-EQUIPOS GEN'!$C$11:$H$833,5,0)</f>
        <v>FAJA TRANSPORTADORA 1008</v>
      </c>
      <c r="J316" s="168" t="str">
        <f>VLOOKUP(MP_registro[[#This Row],[TAG]],'DB-EQUIPOS GEN'!$C$11:$H$833,6,0)</f>
        <v>0805CV100</v>
      </c>
      <c r="K316" s="152">
        <v>44721</v>
      </c>
      <c r="L316" s="150" t="s">
        <v>249</v>
      </c>
      <c r="M316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16" s="144" t="s">
        <v>1664</v>
      </c>
      <c r="O316" s="64" t="s">
        <v>1696</v>
      </c>
      <c r="Q316" s="42"/>
    </row>
    <row r="317" spans="1:17" ht="34.15" customHeight="1">
      <c r="A317" s="65">
        <v>316</v>
      </c>
      <c r="B317" s="77" t="s">
        <v>260</v>
      </c>
      <c r="C317" s="64" t="s">
        <v>1693</v>
      </c>
      <c r="D317" s="150" t="s">
        <v>1727</v>
      </c>
      <c r="E317" s="79" t="s">
        <v>1652</v>
      </c>
      <c r="F317" s="166" t="str">
        <f>VLOOKUP(MP_registro[[#This Row],[TAG]],'DB-EQUIPOS GEN'!$C$11:$H$833,2,0)</f>
        <v>Faja 1006A - Patio de Bagazo</v>
      </c>
      <c r="G317" s="168" t="str">
        <f>VLOOKUP(MP_registro[[#This Row],[TAG]],'DB-EQUIPOS GEN'!$C$11:$H$833,3,0)</f>
        <v>E. TERMICA</v>
      </c>
      <c r="H317" s="168" t="str">
        <f>VLOOKUP(MP_registro[[#This Row],[TAG]],'DB-EQUIPOS GEN'!$C$11:$H$833,4,0)</f>
        <v>TRANSPORTE DE BAGAZO</v>
      </c>
      <c r="I317" s="168" t="str">
        <f>VLOOKUP(MP_registro[[#This Row],[TAG]],'DB-EQUIPOS GEN'!$C$11:$H$833,5,0)</f>
        <v>FAJA TRANSPORTADORA 1006 A</v>
      </c>
      <c r="J317" s="168" t="str">
        <f>VLOOKUP(MP_registro[[#This Row],[TAG]],'DB-EQUIPOS GEN'!$C$11:$H$833,6,0)</f>
        <v>0805CV080</v>
      </c>
      <c r="K317" s="152">
        <v>44721</v>
      </c>
      <c r="L317" s="150" t="s">
        <v>247</v>
      </c>
      <c r="M317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17" s="144" t="s">
        <v>1664</v>
      </c>
      <c r="O317" s="64" t="s">
        <v>1696</v>
      </c>
      <c r="Q317" s="42"/>
    </row>
    <row r="318" spans="1:17" ht="34.15" customHeight="1">
      <c r="A318" s="64">
        <v>317</v>
      </c>
      <c r="B318" s="77" t="s">
        <v>260</v>
      </c>
      <c r="C318" s="64" t="s">
        <v>1693</v>
      </c>
      <c r="D318" s="150" t="s">
        <v>1728</v>
      </c>
      <c r="E318" s="79" t="s">
        <v>1179</v>
      </c>
      <c r="F318" s="166" t="str">
        <f>VLOOKUP(MP_registro[[#This Row],[TAG]],'DB-EQUIPOS GEN'!$C$11:$H$833,2,0)</f>
        <v>Valvula control de nivel FFE - 5A</v>
      </c>
      <c r="G318" s="168" t="str">
        <f>VLOOKUP(MP_registro[[#This Row],[TAG]],'DB-EQUIPOS GEN'!$C$11:$H$833,3,0)</f>
        <v>PRODUCCION</v>
      </c>
      <c r="H318" s="168" t="str">
        <f>VLOOKUP(MP_registro[[#This Row],[TAG]],'DB-EQUIPOS GEN'!$C$11:$H$833,4,0)</f>
        <v>EVAPORACION DE JUGO</v>
      </c>
      <c r="I318" s="168" t="str">
        <f>VLOOKUP(MP_registro[[#This Row],[TAG]],'DB-EQUIPOS GEN'!$C$11:$H$833,5,0)</f>
        <v>EVAPORADOR FFE 5A</v>
      </c>
      <c r="J318" s="168" t="str">
        <f>VLOOKUP(MP_registro[[#This Row],[TAG]],'DB-EQUIPOS GEN'!$C$11:$H$833,6,0)</f>
        <v>0320EV060</v>
      </c>
      <c r="K318" s="152">
        <v>44722</v>
      </c>
      <c r="L318" s="150" t="s">
        <v>247</v>
      </c>
      <c r="M318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18" s="144" t="s">
        <v>1664</v>
      </c>
      <c r="O318" s="64" t="s">
        <v>1696</v>
      </c>
      <c r="Q318" s="42"/>
    </row>
    <row r="319" spans="1:17" ht="34.15" customHeight="1">
      <c r="A319" s="65">
        <v>318</v>
      </c>
      <c r="B319" s="77" t="s">
        <v>260</v>
      </c>
      <c r="C319" s="64" t="s">
        <v>1693</v>
      </c>
      <c r="D319" s="150" t="s">
        <v>1729</v>
      </c>
      <c r="E319" s="79" t="s">
        <v>1072</v>
      </c>
      <c r="F319" s="166" t="str">
        <f>VLOOKUP(MP_registro[[#This Row],[TAG]],'DB-EQUIPOS GEN'!$C$11:$H$833,2,0)</f>
        <v>Valvula de ingreso de agua al tanque jugo claro</v>
      </c>
      <c r="G319" s="168" t="str">
        <f>VLOOKUP(MP_registro[[#This Row],[TAG]],'DB-EQUIPOS GEN'!$C$11:$H$833,3,0)</f>
        <v>PRODUCCION</v>
      </c>
      <c r="H319" s="168" t="str">
        <f>VLOOKUP(MP_registro[[#This Row],[TAG]],'DB-EQUIPOS GEN'!$C$11:$H$833,4,0)</f>
        <v>CLARIFICACION DE JUGO</v>
      </c>
      <c r="I319" s="168" t="str">
        <f>VLOOKUP(MP_registro[[#This Row],[TAG]],'DB-EQUIPOS GEN'!$C$11:$H$833,5,0)</f>
        <v>TANQUE DE JUGO CLARO</v>
      </c>
      <c r="J319" s="168" t="str">
        <f>VLOOKUP(MP_registro[[#This Row],[TAG]],'DB-EQUIPOS GEN'!$C$11:$H$833,6,0)</f>
        <v>0305TK190</v>
      </c>
      <c r="K319" s="152">
        <v>44722</v>
      </c>
      <c r="L319" s="150" t="s">
        <v>249</v>
      </c>
      <c r="M319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19" s="144" t="s">
        <v>1664</v>
      </c>
      <c r="O319" s="64" t="s">
        <v>1696</v>
      </c>
      <c r="Q319" s="42"/>
    </row>
    <row r="320" spans="1:17" ht="34.15" customHeight="1">
      <c r="A320" s="64">
        <v>319</v>
      </c>
      <c r="B320" s="77" t="s">
        <v>260</v>
      </c>
      <c r="C320" s="64" t="s">
        <v>1693</v>
      </c>
      <c r="D320" s="150" t="s">
        <v>1730</v>
      </c>
      <c r="E320" s="79" t="s">
        <v>259</v>
      </c>
      <c r="F320" s="166" t="str">
        <f>VLOOKUP(MP_registro[[#This Row],[TAG]],'DB-EQUIPOS GEN'!$C$11:$H$833,2,0)</f>
        <v>Tablero de periferia en Asset PH &amp; Cpan</v>
      </c>
      <c r="G320" s="168" t="str">
        <f>VLOOKUP(MP_registro[[#This Row],[TAG]],'DB-EQUIPOS GEN'!$C$11:$H$833,3,0)</f>
        <v>PRODUCCION</v>
      </c>
      <c r="H320" s="168" t="str">
        <f>VLOOKUP(MP_registro[[#This Row],[TAG]],'DB-EQUIPOS GEN'!$C$11:$H$833,4,0)</f>
        <v>CRISTALIZACION POR COCCION</v>
      </c>
      <c r="I320" s="168" t="str">
        <f>VLOOKUP(MP_registro[[#This Row],[TAG]],'DB-EQUIPOS GEN'!$C$11:$H$833,5,0)</f>
        <v>TACHO CONTINUO - A</v>
      </c>
      <c r="J320" s="168" t="str">
        <f>VLOOKUP(MP_registro[[#This Row],[TAG]],'DB-EQUIPOS GEN'!$C$11:$H$833,6,0)</f>
        <v>0335HX200</v>
      </c>
      <c r="K320" s="152">
        <v>44722</v>
      </c>
      <c r="L320" s="150" t="s">
        <v>248</v>
      </c>
      <c r="M320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20" s="144" t="s">
        <v>1664</v>
      </c>
      <c r="O320" s="64" t="s">
        <v>1696</v>
      </c>
      <c r="Q320" s="42"/>
    </row>
    <row r="321" spans="1:17" ht="34.15" customHeight="1">
      <c r="A321" s="65">
        <v>320</v>
      </c>
      <c r="B321" s="77" t="s">
        <v>260</v>
      </c>
      <c r="C321" s="64" t="s">
        <v>1693</v>
      </c>
      <c r="D321" s="150" t="s">
        <v>1731</v>
      </c>
      <c r="E321" s="79" t="s">
        <v>1644</v>
      </c>
      <c r="F321" s="166" t="str">
        <f>VLOOKUP(MP_registro[[#This Row],[TAG]],'DB-EQUIPOS GEN'!$C$11:$H$833,2,0)</f>
        <v>Explanada de Turbina Triveni</v>
      </c>
      <c r="G321" s="168" t="str">
        <f>VLOOKUP(MP_registro[[#This Row],[TAG]],'DB-EQUIPOS GEN'!$C$11:$H$833,3,0)</f>
        <v>E. ELECTRICA</v>
      </c>
      <c r="H321" s="168" t="str">
        <f>VLOOKUP(MP_registro[[#This Row],[TAG]],'DB-EQUIPOS GEN'!$C$11:$H$833,4,0)</f>
        <v>GENERACIÓN ENERG. ELEC. TURBO GENERADOR</v>
      </c>
      <c r="I321" s="168" t="str">
        <f>VLOOKUP(MP_registro[[#This Row],[TAG]],'DB-EQUIPOS GEN'!$C$11:$H$833,5,0)</f>
        <v>TURBOGENERADOR TRIVENI 23.2 MW</v>
      </c>
      <c r="J321" s="168" t="str">
        <f>VLOOKUP(MP_registro[[#This Row],[TAG]],'DB-EQUIPOS GEN'!$C$11:$H$833,6,0)</f>
        <v>0430TG020</v>
      </c>
      <c r="K321" s="152">
        <v>44722</v>
      </c>
      <c r="L321" s="150" t="s">
        <v>247</v>
      </c>
      <c r="M321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21" s="144" t="s">
        <v>1664</v>
      </c>
      <c r="O321" s="64" t="s">
        <v>1696</v>
      </c>
      <c r="Q321" s="42"/>
    </row>
    <row r="322" spans="1:17" ht="34.15" customHeight="1">
      <c r="A322" s="64">
        <v>321</v>
      </c>
      <c r="B322" s="77" t="s">
        <v>260</v>
      </c>
      <c r="C322" s="64" t="s">
        <v>1693</v>
      </c>
      <c r="D322" s="150" t="s">
        <v>1732</v>
      </c>
      <c r="E322" s="79" t="s">
        <v>1646</v>
      </c>
      <c r="F322" s="166" t="str">
        <f>VLOOKUP(MP_registro[[#This Row],[TAG]],'DB-EQUIPOS GEN'!$C$11:$H$833,2,0)</f>
        <v>Segundo nivel de Turbina TGM</v>
      </c>
      <c r="G322" s="168" t="str">
        <f>VLOOKUP(MP_registro[[#This Row],[TAG]],'DB-EQUIPOS GEN'!$C$11:$H$833,3,0)</f>
        <v>E. ELECTRICA</v>
      </c>
      <c r="H322" s="168" t="str">
        <f>VLOOKUP(MP_registro[[#This Row],[TAG]],'DB-EQUIPOS GEN'!$C$11:$H$833,4,0)</f>
        <v>SISTEMA DE ENFRIAMIENTO</v>
      </c>
      <c r="I322" s="168" t="str">
        <f>VLOOKUP(MP_registro[[#This Row],[TAG]],'DB-EQUIPOS GEN'!$C$11:$H$833,5,0)</f>
        <v>TORRE DE ENFRIAMIENTO MARLEY - TG TGM</v>
      </c>
      <c r="J322" s="168" t="str">
        <f>VLOOKUP(MP_registro[[#This Row],[TAG]],'DB-EQUIPOS GEN'!$C$11:$H$833,6,0)</f>
        <v>0430CT050</v>
      </c>
      <c r="K322" s="152">
        <v>44722</v>
      </c>
      <c r="L322" s="150" t="s">
        <v>249</v>
      </c>
      <c r="M322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22" s="144" t="s">
        <v>1664</v>
      </c>
      <c r="O322" s="64" t="s">
        <v>1696</v>
      </c>
      <c r="Q322" s="42"/>
    </row>
    <row r="323" spans="1:17" ht="34.15" customHeight="1">
      <c r="A323" s="65">
        <v>322</v>
      </c>
      <c r="B323" s="77" t="s">
        <v>260</v>
      </c>
      <c r="C323" s="64" t="s">
        <v>1693</v>
      </c>
      <c r="D323" s="150" t="s">
        <v>1733</v>
      </c>
      <c r="E323" s="79" t="s">
        <v>1647</v>
      </c>
      <c r="F323" s="166" t="str">
        <f>VLOOKUP(MP_registro[[#This Row],[TAG]],'DB-EQUIPOS GEN'!$C$11:$H$833,2,0)</f>
        <v>Explanada frontal de Turbina Triveni</v>
      </c>
      <c r="G323" s="168" t="str">
        <f>VLOOKUP(MP_registro[[#This Row],[TAG]],'DB-EQUIPOS GEN'!$C$11:$H$833,3,0)</f>
        <v>E. ELECTRICA</v>
      </c>
      <c r="H323" s="168" t="str">
        <f>VLOOKUP(MP_registro[[#This Row],[TAG]],'DB-EQUIPOS GEN'!$C$11:$H$833,4,0)</f>
        <v>GENERACIÓN ENERG. ELEC. TURBO GENERADOR</v>
      </c>
      <c r="I323" s="168" t="str">
        <f>VLOOKUP(MP_registro[[#This Row],[TAG]],'DB-EQUIPOS GEN'!$C$11:$H$833,5,0)</f>
        <v>TURBOGENERADOR TRIVENI 23.2 MW</v>
      </c>
      <c r="J323" s="168" t="str">
        <f>VLOOKUP(MP_registro[[#This Row],[TAG]],'DB-EQUIPOS GEN'!$C$11:$H$833,6,0)</f>
        <v>0430TG020</v>
      </c>
      <c r="K323" s="152">
        <v>44722</v>
      </c>
      <c r="L323" s="150" t="s">
        <v>247</v>
      </c>
      <c r="M323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23" s="144" t="s">
        <v>1664</v>
      </c>
      <c r="O323" s="64" t="s">
        <v>1696</v>
      </c>
      <c r="Q323" s="42"/>
    </row>
    <row r="324" spans="1:17" ht="34.15" customHeight="1">
      <c r="A324" s="64">
        <v>323</v>
      </c>
      <c r="B324" s="77" t="s">
        <v>260</v>
      </c>
      <c r="C324" s="64" t="s">
        <v>1693</v>
      </c>
      <c r="D324" s="150" t="s">
        <v>1734</v>
      </c>
      <c r="E324" s="79" t="s">
        <v>1650</v>
      </c>
      <c r="F324" s="166" t="str">
        <f>VLOOKUP(MP_registro[[#This Row],[TAG]],'DB-EQUIPOS GEN'!$C$11:$H$833,2,0)</f>
        <v>Faja 1003 - Conductor distribuidor de bagazo</v>
      </c>
      <c r="G324" s="168" t="str">
        <f>VLOOKUP(MP_registro[[#This Row],[TAG]],'DB-EQUIPOS GEN'!$C$11:$H$833,3,0)</f>
        <v>E. TERMICA</v>
      </c>
      <c r="H324" s="168" t="str">
        <f>VLOOKUP(MP_registro[[#This Row],[TAG]],'DB-EQUIPOS GEN'!$C$11:$H$833,4,0)</f>
        <v>TRANSPORTE DE BAGAZO</v>
      </c>
      <c r="I324" s="168" t="str">
        <f>VLOOKUP(MP_registro[[#This Row],[TAG]],'DB-EQUIPOS GEN'!$C$11:$H$833,5,0)</f>
        <v>TRANSPORTADOR DE BAGAZO 1003</v>
      </c>
      <c r="J324" s="168" t="str">
        <f>VLOOKUP(MP_registro[[#This Row],[TAG]],'DB-EQUIPOS GEN'!$C$11:$H$833,6,0)</f>
        <v>0805CV060</v>
      </c>
      <c r="K324" s="152">
        <v>44722</v>
      </c>
      <c r="L324" s="150" t="s">
        <v>249</v>
      </c>
      <c r="M324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24" s="144" t="s">
        <v>1664</v>
      </c>
      <c r="O324" s="64" t="s">
        <v>1696</v>
      </c>
      <c r="Q324" s="42"/>
    </row>
    <row r="325" spans="1:17" ht="34.15" customHeight="1">
      <c r="A325" s="65">
        <v>324</v>
      </c>
      <c r="B325" s="77" t="s">
        <v>260</v>
      </c>
      <c r="C325" s="64" t="s">
        <v>1693</v>
      </c>
      <c r="D325" s="150" t="s">
        <v>1735</v>
      </c>
      <c r="E325" s="79" t="s">
        <v>1654</v>
      </c>
      <c r="F325" s="166" t="str">
        <f>VLOOKUP(MP_registro[[#This Row],[TAG]],'DB-EQUIPOS GEN'!$C$11:$H$833,2,0)</f>
        <v>Vista global de sala turbina TGM</v>
      </c>
      <c r="G325" s="168" t="str">
        <f>VLOOKUP(MP_registro[[#This Row],[TAG]],'DB-EQUIPOS GEN'!$C$11:$H$833,3,0)</f>
        <v>E. ELECTRICA</v>
      </c>
      <c r="H325" s="168" t="str">
        <f>VLOOKUP(MP_registro[[#This Row],[TAG]],'DB-EQUIPOS GEN'!$C$11:$H$833,4,0)</f>
        <v>SISTEMA DE ENFRIAMIENTO</v>
      </c>
      <c r="I325" s="168" t="str">
        <f>VLOOKUP(MP_registro[[#This Row],[TAG]],'DB-EQUIPOS GEN'!$C$11:$H$833,5,0)</f>
        <v>TORRE DE ENFRIAMIENTO MARLEY - TG TGM</v>
      </c>
      <c r="J325" s="168" t="str">
        <f>VLOOKUP(MP_registro[[#This Row],[TAG]],'DB-EQUIPOS GEN'!$C$11:$H$833,6,0)</f>
        <v>0430CT050</v>
      </c>
      <c r="K325" s="152">
        <v>44722</v>
      </c>
      <c r="L325" s="150" t="s">
        <v>247</v>
      </c>
      <c r="M325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25" s="144" t="s">
        <v>13</v>
      </c>
      <c r="O325" s="64" t="s">
        <v>1696</v>
      </c>
      <c r="Q325" s="42"/>
    </row>
    <row r="326" spans="1:17" ht="34.15" customHeight="1">
      <c r="A326" s="64">
        <v>325</v>
      </c>
      <c r="B326" s="77" t="s">
        <v>260</v>
      </c>
      <c r="C326" s="64" t="s">
        <v>1693</v>
      </c>
      <c r="D326" s="150" t="s">
        <v>1736</v>
      </c>
      <c r="E326" s="79" t="s">
        <v>252</v>
      </c>
      <c r="F326" s="166" t="str">
        <f>VLOOKUP(MP_registro[[#This Row],[TAG]],'DB-EQUIPOS GEN'!$C$11:$H$833,2,0)</f>
        <v>Valvula reductora 2</v>
      </c>
      <c r="G326" s="168" t="str">
        <f>VLOOKUP(MP_registro[[#This Row],[TAG]],'DB-EQUIPOS GEN'!$C$11:$H$833,3,0)</f>
        <v>E. TERMICA</v>
      </c>
      <c r="H326" s="168" t="str">
        <f>VLOOKUP(MP_registro[[#This Row],[TAG]],'DB-EQUIPOS GEN'!$C$11:$H$833,4,0)</f>
        <v>DISTRIBUCION DE VAPOR</v>
      </c>
      <c r="I326" s="168" t="str">
        <f>VLOOKUP(MP_registro[[#This Row],[TAG]],'DB-EQUIPOS GEN'!$C$11:$H$833,5,0)</f>
        <v>REDUCTOR DE DESPACHO DE VAPOR 2</v>
      </c>
      <c r="J326" s="168" t="str">
        <f>VLOOKUP(MP_registro[[#This Row],[TAG]],'DB-EQUIPOS GEN'!$C$11:$H$833,6,0)</f>
        <v>0405RE020</v>
      </c>
      <c r="K326" s="152">
        <v>44723</v>
      </c>
      <c r="L326" s="150" t="s">
        <v>249</v>
      </c>
      <c r="M326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26" s="144" t="s">
        <v>1664</v>
      </c>
      <c r="O326" s="64" t="s">
        <v>1696</v>
      </c>
      <c r="Q326" s="42"/>
    </row>
    <row r="327" spans="1:17" ht="34.15" customHeight="1">
      <c r="A327" s="65">
        <v>326</v>
      </c>
      <c r="B327" s="77" t="s">
        <v>260</v>
      </c>
      <c r="C327" s="64" t="s">
        <v>1693</v>
      </c>
      <c r="D327" s="150" t="s">
        <v>1737</v>
      </c>
      <c r="E327" s="79" t="s">
        <v>774</v>
      </c>
      <c r="F327" s="166" t="str">
        <f>VLOOKUP(MP_registro[[#This Row],[TAG]],'DB-EQUIPOS GEN'!$C$11:$H$833,2,0)</f>
        <v>Brix de masa C - Celda 5</v>
      </c>
      <c r="G327" s="168" t="str">
        <f>VLOOKUP(MP_registro[[#This Row],[TAG]],'DB-EQUIPOS GEN'!$C$11:$H$833,3,0)</f>
        <v>PRODUCCION</v>
      </c>
      <c r="H327" s="168" t="str">
        <f>VLOOKUP(MP_registro[[#This Row],[TAG]],'DB-EQUIPOS GEN'!$C$11:$H$833,4,0)</f>
        <v>CRISTALIZACION POR COCCION</v>
      </c>
      <c r="I327" s="168" t="str">
        <f>VLOOKUP(MP_registro[[#This Row],[TAG]],'DB-EQUIPOS GEN'!$C$11:$H$833,5,0)</f>
        <v xml:space="preserve">TACHO CONTINUO C </v>
      </c>
      <c r="J327" s="168" t="str">
        <f>VLOOKUP(MP_registro[[#This Row],[TAG]],'DB-EQUIPOS GEN'!$C$11:$H$833,6,0)</f>
        <v xml:space="preserve"> 0335HX260</v>
      </c>
      <c r="K327" s="152">
        <v>44723</v>
      </c>
      <c r="L327" s="150" t="s">
        <v>247</v>
      </c>
      <c r="M327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27" s="144" t="s">
        <v>1664</v>
      </c>
      <c r="O327" s="64" t="s">
        <v>1696</v>
      </c>
      <c r="Q327" s="42"/>
    </row>
    <row r="328" spans="1:17" ht="34.15" customHeight="1">
      <c r="A328" s="64">
        <v>327</v>
      </c>
      <c r="B328" s="77" t="s">
        <v>260</v>
      </c>
      <c r="C328" s="64" t="s">
        <v>1693</v>
      </c>
      <c r="D328" s="150" t="s">
        <v>1738</v>
      </c>
      <c r="E328" s="156" t="s">
        <v>803</v>
      </c>
      <c r="F328" s="166" t="str">
        <f>VLOOKUP(MP_registro[[#This Row],[TAG]],'DB-EQUIPOS GEN'!$C$11:$H$833,2,0)</f>
        <v>Peso de azucar balanza B - Silo 2</v>
      </c>
      <c r="G328" s="168" t="str">
        <f>VLOOKUP(MP_registro[[#This Row],[TAG]],'DB-EQUIPOS GEN'!$C$11:$H$833,3,0)</f>
        <v>PRODUCCION</v>
      </c>
      <c r="H328" s="168" t="str">
        <f>VLOOKUP(MP_registro[[#This Row],[TAG]],'DB-EQUIPOS GEN'!$C$11:$H$833,4,0)</f>
        <v>ENVASADO DE AZUCAR RUBIA</v>
      </c>
      <c r="I328" s="168" t="str">
        <f>VLOOKUP(MP_registro[[#This Row],[TAG]],'DB-EQUIPOS GEN'!$C$11:$H$833,5,0)</f>
        <v>SILO 2</v>
      </c>
      <c r="J328" s="168" t="str">
        <f>VLOOKUP(MP_registro[[#This Row],[TAG]],'DB-EQUIPOS GEN'!$C$11:$H$833,6,0)</f>
        <v>0355BI100</v>
      </c>
      <c r="K328" s="152">
        <v>44723</v>
      </c>
      <c r="L328" s="150" t="s">
        <v>249</v>
      </c>
      <c r="M328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28" s="144" t="s">
        <v>1664</v>
      </c>
      <c r="O328" s="64" t="s">
        <v>1696</v>
      </c>
      <c r="Q328" s="42"/>
    </row>
    <row r="329" spans="1:17" ht="34.15" customHeight="1">
      <c r="A329" s="65">
        <v>328</v>
      </c>
      <c r="B329" s="77" t="s">
        <v>260</v>
      </c>
      <c r="C329" s="64" t="s">
        <v>1693</v>
      </c>
      <c r="D329" s="150" t="s">
        <v>1739</v>
      </c>
      <c r="E329" s="79" t="s">
        <v>1039</v>
      </c>
      <c r="F329" s="166" t="str">
        <f>VLOOKUP(MP_registro[[#This Row],[TAG]],'DB-EQUIPOS GEN'!$C$11:$H$833,2,0)</f>
        <v>Vibracion del Ventilador Inducido #1</v>
      </c>
      <c r="G329" s="168" t="str">
        <f>VLOOKUP(MP_registro[[#This Row],[TAG]],'DB-EQUIPOS GEN'!$C$11:$H$833,3,0)</f>
        <v>E. TERMICA</v>
      </c>
      <c r="H329" s="168" t="str">
        <f>VLOOKUP(MP_registro[[#This Row],[TAG]],'DB-EQUIPOS GEN'!$C$11:$H$833,4,0)</f>
        <v>GENERACION DE VAPOR</v>
      </c>
      <c r="I329" s="168" t="str">
        <f>VLOOKUP(MP_registro[[#This Row],[TAG]],'DB-EQUIPOS GEN'!$C$11:$H$833,5,0)</f>
        <v>VENTILADOR DE TIRO INDUCIDO 1</v>
      </c>
      <c r="J329" s="168" t="str">
        <f>VLOOKUP(MP_registro[[#This Row],[TAG]],'DB-EQUIPOS GEN'!$C$11:$H$833,6,0)</f>
        <v>0405FA120</v>
      </c>
      <c r="K329" s="152">
        <v>44723</v>
      </c>
      <c r="L329" s="150" t="s">
        <v>247</v>
      </c>
      <c r="M329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29" s="144" t="s">
        <v>1664</v>
      </c>
      <c r="O329" s="64" t="s">
        <v>1696</v>
      </c>
      <c r="Q329" s="42"/>
    </row>
    <row r="330" spans="1:17" ht="34.15" customHeight="1">
      <c r="A330" s="64">
        <v>329</v>
      </c>
      <c r="B330" s="77" t="s">
        <v>260</v>
      </c>
      <c r="C330" s="64" t="s">
        <v>1693</v>
      </c>
      <c r="D330" s="150" t="s">
        <v>1740</v>
      </c>
      <c r="E330" s="79" t="s">
        <v>258</v>
      </c>
      <c r="F330" s="166" t="str">
        <f>VLOOKUP(MP_registro[[#This Row],[TAG]],'DB-EQUIPOS GEN'!$C$11:$H$833,2,0)</f>
        <v>Tablero de periferia en Asset Cocimiento</v>
      </c>
      <c r="G330" s="168" t="str">
        <f>VLOOKUP(MP_registro[[#This Row],[TAG]],'DB-EQUIPOS GEN'!$C$11:$H$833,3,0)</f>
        <v>PRODUCCION</v>
      </c>
      <c r="H330" s="168" t="str">
        <f>VLOOKUP(MP_registro[[#This Row],[TAG]],'DB-EQUIPOS GEN'!$C$11:$H$833,4,0)</f>
        <v>CRISTALIZACION POR COCCION</v>
      </c>
      <c r="I330" s="168" t="str">
        <f>VLOOKUP(MP_registro[[#This Row],[TAG]],'DB-EQUIPOS GEN'!$C$11:$H$833,5,0)</f>
        <v>TACHO CONTINUO - A</v>
      </c>
      <c r="J330" s="168" t="str">
        <f>VLOOKUP(MP_registro[[#This Row],[TAG]],'DB-EQUIPOS GEN'!$C$11:$H$833,6,0)</f>
        <v>0335HX200</v>
      </c>
      <c r="K330" s="152">
        <v>44723</v>
      </c>
      <c r="L330" s="150" t="s">
        <v>248</v>
      </c>
      <c r="M330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30" s="144" t="s">
        <v>1664</v>
      </c>
      <c r="O330" s="64" t="s">
        <v>1696</v>
      </c>
      <c r="Q330" s="42"/>
    </row>
    <row r="331" spans="1:17" ht="34.15" customHeight="1">
      <c r="A331" s="65">
        <v>330</v>
      </c>
      <c r="B331" s="77" t="s">
        <v>260</v>
      </c>
      <c r="C331" s="64" t="s">
        <v>1693</v>
      </c>
      <c r="D331" s="150" t="s">
        <v>1741</v>
      </c>
      <c r="E331" s="79" t="s">
        <v>1340</v>
      </c>
      <c r="F331" s="166" t="str">
        <f>VLOOKUP(MP_registro[[#This Row],[TAG]],'DB-EQUIPOS GEN'!$C$11:$H$833,2,0)</f>
        <v>Controlador C300 en Asset Caldera</v>
      </c>
      <c r="G331" s="168" t="str">
        <f>VLOOKUP(MP_registro[[#This Row],[TAG]],'DB-EQUIPOS GEN'!$C$11:$H$833,3,0)</f>
        <v>E. TERMICA</v>
      </c>
      <c r="H331" s="168" t="str">
        <f>VLOOKUP(MP_registro[[#This Row],[TAG]],'DB-EQUIPOS GEN'!$C$11:$H$833,4,0)</f>
        <v>GENERACION DE VAPOR</v>
      </c>
      <c r="I331" s="168" t="str">
        <f>VLOOKUP(MP_registro[[#This Row],[TAG]],'DB-EQUIPOS GEN'!$C$11:$H$833,5,0)</f>
        <v>CALDERA</v>
      </c>
      <c r="J331" s="168" t="str">
        <f>VLOOKUP(MP_registro[[#This Row],[TAG]],'DB-EQUIPOS GEN'!$C$11:$H$833,6,0)</f>
        <v>0405BR010</v>
      </c>
      <c r="K331" s="152">
        <v>44723</v>
      </c>
      <c r="L331" s="150" t="s">
        <v>248</v>
      </c>
      <c r="M331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31" s="144" t="s">
        <v>1664</v>
      </c>
      <c r="O331" s="64" t="s">
        <v>1696</v>
      </c>
      <c r="Q331" s="42"/>
    </row>
    <row r="332" spans="1:17" ht="34.15" customHeight="1">
      <c r="A332" s="64">
        <v>331</v>
      </c>
      <c r="B332" s="77" t="s">
        <v>260</v>
      </c>
      <c r="C332" s="64" t="s">
        <v>1693</v>
      </c>
      <c r="D332" s="150" t="s">
        <v>1742</v>
      </c>
      <c r="E332" s="79" t="s">
        <v>1350</v>
      </c>
      <c r="F332" s="166" t="str">
        <f>VLOOKUP(MP_registro[[#This Row],[TAG]],'DB-EQUIPOS GEN'!$C$11:$H$833,2,0)</f>
        <v>Controlador C300 en Asset PH &amp; Cpan</v>
      </c>
      <c r="G332" s="168" t="str">
        <f>VLOOKUP(MP_registro[[#This Row],[TAG]],'DB-EQUIPOS GEN'!$C$11:$H$833,3,0)</f>
        <v>PRODUCCION</v>
      </c>
      <c r="H332" s="168" t="str">
        <f>VLOOKUP(MP_registro[[#This Row],[TAG]],'DB-EQUIPOS GEN'!$C$11:$H$833,4,0)</f>
        <v>CRISTALIZACION POR COCCION</v>
      </c>
      <c r="I332" s="168" t="str">
        <f>VLOOKUP(MP_registro[[#This Row],[TAG]],'DB-EQUIPOS GEN'!$C$11:$H$833,5,0)</f>
        <v>TACHO CONTINUO - A</v>
      </c>
      <c r="J332" s="168" t="str">
        <f>VLOOKUP(MP_registro[[#This Row],[TAG]],'DB-EQUIPOS GEN'!$C$11:$H$833,6,0)</f>
        <v>0335HX200</v>
      </c>
      <c r="K332" s="152">
        <v>44723</v>
      </c>
      <c r="L332" s="150" t="s">
        <v>248</v>
      </c>
      <c r="M332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32" s="144" t="s">
        <v>1664</v>
      </c>
      <c r="O332" s="64" t="s">
        <v>1696</v>
      </c>
      <c r="Q332" s="42"/>
    </row>
    <row r="333" spans="1:17" ht="34.15" customHeight="1">
      <c r="A333" s="65">
        <v>332</v>
      </c>
      <c r="B333" s="77" t="s">
        <v>260</v>
      </c>
      <c r="C333" s="64" t="s">
        <v>1693</v>
      </c>
      <c r="D333" s="150" t="s">
        <v>1743</v>
      </c>
      <c r="E333" s="79" t="s">
        <v>1643</v>
      </c>
      <c r="F333" s="166" t="str">
        <f>VLOOKUP(MP_registro[[#This Row],[TAG]],'DB-EQUIPOS GEN'!$C$11:$H$833,2,0)</f>
        <v>Nivelador de cama de bagazo en difusor</v>
      </c>
      <c r="G333" s="168" t="str">
        <f>VLOOKUP(MP_registro[[#This Row],[TAG]],'DB-EQUIPOS GEN'!$C$11:$H$833,3,0)</f>
        <v>EXTRACCION</v>
      </c>
      <c r="H333" s="168" t="str">
        <f>VLOOKUP(MP_registro[[#This Row],[TAG]],'DB-EQUIPOS GEN'!$C$11:$H$833,4,0)</f>
        <v>DIFUSOR</v>
      </c>
      <c r="I333" s="168" t="str">
        <f>VLOOKUP(MP_registro[[#This Row],[TAG]],'DB-EQUIPOS GEN'!$C$11:$H$833,5,0)</f>
        <v>CONDUCTOR TRANSVERSAL</v>
      </c>
      <c r="J333" s="168" t="str">
        <f>VLOOKUP(MP_registro[[#This Row],[TAG]],'DB-EQUIPOS GEN'!$C$11:$H$833,6,0)</f>
        <v>0205CV190</v>
      </c>
      <c r="K333" s="152">
        <v>44723</v>
      </c>
      <c r="L333" s="150" t="s">
        <v>249</v>
      </c>
      <c r="M333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33" s="144" t="s">
        <v>1664</v>
      </c>
      <c r="O333" s="64" t="s">
        <v>1696</v>
      </c>
      <c r="Q333" s="42"/>
    </row>
    <row r="334" spans="1:17" ht="34.15" customHeight="1">
      <c r="A334" s="64">
        <v>333</v>
      </c>
      <c r="B334" s="77" t="s">
        <v>260</v>
      </c>
      <c r="C334" s="64" t="s">
        <v>1693</v>
      </c>
      <c r="D334" s="150" t="s">
        <v>1744</v>
      </c>
      <c r="E334" s="79" t="s">
        <v>1645</v>
      </c>
      <c r="F334" s="166" t="str">
        <f>VLOOKUP(MP_registro[[#This Row],[TAG]],'DB-EQUIPOS GEN'!$C$11:$H$833,2,0)</f>
        <v>Tamiz rotativo</v>
      </c>
      <c r="G334" s="168" t="str">
        <f>VLOOKUP(MP_registro[[#This Row],[TAG]],'DB-EQUIPOS GEN'!$C$11:$H$833,3,0)</f>
        <v>EXTRACCION</v>
      </c>
      <c r="H334" s="168" t="str">
        <f>VLOOKUP(MP_registro[[#This Row],[TAG]],'DB-EQUIPOS GEN'!$C$11:$H$833,4,0)</f>
        <v>DIFUSOR</v>
      </c>
      <c r="I334" s="168" t="str">
        <f>VLOOKUP(MP_registro[[#This Row],[TAG]],'DB-EQUIPOS GEN'!$C$11:$H$833,5,0)</f>
        <v>TAMIZ ROTATIVO</v>
      </c>
      <c r="J334" s="168" t="str">
        <f>VLOOKUP(MP_registro[[#This Row],[TAG]],'DB-EQUIPOS GEN'!$C$11:$H$833,6,0)</f>
        <v>0305FL010</v>
      </c>
      <c r="K334" s="152">
        <v>44723</v>
      </c>
      <c r="L334" s="150" t="s">
        <v>247</v>
      </c>
      <c r="M334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34" s="144" t="s">
        <v>1664</v>
      </c>
      <c r="O334" s="64" t="s">
        <v>1696</v>
      </c>
      <c r="Q334" s="42"/>
    </row>
    <row r="335" spans="1:17" ht="34.15" customHeight="1">
      <c r="A335" s="65">
        <v>334</v>
      </c>
      <c r="B335" s="77" t="s">
        <v>260</v>
      </c>
      <c r="C335" s="64" t="s">
        <v>1693</v>
      </c>
      <c r="D335" s="150" t="s">
        <v>1745</v>
      </c>
      <c r="E335" s="79" t="s">
        <v>1041</v>
      </c>
      <c r="F335" s="166" t="str">
        <f>VLOOKUP(MP_registro[[#This Row],[TAG]],'DB-EQUIPOS GEN'!$C$11:$H$833,2,0)</f>
        <v>Vibracion del Ventilador Inducido #2</v>
      </c>
      <c r="G335" s="168" t="str">
        <f>VLOOKUP(MP_registro[[#This Row],[TAG]],'DB-EQUIPOS GEN'!$C$11:$H$833,3,0)</f>
        <v>E. TERMICA</v>
      </c>
      <c r="H335" s="168" t="str">
        <f>VLOOKUP(MP_registro[[#This Row],[TAG]],'DB-EQUIPOS GEN'!$C$11:$H$833,4,0)</f>
        <v>GENERACION DE VAPOR</v>
      </c>
      <c r="I335" s="168" t="str">
        <f>VLOOKUP(MP_registro[[#This Row],[TAG]],'DB-EQUIPOS GEN'!$C$11:$H$833,5,0)</f>
        <v>VENTILADOR DE TIRO INDUCIDO 2</v>
      </c>
      <c r="J335" s="168" t="str">
        <f>VLOOKUP(MP_registro[[#This Row],[TAG]],'DB-EQUIPOS GEN'!$C$11:$H$833,6,0)</f>
        <v>0405FA130</v>
      </c>
      <c r="K335" s="152">
        <v>44724</v>
      </c>
      <c r="L335" s="150" t="s">
        <v>249</v>
      </c>
      <c r="M335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35" s="144" t="s">
        <v>1664</v>
      </c>
      <c r="O335" s="64" t="s">
        <v>1696</v>
      </c>
      <c r="Q335" s="42"/>
    </row>
    <row r="336" spans="1:17" ht="34.15" customHeight="1">
      <c r="A336" s="64">
        <v>335</v>
      </c>
      <c r="B336" s="77" t="s">
        <v>260</v>
      </c>
      <c r="C336" s="64" t="s">
        <v>1693</v>
      </c>
      <c r="D336" s="150" t="s">
        <v>1746</v>
      </c>
      <c r="E336" s="79" t="s">
        <v>257</v>
      </c>
      <c r="F336" s="166" t="str">
        <f>VLOOKUP(MP_registro[[#This Row],[TAG]],'DB-EQUIPOS GEN'!$C$11:$H$833,2,0)</f>
        <v>Tablero de periferia en Asset Process House</v>
      </c>
      <c r="G336" s="168" t="str">
        <f>VLOOKUP(MP_registro[[#This Row],[TAG]],'DB-EQUIPOS GEN'!$C$11:$H$833,3,0)</f>
        <v>PRODUCCION</v>
      </c>
      <c r="H336" s="168" t="str">
        <f>VLOOKUP(MP_registro[[#This Row],[TAG]],'DB-EQUIPOS GEN'!$C$11:$H$833,4,0)</f>
        <v>EVAPORACION DE JUGO</v>
      </c>
      <c r="I336" s="168" t="str">
        <f>VLOOKUP(MP_registro[[#This Row],[TAG]],'DB-EQUIPOS GEN'!$C$11:$H$833,5,0)</f>
        <v>EVAPORADOR FFE 1</v>
      </c>
      <c r="J336" s="168" t="str">
        <f>VLOOKUP(MP_registro[[#This Row],[TAG]],'DB-EQUIPOS GEN'!$C$11:$H$833,6,0)</f>
        <v>0320EV010</v>
      </c>
      <c r="K336" s="152">
        <v>44724</v>
      </c>
      <c r="L336" s="150" t="s">
        <v>248</v>
      </c>
      <c r="M336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36" s="144" t="s">
        <v>1664</v>
      </c>
      <c r="O336" s="64" t="s">
        <v>1696</v>
      </c>
      <c r="Q336" s="42"/>
    </row>
    <row r="337" spans="1:17" ht="34.15" customHeight="1">
      <c r="A337" s="65">
        <v>336</v>
      </c>
      <c r="B337" s="77" t="s">
        <v>260</v>
      </c>
      <c r="C337" s="64" t="s">
        <v>1693</v>
      </c>
      <c r="D337" s="150" t="s">
        <v>1747</v>
      </c>
      <c r="E337" s="79" t="s">
        <v>1348</v>
      </c>
      <c r="F337" s="166" t="str">
        <f>VLOOKUP(MP_registro[[#This Row],[TAG]],'DB-EQUIPOS GEN'!$C$11:$H$833,2,0)</f>
        <v>Controlador C300 en Asset Cocimiento</v>
      </c>
      <c r="G337" s="168" t="str">
        <f>VLOOKUP(MP_registro[[#This Row],[TAG]],'DB-EQUIPOS GEN'!$C$11:$H$833,3,0)</f>
        <v>PRODUCCION</v>
      </c>
      <c r="H337" s="168" t="str">
        <f>VLOOKUP(MP_registro[[#This Row],[TAG]],'DB-EQUIPOS GEN'!$C$11:$H$833,4,0)</f>
        <v>CRISTALIZACION POR COCCION</v>
      </c>
      <c r="I337" s="168" t="str">
        <f>VLOOKUP(MP_registro[[#This Row],[TAG]],'DB-EQUIPOS GEN'!$C$11:$H$833,5,0)</f>
        <v>TACHO CONTINUO - A</v>
      </c>
      <c r="J337" s="168" t="str">
        <f>VLOOKUP(MP_registro[[#This Row],[TAG]],'DB-EQUIPOS GEN'!$C$11:$H$833,6,0)</f>
        <v>0335HX200</v>
      </c>
      <c r="K337" s="152">
        <v>44724</v>
      </c>
      <c r="L337" s="150" t="s">
        <v>248</v>
      </c>
      <c r="M337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37" s="144" t="s">
        <v>1664</v>
      </c>
      <c r="O337" s="64" t="s">
        <v>1696</v>
      </c>
      <c r="Q337" s="42"/>
    </row>
    <row r="338" spans="1:17" ht="34.15" customHeight="1">
      <c r="A338" s="64">
        <v>337</v>
      </c>
      <c r="B338" s="77" t="s">
        <v>260</v>
      </c>
      <c r="C338" s="64" t="s">
        <v>1693</v>
      </c>
      <c r="D338" s="150" t="s">
        <v>1748</v>
      </c>
      <c r="E338" s="79" t="s">
        <v>2416</v>
      </c>
      <c r="F338" s="166" t="str">
        <f>VLOOKUP(MP_registro[[#This Row],[TAG]],'DB-EQUIPOS GEN'!$C$11:$H$833,2,0)</f>
        <v>Vista Conductor Auxiliar - Superior</v>
      </c>
      <c r="G338" s="168" t="str">
        <f>VLOOKUP(MP_registro[[#This Row],[TAG]],'DB-EQUIPOS GEN'!$C$11:$H$833,3,0)</f>
        <v>EXTRACCION</v>
      </c>
      <c r="H338" s="168" t="str">
        <f>VLOOKUP(MP_registro[[#This Row],[TAG]],'DB-EQUIPOS GEN'!$C$11:$H$833,4,0)</f>
        <v>PREPARACIÓN DE CAÑA</v>
      </c>
      <c r="I338" s="168" t="str">
        <f>VLOOKUP(MP_registro[[#This Row],[TAG]],'DB-EQUIPOS GEN'!$C$11:$H$833,5,0)</f>
        <v>CONDUCTOR AUXILIAR DE CAÑA</v>
      </c>
      <c r="J338" s="168" t="str">
        <f>VLOOKUP(MP_registro[[#This Row],[TAG]],'DB-EQUIPOS GEN'!$C$11:$H$833,6,0)</f>
        <v>0115CV010</v>
      </c>
      <c r="K338" s="152">
        <v>44724</v>
      </c>
      <c r="L338" s="150" t="s">
        <v>247</v>
      </c>
      <c r="M338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38" s="144" t="s">
        <v>1664</v>
      </c>
      <c r="O338" s="64" t="s">
        <v>1696</v>
      </c>
      <c r="Q338" s="42"/>
    </row>
    <row r="339" spans="1:17" ht="34.15" customHeight="1">
      <c r="A339" s="65">
        <v>338</v>
      </c>
      <c r="B339" s="77" t="s">
        <v>260</v>
      </c>
      <c r="C339" s="64" t="s">
        <v>1693</v>
      </c>
      <c r="D339" s="150" t="s">
        <v>1749</v>
      </c>
      <c r="E339" s="79" t="s">
        <v>2406</v>
      </c>
      <c r="F339" s="166" t="str">
        <f>VLOOKUP(MP_registro[[#This Row],[TAG]],'DB-EQUIPOS GEN'!$C$11:$H$833,2,0)</f>
        <v>Vista Mesa de Caña - Descarga de Tetras</v>
      </c>
      <c r="G339" s="168" t="str">
        <f>VLOOKUP(MP_registro[[#This Row],[TAG]],'DB-EQUIPOS GEN'!$C$11:$H$833,3,0)</f>
        <v>EXTRACCION</v>
      </c>
      <c r="H339" s="168" t="str">
        <f>VLOOKUP(MP_registro[[#This Row],[TAG]],'DB-EQUIPOS GEN'!$C$11:$H$833,4,0)</f>
        <v>RECEPCIÓN DE CAÑA</v>
      </c>
      <c r="I339" s="168" t="str">
        <f>VLOOKUP(MP_registro[[#This Row],[TAG]],'DB-EQUIPOS GEN'!$C$11:$H$833,5,0)</f>
        <v>MESA DE CAÑA</v>
      </c>
      <c r="J339" s="168" t="str">
        <f>VLOOKUP(MP_registro[[#This Row],[TAG]],'DB-EQUIPOS GEN'!$C$11:$H$833,6,0)</f>
        <v>0110FE019</v>
      </c>
      <c r="K339" s="152">
        <v>44724</v>
      </c>
      <c r="L339" s="150" t="s">
        <v>249</v>
      </c>
      <c r="M339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39" s="144" t="s">
        <v>1664</v>
      </c>
      <c r="O339" s="64" t="s">
        <v>1696</v>
      </c>
      <c r="Q339" s="42"/>
    </row>
    <row r="340" spans="1:17" ht="34.15" customHeight="1">
      <c r="A340" s="64">
        <v>339</v>
      </c>
      <c r="B340" s="77" t="s">
        <v>260</v>
      </c>
      <c r="C340" s="64" t="s">
        <v>1800</v>
      </c>
      <c r="D340" s="77" t="s">
        <v>1751</v>
      </c>
      <c r="E340" s="77" t="s">
        <v>344</v>
      </c>
      <c r="F340" s="166" t="str">
        <f>VLOOKUP(MP_registro[[#This Row],[TAG]],'DB-EQUIPOS GEN'!$C$11:$H$833,2,0)</f>
        <v>Nivel de bagazo de chute donelly de molino secador</v>
      </c>
      <c r="G340" s="168" t="str">
        <f>VLOOKUP(MP_registro[[#This Row],[TAG]],'DB-EQUIPOS GEN'!$C$11:$H$833,3,0)</f>
        <v>EXTRACCION</v>
      </c>
      <c r="H340" s="168" t="str">
        <f>VLOOKUP(MP_registro[[#This Row],[TAG]],'DB-EQUIPOS GEN'!$C$11:$H$833,4,0)</f>
        <v>MOLINOS</v>
      </c>
      <c r="I340" s="168" t="str">
        <f>VLOOKUP(MP_registro[[#This Row],[TAG]],'DB-EQUIPOS GEN'!$C$11:$H$833,5,0)</f>
        <v xml:space="preserve">MOLINO SECADOR </v>
      </c>
      <c r="J340" s="168" t="str">
        <f>VLOOKUP(MP_registro[[#This Row],[TAG]],'DB-EQUIPOS GEN'!$C$11:$H$833,6,0)</f>
        <v>0210MM090</v>
      </c>
      <c r="K340" s="68">
        <v>44725</v>
      </c>
      <c r="L340" s="65" t="s">
        <v>247</v>
      </c>
      <c r="M340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40" s="144" t="s">
        <v>1664</v>
      </c>
      <c r="O340" s="64" t="s">
        <v>1696</v>
      </c>
      <c r="Q340" s="42"/>
    </row>
    <row r="341" spans="1:17" ht="34.15" customHeight="1">
      <c r="A341" s="65">
        <v>340</v>
      </c>
      <c r="B341" s="77" t="s">
        <v>260</v>
      </c>
      <c r="C341" s="64" t="s">
        <v>1800</v>
      </c>
      <c r="D341" s="77" t="s">
        <v>1752</v>
      </c>
      <c r="E341" s="77" t="s">
        <v>1043</v>
      </c>
      <c r="F341" s="166" t="str">
        <f>VLOOKUP(MP_registro[[#This Row],[TAG]],'DB-EQUIPOS GEN'!$C$11:$H$833,2,0)</f>
        <v>Vibracion del Ventilador Forzado</v>
      </c>
      <c r="G341" s="168" t="str">
        <f>VLOOKUP(MP_registro[[#This Row],[TAG]],'DB-EQUIPOS GEN'!$C$11:$H$833,3,0)</f>
        <v>E. TERMICA</v>
      </c>
      <c r="H341" s="168" t="str">
        <f>VLOOKUP(MP_registro[[#This Row],[TAG]],'DB-EQUIPOS GEN'!$C$11:$H$833,4,0)</f>
        <v>GENERACION DE VAPOR</v>
      </c>
      <c r="I341" s="168" t="str">
        <f>VLOOKUP(MP_registro[[#This Row],[TAG]],'DB-EQUIPOS GEN'!$C$11:$H$833,5,0)</f>
        <v>VENTILADOR DE TIRO FORZADO</v>
      </c>
      <c r="J341" s="168" t="str">
        <f>VLOOKUP(MP_registro[[#This Row],[TAG]],'DB-EQUIPOS GEN'!$C$11:$H$833,6,0)</f>
        <v>0405FA110</v>
      </c>
      <c r="K341" s="68">
        <v>44725</v>
      </c>
      <c r="L341" s="65" t="s">
        <v>245</v>
      </c>
      <c r="M341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41" s="144" t="s">
        <v>1664</v>
      </c>
      <c r="O341" s="64" t="s">
        <v>1696</v>
      </c>
      <c r="Q341" s="42"/>
    </row>
    <row r="342" spans="1:17" ht="34.15" customHeight="1">
      <c r="A342" s="64">
        <v>341</v>
      </c>
      <c r="B342" s="77" t="s">
        <v>260</v>
      </c>
      <c r="C342" s="64" t="s">
        <v>1800</v>
      </c>
      <c r="D342" s="77" t="s">
        <v>1753</v>
      </c>
      <c r="E342" s="77" t="s">
        <v>256</v>
      </c>
      <c r="F342" s="166" t="str">
        <f>VLOOKUP(MP_registro[[#This Row],[TAG]],'DB-EQUIPOS GEN'!$C$11:$H$833,2,0)</f>
        <v>Tablero de periferia en Asset Difusor</v>
      </c>
      <c r="G342" s="168" t="str">
        <f>VLOOKUP(MP_registro[[#This Row],[TAG]],'DB-EQUIPOS GEN'!$C$11:$H$833,3,0)</f>
        <v>EXTRACCION</v>
      </c>
      <c r="H342" s="168" t="str">
        <f>VLOOKUP(MP_registro[[#This Row],[TAG]],'DB-EQUIPOS GEN'!$C$11:$H$833,4,0)</f>
        <v>DIFUSOR</v>
      </c>
      <c r="I342" s="168" t="str">
        <f>VLOOKUP(MP_registro[[#This Row],[TAG]],'DB-EQUIPOS GEN'!$C$11:$H$833,5,0)</f>
        <v>DIFUSOR</v>
      </c>
      <c r="J342" s="168" t="str">
        <f>VLOOKUP(MP_registro[[#This Row],[TAG]],'DB-EQUIPOS GEN'!$C$11:$H$833,6,0)</f>
        <v>0205DF180</v>
      </c>
      <c r="K342" s="68">
        <v>44725</v>
      </c>
      <c r="L342" s="65" t="s">
        <v>248</v>
      </c>
      <c r="M342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42" s="144" t="s">
        <v>1664</v>
      </c>
      <c r="O342" s="64" t="s">
        <v>1696</v>
      </c>
      <c r="Q342" s="42"/>
    </row>
    <row r="343" spans="1:17" ht="34.15" customHeight="1">
      <c r="A343" s="65">
        <v>342</v>
      </c>
      <c r="B343" s="77" t="s">
        <v>260</v>
      </c>
      <c r="C343" s="64" t="s">
        <v>1800</v>
      </c>
      <c r="D343" s="77" t="s">
        <v>1754</v>
      </c>
      <c r="E343" s="77" t="s">
        <v>1640</v>
      </c>
      <c r="F343" s="166" t="str">
        <f>VLOOKUP(MP_registro[[#This Row],[TAG]],'DB-EQUIPOS GEN'!$C$11:$H$833,2,0)</f>
        <v>Conductor de alimentación a difusor y retorno</v>
      </c>
      <c r="G343" s="168" t="str">
        <f>VLOOKUP(MP_registro[[#This Row],[TAG]],'DB-EQUIPOS GEN'!$C$11:$H$833,3,0)</f>
        <v>EXTRACCION</v>
      </c>
      <c r="H343" s="168" t="str">
        <f>VLOOKUP(MP_registro[[#This Row],[TAG]],'DB-EQUIPOS GEN'!$C$11:$H$833,4,0)</f>
        <v>PREPARACIÓN DE CAÑA</v>
      </c>
      <c r="I343" s="168" t="str">
        <f>VLOOKUP(MP_registro[[#This Row],[TAG]],'DB-EQUIPOS GEN'!$C$11:$H$833,5,0)</f>
        <v>CONDUCTOR DE RETORNO</v>
      </c>
      <c r="J343" s="168" t="str">
        <f>VLOOKUP(MP_registro[[#This Row],[TAG]],'DB-EQUIPOS GEN'!$C$11:$H$833,6,0)</f>
        <v>0115CV090</v>
      </c>
      <c r="K343" s="68">
        <v>44725</v>
      </c>
      <c r="L343" s="65" t="s">
        <v>249</v>
      </c>
      <c r="M343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43" s="144" t="s">
        <v>1664</v>
      </c>
      <c r="O343" s="64" t="s">
        <v>1696</v>
      </c>
      <c r="Q343" s="42"/>
    </row>
    <row r="344" spans="1:17" ht="34.15" customHeight="1">
      <c r="A344" s="64">
        <v>343</v>
      </c>
      <c r="B344" s="77" t="s">
        <v>260</v>
      </c>
      <c r="C344" s="64" t="s">
        <v>1800</v>
      </c>
      <c r="D344" s="77" t="s">
        <v>1755</v>
      </c>
      <c r="E344" s="77" t="s">
        <v>1641</v>
      </c>
      <c r="F344" s="166" t="str">
        <f>VLOOKUP(MP_registro[[#This Row],[TAG]],'DB-EQUIPOS GEN'!$C$11:$H$833,2,0)</f>
        <v>Mesa de caña</v>
      </c>
      <c r="G344" s="168" t="str">
        <f>VLOOKUP(MP_registro[[#This Row],[TAG]],'DB-EQUIPOS GEN'!$C$11:$H$833,3,0)</f>
        <v>EXTRACCION</v>
      </c>
      <c r="H344" s="168" t="str">
        <f>VLOOKUP(MP_registro[[#This Row],[TAG]],'DB-EQUIPOS GEN'!$C$11:$H$833,4,0)</f>
        <v>RECEPCIÓN DE CAÑA</v>
      </c>
      <c r="I344" s="168" t="str">
        <f>VLOOKUP(MP_registro[[#This Row],[TAG]],'DB-EQUIPOS GEN'!$C$11:$H$833,5,0)</f>
        <v>MESA DE CAÑA</v>
      </c>
      <c r="J344" s="168" t="str">
        <f>VLOOKUP(MP_registro[[#This Row],[TAG]],'DB-EQUIPOS GEN'!$C$11:$H$833,6,0)</f>
        <v>0110FE019</v>
      </c>
      <c r="K344" s="68">
        <v>44725</v>
      </c>
      <c r="L344" s="65" t="s">
        <v>247</v>
      </c>
      <c r="M344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44" s="144" t="s">
        <v>1664</v>
      </c>
      <c r="O344" s="64" t="s">
        <v>1696</v>
      </c>
      <c r="Q344" s="42"/>
    </row>
    <row r="345" spans="1:17" ht="34.15" customHeight="1">
      <c r="A345" s="65">
        <v>344</v>
      </c>
      <c r="B345" s="77" t="s">
        <v>260</v>
      </c>
      <c r="C345" s="64" t="s">
        <v>1800</v>
      </c>
      <c r="D345" s="77" t="s">
        <v>1756</v>
      </c>
      <c r="E345" s="77" t="s">
        <v>1653</v>
      </c>
      <c r="F345" s="166" t="str">
        <f>VLOOKUP(MP_registro[[#This Row],[TAG]],'DB-EQUIPOS GEN'!$C$11:$H$833,2,0)</f>
        <v>Operación del desviador de bagazo</v>
      </c>
      <c r="G345" s="168" t="str">
        <f>VLOOKUP(MP_registro[[#This Row],[TAG]],'DB-EQUIPOS GEN'!$C$11:$H$833,3,0)</f>
        <v>E. TERMICA</v>
      </c>
      <c r="H345" s="168" t="str">
        <f>VLOOKUP(MP_registro[[#This Row],[TAG]],'DB-EQUIPOS GEN'!$C$11:$H$833,4,0)</f>
        <v>TRANSPORTE DE BAGAZO</v>
      </c>
      <c r="I345" s="168" t="str">
        <f>VLOOKUP(MP_registro[[#This Row],[TAG]],'DB-EQUIPOS GEN'!$C$11:$H$833,5,0)</f>
        <v>FAJA TRANSPORTADORA 1004</v>
      </c>
      <c r="J345" s="168" t="str">
        <f>VLOOKUP(MP_registro[[#This Row],[TAG]],'DB-EQUIPOS GEN'!$C$11:$H$833,6,0)</f>
        <v>0805CV070</v>
      </c>
      <c r="K345" s="68">
        <v>44725</v>
      </c>
      <c r="L345" s="65" t="s">
        <v>245</v>
      </c>
      <c r="M345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45" s="144" t="s">
        <v>1664</v>
      </c>
      <c r="O345" s="64" t="s">
        <v>1696</v>
      </c>
      <c r="Q345" s="42"/>
    </row>
    <row r="346" spans="1:17" ht="34.15" customHeight="1">
      <c r="A346" s="64">
        <v>345</v>
      </c>
      <c r="B346" s="77" t="s">
        <v>260</v>
      </c>
      <c r="C346" s="64" t="s">
        <v>1800</v>
      </c>
      <c r="D346" s="77" t="s">
        <v>1757</v>
      </c>
      <c r="E346" s="77" t="s">
        <v>339</v>
      </c>
      <c r="F346" s="166" t="str">
        <f>VLOOKUP(MP_registro[[#This Row],[TAG]],'DB-EQUIPOS GEN'!$C$11:$H$833,2,0)</f>
        <v>Flotacion de masa lado libre</v>
      </c>
      <c r="G346" s="168" t="str">
        <f>VLOOKUP(MP_registro[[#This Row],[TAG]],'DB-EQUIPOS GEN'!$C$11:$H$833,3,0)</f>
        <v>EXTRACCION</v>
      </c>
      <c r="H346" s="168" t="str">
        <f>VLOOKUP(MP_registro[[#This Row],[TAG]],'DB-EQUIPOS GEN'!$C$11:$H$833,4,0)</f>
        <v>MOLINOS</v>
      </c>
      <c r="I346" s="168" t="str">
        <f>VLOOKUP(MP_registro[[#This Row],[TAG]],'DB-EQUIPOS GEN'!$C$11:$H$833,5,0)</f>
        <v xml:space="preserve">MOLINO SECADOR </v>
      </c>
      <c r="J346" s="168" t="str">
        <f>VLOOKUP(MP_registro[[#This Row],[TAG]],'DB-EQUIPOS GEN'!$C$11:$H$833,6,0)</f>
        <v>0210MM090</v>
      </c>
      <c r="K346" s="68">
        <v>44726</v>
      </c>
      <c r="L346" s="65" t="s">
        <v>249</v>
      </c>
      <c r="M346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46" s="144" t="s">
        <v>1664</v>
      </c>
      <c r="O346" s="64" t="s">
        <v>1696</v>
      </c>
      <c r="Q346" s="42"/>
    </row>
    <row r="347" spans="1:17" ht="34.15" customHeight="1">
      <c r="A347" s="65">
        <v>346</v>
      </c>
      <c r="B347" s="77" t="s">
        <v>260</v>
      </c>
      <c r="C347" s="64" t="s">
        <v>1800</v>
      </c>
      <c r="D347" s="77" t="s">
        <v>1758</v>
      </c>
      <c r="E347" s="77" t="s">
        <v>1045</v>
      </c>
      <c r="F347" s="166" t="str">
        <f>VLOOKUP(MP_registro[[#This Row],[TAG]],'DB-EQUIPOS GEN'!$C$11:$H$833,2,0)</f>
        <v>Vibracion del Ventilador Secundario</v>
      </c>
      <c r="G347" s="168" t="str">
        <f>VLOOKUP(MP_registro[[#This Row],[TAG]],'DB-EQUIPOS GEN'!$C$11:$H$833,3,0)</f>
        <v>E. TERMICA</v>
      </c>
      <c r="H347" s="168" t="str">
        <f>VLOOKUP(MP_registro[[#This Row],[TAG]],'DB-EQUIPOS GEN'!$C$11:$H$833,4,0)</f>
        <v>GENERACION DE VAPOR</v>
      </c>
      <c r="I347" s="168" t="str">
        <f>VLOOKUP(MP_registro[[#This Row],[TAG]],'DB-EQUIPOS GEN'!$C$11:$H$833,5,0)</f>
        <v>VENTILADOR SECUNDARIO</v>
      </c>
      <c r="J347" s="168" t="str">
        <f>VLOOKUP(MP_registro[[#This Row],[TAG]],'DB-EQUIPOS GEN'!$C$11:$H$833,6,0)</f>
        <v>0405FA140</v>
      </c>
      <c r="K347" s="68">
        <v>44726</v>
      </c>
      <c r="L347" s="65" t="s">
        <v>247</v>
      </c>
      <c r="M347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47" s="144" t="s">
        <v>1664</v>
      </c>
      <c r="O347" s="64" t="s">
        <v>1696</v>
      </c>
      <c r="Q347" s="42"/>
    </row>
    <row r="348" spans="1:17" ht="34.15" customHeight="1">
      <c r="A348" s="64">
        <v>347</v>
      </c>
      <c r="B348" s="77" t="s">
        <v>260</v>
      </c>
      <c r="C348" s="64" t="s">
        <v>1800</v>
      </c>
      <c r="D348" s="77" t="s">
        <v>1759</v>
      </c>
      <c r="E348" s="77" t="s">
        <v>255</v>
      </c>
      <c r="F348" s="166" t="str">
        <f>VLOOKUP(MP_registro[[#This Row],[TAG]],'DB-EQUIPOS GEN'!$C$11:$H$833,2,0)</f>
        <v>Tablero de periferia en Asset Turbina</v>
      </c>
      <c r="G348" s="168" t="str">
        <f>VLOOKUP(MP_registro[[#This Row],[TAG]],'DB-EQUIPOS GEN'!$C$11:$H$833,3,0)</f>
        <v>E. ELECTRICA</v>
      </c>
      <c r="H348" s="168" t="str">
        <f>VLOOKUP(MP_registro[[#This Row],[TAG]],'DB-EQUIPOS GEN'!$C$11:$H$833,4,0)</f>
        <v>GENERACION ENERG. ELEC. TURBO GENERADOR</v>
      </c>
      <c r="I348" s="168" t="str">
        <f>VLOOKUP(MP_registro[[#This Row],[TAG]],'DB-EQUIPOS GEN'!$C$11:$H$833,5,0)</f>
        <v>TURBOGENERADOR 7.5 MW</v>
      </c>
      <c r="J348" s="168" t="str">
        <f>VLOOKUP(MP_registro[[#This Row],[TAG]],'DB-EQUIPOS GEN'!$C$11:$H$833,6,0)</f>
        <v>0430TG010</v>
      </c>
      <c r="K348" s="68">
        <v>44726</v>
      </c>
      <c r="L348" s="65" t="s">
        <v>248</v>
      </c>
      <c r="M348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48" s="144" t="s">
        <v>1664</v>
      </c>
      <c r="O348" s="64" t="s">
        <v>1696</v>
      </c>
      <c r="Q348" s="42"/>
    </row>
    <row r="349" spans="1:17" ht="34.15" customHeight="1">
      <c r="A349" s="65">
        <v>348</v>
      </c>
      <c r="B349" s="77" t="s">
        <v>260</v>
      </c>
      <c r="C349" s="64" t="s">
        <v>1800</v>
      </c>
      <c r="D349" s="77" t="s">
        <v>1760</v>
      </c>
      <c r="E349" s="77" t="s">
        <v>1342</v>
      </c>
      <c r="F349" s="166" t="str">
        <f>VLOOKUP(MP_registro[[#This Row],[TAG]],'DB-EQUIPOS GEN'!$C$11:$H$833,2,0)</f>
        <v>Controlador C300 en Asset Turbina</v>
      </c>
      <c r="G349" s="168" t="str">
        <f>VLOOKUP(MP_registro[[#This Row],[TAG]],'DB-EQUIPOS GEN'!$C$11:$H$833,3,0)</f>
        <v>E. ELECTRICA</v>
      </c>
      <c r="H349" s="168" t="str">
        <f>VLOOKUP(MP_registro[[#This Row],[TAG]],'DB-EQUIPOS GEN'!$C$11:$H$833,4,0)</f>
        <v>GENERACION ENERG. ELEC. TURBO GENERADOR</v>
      </c>
      <c r="I349" s="168" t="str">
        <f>VLOOKUP(MP_registro[[#This Row],[TAG]],'DB-EQUIPOS GEN'!$C$11:$H$833,5,0)</f>
        <v>TURBOGENERADOR 7.5 MW</v>
      </c>
      <c r="J349" s="168" t="str">
        <f>VLOOKUP(MP_registro[[#This Row],[TAG]],'DB-EQUIPOS GEN'!$C$11:$H$833,6,0)</f>
        <v>0430TG010</v>
      </c>
      <c r="K349" s="68">
        <v>44726</v>
      </c>
      <c r="L349" s="65" t="s">
        <v>248</v>
      </c>
      <c r="M349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49" s="144" t="s">
        <v>1664</v>
      </c>
      <c r="O349" s="64" t="s">
        <v>1696</v>
      </c>
      <c r="Q349" s="42"/>
    </row>
    <row r="350" spans="1:17" ht="34.15" customHeight="1">
      <c r="A350" s="64">
        <v>349</v>
      </c>
      <c r="B350" s="77" t="s">
        <v>260</v>
      </c>
      <c r="C350" s="64" t="s">
        <v>1800</v>
      </c>
      <c r="D350" s="77" t="s">
        <v>1761</v>
      </c>
      <c r="E350" s="77" t="s">
        <v>1344</v>
      </c>
      <c r="F350" s="166" t="str">
        <f>VLOOKUP(MP_registro[[#This Row],[TAG]],'DB-EQUIPOS GEN'!$C$11:$H$833,2,0)</f>
        <v>Controlador C300 en Asset Difusor</v>
      </c>
      <c r="G350" s="168" t="str">
        <f>VLOOKUP(MP_registro[[#This Row],[TAG]],'DB-EQUIPOS GEN'!$C$11:$H$833,3,0)</f>
        <v>EXTRACCION</v>
      </c>
      <c r="H350" s="168" t="str">
        <f>VLOOKUP(MP_registro[[#This Row],[TAG]],'DB-EQUIPOS GEN'!$C$11:$H$833,4,0)</f>
        <v>DIFUSOR</v>
      </c>
      <c r="I350" s="168" t="str">
        <f>VLOOKUP(MP_registro[[#This Row],[TAG]],'DB-EQUIPOS GEN'!$C$11:$H$833,5,0)</f>
        <v>DIFUSOR</v>
      </c>
      <c r="J350" s="168" t="str">
        <f>VLOOKUP(MP_registro[[#This Row],[TAG]],'DB-EQUIPOS GEN'!$C$11:$H$833,6,0)</f>
        <v>0205DF180</v>
      </c>
      <c r="K350" s="68">
        <v>44726</v>
      </c>
      <c r="L350" s="65" t="s">
        <v>248</v>
      </c>
      <c r="M350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50" s="144" t="s">
        <v>1664</v>
      </c>
      <c r="O350" s="64" t="s">
        <v>1696</v>
      </c>
      <c r="Q350" s="42"/>
    </row>
    <row r="351" spans="1:17" ht="34.15" customHeight="1">
      <c r="A351" s="65">
        <v>350</v>
      </c>
      <c r="B351" s="77" t="s">
        <v>260</v>
      </c>
      <c r="C351" s="64" t="s">
        <v>1800</v>
      </c>
      <c r="D351" s="77" t="s">
        <v>1762</v>
      </c>
      <c r="E351" s="77" t="s">
        <v>1659</v>
      </c>
      <c r="F351" s="166" t="str">
        <f>VLOOKUP(MP_registro[[#This Row],[TAG]],'DB-EQUIPOS GEN'!$C$11:$H$833,2,0)</f>
        <v>Vista global de tanques de jarabe 1,2 y 3</v>
      </c>
      <c r="G351" s="168" t="str">
        <f>VLOOKUP(MP_registro[[#This Row],[TAG]],'DB-EQUIPOS GEN'!$C$11:$H$833,3,0)</f>
        <v>PRODUCCION</v>
      </c>
      <c r="H351" s="168" t="str">
        <f>VLOOKUP(MP_registro[[#This Row],[TAG]],'DB-EQUIPOS GEN'!$C$11:$H$833,4,0)</f>
        <v>CRISTALIZACIÓN POR COCCIÓN</v>
      </c>
      <c r="I351" s="168" t="str">
        <f>VLOOKUP(MP_registro[[#This Row],[TAG]],'DB-EQUIPOS GEN'!$C$11:$H$833,5,0)</f>
        <v>TANQUE DE JARABE 1</v>
      </c>
      <c r="J351" s="168" t="str">
        <f>VLOOKUP(MP_registro[[#This Row],[TAG]],'DB-EQUIPOS GEN'!$C$11:$H$833,6,0)</f>
        <v>0335TK010</v>
      </c>
      <c r="K351" s="68">
        <v>44726</v>
      </c>
      <c r="L351" s="65" t="s">
        <v>245</v>
      </c>
      <c r="M351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51" s="144" t="s">
        <v>1664</v>
      </c>
      <c r="O351" s="64" t="s">
        <v>1696</v>
      </c>
      <c r="Q351" s="42"/>
    </row>
    <row r="352" spans="1:17" ht="34.15" customHeight="1">
      <c r="A352" s="64">
        <v>351</v>
      </c>
      <c r="B352" s="77" t="s">
        <v>260</v>
      </c>
      <c r="C352" s="64" t="s">
        <v>1800</v>
      </c>
      <c r="D352" s="77" t="s">
        <v>1763</v>
      </c>
      <c r="E352" s="77" t="s">
        <v>1660</v>
      </c>
      <c r="F352" s="166" t="str">
        <f>VLOOKUP(MP_registro[[#This Row],[TAG]],'DB-EQUIPOS GEN'!$C$11:$H$833,2,0)</f>
        <v>Vista global de tacho continuo A.</v>
      </c>
      <c r="G352" s="168" t="str">
        <f>VLOOKUP(MP_registro[[#This Row],[TAG]],'DB-EQUIPOS GEN'!$C$11:$H$833,3,0)</f>
        <v>PRODUCCION</v>
      </c>
      <c r="H352" s="168" t="str">
        <f>VLOOKUP(MP_registro[[#This Row],[TAG]],'DB-EQUIPOS GEN'!$C$11:$H$833,4,0)</f>
        <v>CRISTALIZACIÓN POR COCCIÓN</v>
      </c>
      <c r="I352" s="168" t="str">
        <f>VLOOKUP(MP_registro[[#This Row],[TAG]],'DB-EQUIPOS GEN'!$C$11:$H$833,5,0)</f>
        <v>TACHO CONTINUO - A</v>
      </c>
      <c r="J352" s="168" t="str">
        <f>VLOOKUP(MP_registro[[#This Row],[TAG]],'DB-EQUIPOS GEN'!$C$11:$H$833,6,0)</f>
        <v>0335HX200</v>
      </c>
      <c r="K352" s="68">
        <v>44726</v>
      </c>
      <c r="L352" s="65" t="s">
        <v>249</v>
      </c>
      <c r="M352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52" s="144" t="s">
        <v>1664</v>
      </c>
      <c r="O352" s="64" t="s">
        <v>1696</v>
      </c>
      <c r="Q352" s="42"/>
    </row>
    <row r="353" spans="1:17" ht="34.15" customHeight="1">
      <c r="A353" s="65">
        <v>352</v>
      </c>
      <c r="B353" s="77" t="s">
        <v>260</v>
      </c>
      <c r="C353" s="64" t="s">
        <v>1800</v>
      </c>
      <c r="D353" s="77" t="s">
        <v>1764</v>
      </c>
      <c r="E353" s="77" t="s">
        <v>1649</v>
      </c>
      <c r="F353" s="166" t="str">
        <f>VLOOKUP(MP_registro[[#This Row],[TAG]],'DB-EQUIPOS GEN'!$C$11:$H$833,2,0)</f>
        <v>Chute alimentadores de bagazo</v>
      </c>
      <c r="G353" s="168" t="str">
        <f>VLOOKUP(MP_registro[[#This Row],[TAG]],'DB-EQUIPOS GEN'!$C$11:$H$833,3,0)</f>
        <v>E. TERMICA</v>
      </c>
      <c r="H353" s="168" t="str">
        <f>VLOOKUP(MP_registro[[#This Row],[TAG]],'DB-EQUIPOS GEN'!$C$11:$H$833,4,0)</f>
        <v>TRANSPORTE DE BAGAZO</v>
      </c>
      <c r="I353" s="168" t="str">
        <f>VLOOKUP(MP_registro[[#This Row],[TAG]],'DB-EQUIPOS GEN'!$C$11:$H$833,5,0)</f>
        <v>ALIMENTADOR DE BAGAZO 1</v>
      </c>
      <c r="J353" s="168" t="str">
        <f>VLOOKUP(MP_registro[[#This Row],[TAG]],'DB-EQUIPOS GEN'!$C$11:$H$833,6,0)</f>
        <v>0405RV240</v>
      </c>
      <c r="K353" s="68">
        <v>44726</v>
      </c>
      <c r="L353" s="65" t="s">
        <v>247</v>
      </c>
      <c r="M353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53" s="144" t="s">
        <v>1664</v>
      </c>
      <c r="O353" s="64" t="s">
        <v>1696</v>
      </c>
      <c r="Q353" s="42"/>
    </row>
    <row r="354" spans="1:17" ht="34.15" customHeight="1">
      <c r="A354" s="64">
        <v>353</v>
      </c>
      <c r="B354" s="77" t="s">
        <v>260</v>
      </c>
      <c r="C354" s="64" t="s">
        <v>1800</v>
      </c>
      <c r="D354" s="77" t="s">
        <v>1765</v>
      </c>
      <c r="E354" s="77" t="s">
        <v>1655</v>
      </c>
      <c r="F354" s="166" t="str">
        <f>VLOOKUP(MP_registro[[#This Row],[TAG]],'DB-EQUIPOS GEN'!$C$11:$H$833,2,0)</f>
        <v>Vista global de planta de osmosis</v>
      </c>
      <c r="G354" s="168" t="str">
        <f>VLOOKUP(MP_registro[[#This Row],[TAG]],'DB-EQUIPOS GEN'!$C$11:$H$833,3,0)</f>
        <v>E. TERMICA</v>
      </c>
      <c r="H354" s="168" t="str">
        <f>VLOOKUP(MP_registro[[#This Row],[TAG]],'DB-EQUIPOS GEN'!$C$11:$H$833,4,0)</f>
        <v>PLANTA TRATAMIENTO OSMOSIS INVERSA</v>
      </c>
      <c r="I354" s="168" t="str">
        <f>VLOOKUP(MP_registro[[#This Row],[TAG]],'DB-EQUIPOS GEN'!$C$11:$H$833,5,0)</f>
        <v>PLANTA DE OSMOSIS INVERSA</v>
      </c>
      <c r="J354" s="168" t="str">
        <f>VLOOKUP(MP_registro[[#This Row],[TAG]],'DB-EQUIPOS GEN'!$C$11:$H$833,6,0)</f>
        <v>0425OI101</v>
      </c>
      <c r="K354" s="68">
        <v>44726</v>
      </c>
      <c r="L354" s="65" t="s">
        <v>245</v>
      </c>
      <c r="M354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54" s="144" t="s">
        <v>1664</v>
      </c>
      <c r="O354" s="64" t="s">
        <v>1696</v>
      </c>
      <c r="Q354" s="42"/>
    </row>
    <row r="355" spans="1:17" ht="34.15" customHeight="1">
      <c r="A355" s="65">
        <v>354</v>
      </c>
      <c r="B355" s="77" t="s">
        <v>260</v>
      </c>
      <c r="C355" s="64" t="s">
        <v>1800</v>
      </c>
      <c r="D355" s="77" t="s">
        <v>1766</v>
      </c>
      <c r="E355" s="77" t="s">
        <v>276</v>
      </c>
      <c r="F355" s="166" t="str">
        <f>VLOOKUP(MP_registro[[#This Row],[TAG]],'DB-EQUIPOS GEN'!$C$11:$H$833,2,0)</f>
        <v>PH de jugo encalado - Principal</v>
      </c>
      <c r="G355" s="168" t="str">
        <f>VLOOKUP(MP_registro[[#This Row],[TAG]],'DB-EQUIPOS GEN'!$C$11:$H$833,3,0)</f>
        <v>PRODUCCION</v>
      </c>
      <c r="H355" s="168" t="str">
        <f>VLOOKUP(MP_registro[[#This Row],[TAG]],'DB-EQUIPOS GEN'!$C$11:$H$833,4,0)</f>
        <v>CLARIFICACION DE JUGO</v>
      </c>
      <c r="I355" s="168" t="str">
        <f>VLOOKUP(MP_registro[[#This Row],[TAG]],'DB-EQUIPOS GEN'!$C$11:$H$833,5,0)</f>
        <v xml:space="preserve">TANQUE DE JUGO COLADO </v>
      </c>
      <c r="J355" s="168" t="str">
        <f>VLOOKUP(MP_registro[[#This Row],[TAG]],'DB-EQUIPOS GEN'!$C$11:$H$833,6,0)</f>
        <v xml:space="preserve"> 0305TK040</v>
      </c>
      <c r="K355" s="68">
        <v>44727</v>
      </c>
      <c r="L355" s="65" t="s">
        <v>249</v>
      </c>
      <c r="M355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55" s="144" t="s">
        <v>1664</v>
      </c>
      <c r="O355" s="64" t="s">
        <v>1696</v>
      </c>
      <c r="Q355" s="42"/>
    </row>
    <row r="356" spans="1:17" ht="34.15" customHeight="1">
      <c r="A356" s="64">
        <v>355</v>
      </c>
      <c r="B356" s="77" t="s">
        <v>260</v>
      </c>
      <c r="C356" s="64" t="s">
        <v>1800</v>
      </c>
      <c r="D356" s="77" t="s">
        <v>1767</v>
      </c>
      <c r="E356" s="77" t="s">
        <v>780</v>
      </c>
      <c r="F356" s="166" t="str">
        <f>VLOOKUP(MP_registro[[#This Row],[TAG]],'DB-EQUIPOS GEN'!$C$11:$H$833,2,0)</f>
        <v>Brix de masa C - Celda 8</v>
      </c>
      <c r="G356" s="168" t="str">
        <f>VLOOKUP(MP_registro[[#This Row],[TAG]],'DB-EQUIPOS GEN'!$C$11:$H$833,3,0)</f>
        <v>PRODUCCION</v>
      </c>
      <c r="H356" s="168" t="str">
        <f>VLOOKUP(MP_registro[[#This Row],[TAG]],'DB-EQUIPOS GEN'!$C$11:$H$833,4,0)</f>
        <v>CRISTALIZACION POR COCCION</v>
      </c>
      <c r="I356" s="168" t="str">
        <f>VLOOKUP(MP_registro[[#This Row],[TAG]],'DB-EQUIPOS GEN'!$C$11:$H$833,5,0)</f>
        <v xml:space="preserve">TACHO CONTINUO C </v>
      </c>
      <c r="J356" s="168" t="str">
        <f>VLOOKUP(MP_registro[[#This Row],[TAG]],'DB-EQUIPOS GEN'!$C$11:$H$833,6,0)</f>
        <v xml:space="preserve"> 0335HX260</v>
      </c>
      <c r="K356" s="68">
        <v>44727</v>
      </c>
      <c r="L356" s="65" t="s">
        <v>247</v>
      </c>
      <c r="M356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56" s="144" t="s">
        <v>1664</v>
      </c>
      <c r="O356" s="64" t="s">
        <v>1696</v>
      </c>
      <c r="Q356" s="42"/>
    </row>
    <row r="357" spans="1:17" ht="34.15" customHeight="1">
      <c r="A357" s="65">
        <v>356</v>
      </c>
      <c r="B357" s="77" t="s">
        <v>260</v>
      </c>
      <c r="C357" s="64" t="s">
        <v>1800</v>
      </c>
      <c r="D357" s="77" t="s">
        <v>1768</v>
      </c>
      <c r="E357" s="77" t="s">
        <v>708</v>
      </c>
      <c r="F357" s="166" t="str">
        <f>VLOOKUP(MP_registro[[#This Row],[TAG]],'DB-EQUIPOS GEN'!$C$11:$H$833,2,0)</f>
        <v>Nivel de jarabe tachos #1</v>
      </c>
      <c r="G357" s="168" t="str">
        <f>VLOOKUP(MP_registro[[#This Row],[TAG]],'DB-EQUIPOS GEN'!$C$11:$H$833,3,0)</f>
        <v>PRODUCCION</v>
      </c>
      <c r="H357" s="168" t="str">
        <f>VLOOKUP(MP_registro[[#This Row],[TAG]],'DB-EQUIPOS GEN'!$C$11:$H$833,4,0)</f>
        <v>CRISTALIZACION POR COCCION</v>
      </c>
      <c r="I357" s="168" t="str">
        <f>VLOOKUP(MP_registro[[#This Row],[TAG]],'DB-EQUIPOS GEN'!$C$11:$H$833,5,0)</f>
        <v xml:space="preserve">TACHO CONTINUO A </v>
      </c>
      <c r="J357" s="168" t="str">
        <f>VLOOKUP(MP_registro[[#This Row],[TAG]],'DB-EQUIPOS GEN'!$C$11:$H$833,6,0)</f>
        <v xml:space="preserve"> 0335HX200</v>
      </c>
      <c r="K357" s="68">
        <v>44727</v>
      </c>
      <c r="L357" s="65" t="s">
        <v>245</v>
      </c>
      <c r="M357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57" s="144" t="s">
        <v>1664</v>
      </c>
      <c r="O357" s="64" t="s">
        <v>1696</v>
      </c>
      <c r="Q357" s="42"/>
    </row>
    <row r="358" spans="1:17" ht="34.15" customHeight="1">
      <c r="A358" s="64">
        <v>357</v>
      </c>
      <c r="B358" s="77" t="s">
        <v>260</v>
      </c>
      <c r="C358" s="64" t="s">
        <v>1800</v>
      </c>
      <c r="D358" s="77" t="s">
        <v>1769</v>
      </c>
      <c r="E358" s="77" t="s">
        <v>1314</v>
      </c>
      <c r="F358" s="166" t="str">
        <f>VLOOKUP(MP_registro[[#This Row],[TAG]],'DB-EQUIPOS GEN'!$C$11:$H$833,2,0)</f>
        <v>Tablero de periferia en Asset Turbina</v>
      </c>
      <c r="G358" s="168" t="str">
        <f>VLOOKUP(MP_registro[[#This Row],[TAG]],'DB-EQUIPOS GEN'!$C$11:$H$833,3,0)</f>
        <v>E. ELECTRICA</v>
      </c>
      <c r="H358" s="168" t="str">
        <f>VLOOKUP(MP_registro[[#This Row],[TAG]],'DB-EQUIPOS GEN'!$C$11:$H$833,4,0)</f>
        <v>GENERACION ENERG. ELEC. TURBO GENERADOR</v>
      </c>
      <c r="I358" s="168" t="str">
        <f>VLOOKUP(MP_registro[[#This Row],[TAG]],'DB-EQUIPOS GEN'!$C$11:$H$833,5,0)</f>
        <v>TURBOGENERADOR 7.5 MW</v>
      </c>
      <c r="J358" s="168" t="str">
        <f>VLOOKUP(MP_registro[[#This Row],[TAG]],'DB-EQUIPOS GEN'!$C$11:$H$833,6,0)</f>
        <v>0430TG010</v>
      </c>
      <c r="K358" s="68">
        <v>44727</v>
      </c>
      <c r="L358" s="65" t="s">
        <v>248</v>
      </c>
      <c r="M358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58" s="144" t="s">
        <v>1664</v>
      </c>
      <c r="O358" s="64" t="s">
        <v>1696</v>
      </c>
      <c r="Q358" s="42"/>
    </row>
    <row r="359" spans="1:17" ht="34.15" customHeight="1">
      <c r="A359" s="65">
        <v>358</v>
      </c>
      <c r="B359" s="77" t="s">
        <v>260</v>
      </c>
      <c r="C359" s="64" t="s">
        <v>1800</v>
      </c>
      <c r="D359" s="77" t="s">
        <v>1770</v>
      </c>
      <c r="E359" s="77" t="s">
        <v>1656</v>
      </c>
      <c r="F359" s="166" t="str">
        <f>VLOOKUP(MP_registro[[#This Row],[TAG]],'DB-EQUIPOS GEN'!$C$11:$H$833,2,0)</f>
        <v>Descarga de centrifugas continuas</v>
      </c>
      <c r="G359" s="168" t="str">
        <f>VLOOKUP(MP_registro[[#This Row],[TAG]],'DB-EQUIPOS GEN'!$C$11:$H$833,3,0)</f>
        <v>PRODUCCION</v>
      </c>
      <c r="H359" s="168" t="str">
        <f>VLOOKUP(MP_registro[[#This Row],[TAG]],'DB-EQUIPOS GEN'!$C$11:$H$833,4,0)</f>
        <v>CENTRIFUGACIÓN DE AZÚCAR</v>
      </c>
      <c r="I359" s="168" t="str">
        <f>VLOOKUP(MP_registro[[#This Row],[TAG]],'DB-EQUIPOS GEN'!$C$11:$H$833,5,0)</f>
        <v>CENTRIFUGA CONTINUA 1 - C (FRANCIA)</v>
      </c>
      <c r="J359" s="168" t="str">
        <f>VLOOKUP(MP_registro[[#This Row],[TAG]],'DB-EQUIPOS GEN'!$C$11:$H$833,6,0)</f>
        <v>0345SQ160</v>
      </c>
      <c r="K359" s="68">
        <v>44727</v>
      </c>
      <c r="L359" s="65" t="s">
        <v>249</v>
      </c>
      <c r="M359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59" s="144" t="s">
        <v>1664</v>
      </c>
      <c r="O359" s="64" t="s">
        <v>1696</v>
      </c>
      <c r="Q359" s="42"/>
    </row>
    <row r="360" spans="1:17" ht="34.15" customHeight="1">
      <c r="A360" s="64">
        <v>359</v>
      </c>
      <c r="B360" s="77" t="s">
        <v>260</v>
      </c>
      <c r="C360" s="64" t="s">
        <v>1800</v>
      </c>
      <c r="D360" s="77" t="s">
        <v>1771</v>
      </c>
      <c r="E360" s="77" t="s">
        <v>1657</v>
      </c>
      <c r="F360" s="166" t="str">
        <f>VLOOKUP(MP_registro[[#This Row],[TAG]],'DB-EQUIPOS GEN'!$C$11:$H$833,2,0)</f>
        <v>Pug mill B, Cabezal C de centrifugas continuas</v>
      </c>
      <c r="G360" s="168" t="str">
        <f>VLOOKUP(MP_registro[[#This Row],[TAG]],'DB-EQUIPOS GEN'!$C$11:$H$833,3,0)</f>
        <v>PRODUCCION</v>
      </c>
      <c r="H360" s="168" t="str">
        <f>VLOOKUP(MP_registro[[#This Row],[TAG]],'DB-EQUIPOS GEN'!$C$11:$H$833,4,0)</f>
        <v>CENTRIFUGACIÓN DE AZÚCAR</v>
      </c>
      <c r="I360" s="168" t="str">
        <f>VLOOKUP(MP_registro[[#This Row],[TAG]],'DB-EQUIPOS GEN'!$C$11:$H$833,5,0)</f>
        <v>PUG MILL - B</v>
      </c>
      <c r="J360" s="168" t="str">
        <f>VLOOKUP(MP_registro[[#This Row],[TAG]],'DB-EQUIPOS GEN'!$C$11:$H$833,6,0)</f>
        <v>0345MM020</v>
      </c>
      <c r="K360" s="68">
        <v>44727</v>
      </c>
      <c r="L360" s="65" t="s">
        <v>247</v>
      </c>
      <c r="M360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60" s="144" t="s">
        <v>1664</v>
      </c>
      <c r="O360" s="64" t="s">
        <v>1696</v>
      </c>
      <c r="Q360" s="42"/>
    </row>
    <row r="361" spans="1:17" ht="34.15" customHeight="1">
      <c r="A361" s="65">
        <v>360</v>
      </c>
      <c r="B361" s="77" t="s">
        <v>260</v>
      </c>
      <c r="C361" s="64" t="s">
        <v>1800</v>
      </c>
      <c r="D361" s="77" t="s">
        <v>1772</v>
      </c>
      <c r="E361" s="77" t="s">
        <v>1658</v>
      </c>
      <c r="F361" s="166" t="str">
        <f>VLOOKUP(MP_registro[[#This Row],[TAG]],'DB-EQUIPOS GEN'!$C$11:$H$833,2,0)</f>
        <v>Pug mill A - Centrifugas batch</v>
      </c>
      <c r="G361" s="168" t="str">
        <f>VLOOKUP(MP_registro[[#This Row],[TAG]],'DB-EQUIPOS GEN'!$C$11:$H$833,3,0)</f>
        <v>PRODUCCION</v>
      </c>
      <c r="H361" s="168" t="str">
        <f>VLOOKUP(MP_registro[[#This Row],[TAG]],'DB-EQUIPOS GEN'!$C$11:$H$833,4,0)</f>
        <v>CENTRIFUGACIÓN DE AZÚCAR</v>
      </c>
      <c r="I361" s="168" t="str">
        <f>VLOOKUP(MP_registro[[#This Row],[TAG]],'DB-EQUIPOS GEN'!$C$11:$H$833,5,0)</f>
        <v>PUG MILL - A</v>
      </c>
      <c r="J361" s="168" t="str">
        <f>VLOOKUP(MP_registro[[#This Row],[TAG]],'DB-EQUIPOS GEN'!$C$11:$H$833,6,0)</f>
        <v>0345MM010</v>
      </c>
      <c r="K361" s="68">
        <v>44727</v>
      </c>
      <c r="L361" s="65" t="s">
        <v>245</v>
      </c>
      <c r="M361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61" s="144" t="s">
        <v>1664</v>
      </c>
      <c r="O361" s="64" t="s">
        <v>1696</v>
      </c>
      <c r="Q361" s="42"/>
    </row>
    <row r="362" spans="1:17" ht="34.15" customHeight="1">
      <c r="A362" s="64">
        <v>361</v>
      </c>
      <c r="B362" s="77" t="s">
        <v>260</v>
      </c>
      <c r="C362" s="64" t="s">
        <v>1800</v>
      </c>
      <c r="D362" s="77" t="s">
        <v>1773</v>
      </c>
      <c r="E362" s="77" t="s">
        <v>1661</v>
      </c>
      <c r="F362" s="166" t="str">
        <f>VLOOKUP(MP_registro[[#This Row],[TAG]],'DB-EQUIPOS GEN'!$C$11:$H$833,2,0)</f>
        <v xml:space="preserve">Faja de azucar seca a Silo </v>
      </c>
      <c r="G362" s="168" t="str">
        <f>VLOOKUP(MP_registro[[#This Row],[TAG]],'DB-EQUIPOS GEN'!$C$11:$H$833,3,0)</f>
        <v>PRODUCCION</v>
      </c>
      <c r="H362" s="168" t="str">
        <f>VLOOKUP(MP_registro[[#This Row],[TAG]],'DB-EQUIPOS GEN'!$C$11:$H$833,4,0)</f>
        <v>ENVASADO DE AZÚCAR RUBIA</v>
      </c>
      <c r="I362" s="168" t="str">
        <f>VLOOKUP(MP_registro[[#This Row],[TAG]],'DB-EQUIPOS GEN'!$C$11:$H$833,5,0)</f>
        <v>SILO DE AZUCAR 1</v>
      </c>
      <c r="J362" s="168" t="str">
        <f>VLOOKUP(MP_registro[[#This Row],[TAG]],'DB-EQUIPOS GEN'!$C$11:$H$833,6,0)</f>
        <v>0355BI090</v>
      </c>
      <c r="K362" s="68">
        <v>44727</v>
      </c>
      <c r="L362" s="65" t="s">
        <v>249</v>
      </c>
      <c r="M362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62" s="144" t="s">
        <v>1664</v>
      </c>
      <c r="O362" s="64" t="s">
        <v>1696</v>
      </c>
      <c r="Q362" s="42"/>
    </row>
    <row r="363" spans="1:17" ht="34.15" customHeight="1">
      <c r="A363" s="65">
        <v>362</v>
      </c>
      <c r="B363" s="77" t="s">
        <v>260</v>
      </c>
      <c r="C363" s="64" t="s">
        <v>1800</v>
      </c>
      <c r="D363" s="77" t="s">
        <v>1774</v>
      </c>
      <c r="E363" s="77" t="s">
        <v>1648</v>
      </c>
      <c r="F363" s="166" t="str">
        <f>VLOOKUP(MP_registro[[#This Row],[TAG]],'DB-EQUIPOS GEN'!$C$11:$H$833,2,0)</f>
        <v>Nivel de agua en domo</v>
      </c>
      <c r="G363" s="168" t="str">
        <f>VLOOKUP(MP_registro[[#This Row],[TAG]],'DB-EQUIPOS GEN'!$C$11:$H$833,3,0)</f>
        <v>E. TERMICA</v>
      </c>
      <c r="H363" s="168" t="str">
        <f>VLOOKUP(MP_registro[[#This Row],[TAG]],'DB-EQUIPOS GEN'!$C$11:$H$833,4,0)</f>
        <v>GENERACIÓN DE VAPOR</v>
      </c>
      <c r="I363" s="168" t="str">
        <f>VLOOKUP(MP_registro[[#This Row],[TAG]],'DB-EQUIPOS GEN'!$C$11:$H$833,5,0)</f>
        <v>DOMO SUPERIOR</v>
      </c>
      <c r="J363" s="168" t="str">
        <f>VLOOKUP(MP_registro[[#This Row],[TAG]],'DB-EQUIPOS GEN'!$C$11:$H$833,6,0)</f>
        <v>0405DO020</v>
      </c>
      <c r="K363" s="68">
        <v>44727</v>
      </c>
      <c r="L363" s="65" t="s">
        <v>247</v>
      </c>
      <c r="M363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363" s="144" t="s">
        <v>13</v>
      </c>
      <c r="O363" s="64" t="s">
        <v>1696</v>
      </c>
      <c r="Q363" s="42"/>
    </row>
    <row r="364" spans="1:17" ht="34.15" customHeight="1">
      <c r="A364" s="64">
        <v>363</v>
      </c>
      <c r="B364" s="77" t="s">
        <v>260</v>
      </c>
      <c r="C364" s="64" t="s">
        <v>1800</v>
      </c>
      <c r="D364" s="77" t="s">
        <v>1775</v>
      </c>
      <c r="E364" s="77" t="s">
        <v>772</v>
      </c>
      <c r="F364" s="166" t="str">
        <f>VLOOKUP(MP_registro[[#This Row],[TAG]],'DB-EQUIPOS GEN'!$C$11:$H$833,2,0)</f>
        <v>Brix de masa C - Celda 4</v>
      </c>
      <c r="G364" s="168" t="str">
        <f>VLOOKUP(MP_registro[[#This Row],[TAG]],'DB-EQUIPOS GEN'!$C$11:$H$833,3,0)</f>
        <v>PRODUCCION</v>
      </c>
      <c r="H364" s="168" t="str">
        <f>VLOOKUP(MP_registro[[#This Row],[TAG]],'DB-EQUIPOS GEN'!$C$11:$H$833,4,0)</f>
        <v>CRISTALIZACION POR COCCION</v>
      </c>
      <c r="I364" s="168" t="str">
        <f>VLOOKUP(MP_registro[[#This Row],[TAG]],'DB-EQUIPOS GEN'!$C$11:$H$833,5,0)</f>
        <v xml:space="preserve">TACHO CONTINUO C </v>
      </c>
      <c r="J364" s="168" t="str">
        <f>VLOOKUP(MP_registro[[#This Row],[TAG]],'DB-EQUIPOS GEN'!$C$11:$H$833,6,0)</f>
        <v xml:space="preserve"> 0335HX260</v>
      </c>
      <c r="K364" s="68">
        <v>44728</v>
      </c>
      <c r="L364" s="65" t="s">
        <v>245</v>
      </c>
      <c r="M364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64" s="144" t="s">
        <v>1664</v>
      </c>
      <c r="O364" s="64" t="s">
        <v>1696</v>
      </c>
      <c r="Q364" s="42"/>
    </row>
    <row r="365" spans="1:17" ht="34.15" customHeight="1">
      <c r="A365" s="65">
        <v>364</v>
      </c>
      <c r="B365" s="77" t="s">
        <v>260</v>
      </c>
      <c r="C365" s="64" t="s">
        <v>1800</v>
      </c>
      <c r="D365" s="77" t="s">
        <v>1776</v>
      </c>
      <c r="E365" s="77" t="s">
        <v>778</v>
      </c>
      <c r="F365" s="166" t="str">
        <f>VLOOKUP(MP_registro[[#This Row],[TAG]],'DB-EQUIPOS GEN'!$C$11:$H$833,2,0)</f>
        <v>Brix de masa C - Celda 7</v>
      </c>
      <c r="G365" s="168" t="str">
        <f>VLOOKUP(MP_registro[[#This Row],[TAG]],'DB-EQUIPOS GEN'!$C$11:$H$833,3,0)</f>
        <v>PRODUCCION</v>
      </c>
      <c r="H365" s="168" t="str">
        <f>VLOOKUP(MP_registro[[#This Row],[TAG]],'DB-EQUIPOS GEN'!$C$11:$H$833,4,0)</f>
        <v>CRISTALIZACION POR COCCION</v>
      </c>
      <c r="I365" s="168" t="str">
        <f>VLOOKUP(MP_registro[[#This Row],[TAG]],'DB-EQUIPOS GEN'!$C$11:$H$833,5,0)</f>
        <v xml:space="preserve">TACHO CONTINUO C </v>
      </c>
      <c r="J365" s="168" t="str">
        <f>VLOOKUP(MP_registro[[#This Row],[TAG]],'DB-EQUIPOS GEN'!$C$11:$H$833,6,0)</f>
        <v xml:space="preserve"> 0335HX260</v>
      </c>
      <c r="K365" s="68">
        <v>44728</v>
      </c>
      <c r="L365" s="65" t="s">
        <v>249</v>
      </c>
      <c r="M365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65" s="144" t="s">
        <v>1664</v>
      </c>
      <c r="O365" s="64" t="s">
        <v>1696</v>
      </c>
      <c r="Q365" s="42"/>
    </row>
    <row r="366" spans="1:17" ht="34.15" customHeight="1">
      <c r="A366" s="64">
        <v>365</v>
      </c>
      <c r="B366" s="77" t="s">
        <v>260</v>
      </c>
      <c r="C366" s="64" t="s">
        <v>1800</v>
      </c>
      <c r="D366" s="77" t="s">
        <v>1777</v>
      </c>
      <c r="E366" s="77" t="s">
        <v>710</v>
      </c>
      <c r="F366" s="166" t="str">
        <f>VLOOKUP(MP_registro[[#This Row],[TAG]],'DB-EQUIPOS GEN'!$C$11:$H$833,2,0)</f>
        <v>Nivel de jarabe tachos #2</v>
      </c>
      <c r="G366" s="168" t="str">
        <f>VLOOKUP(MP_registro[[#This Row],[TAG]],'DB-EQUIPOS GEN'!$C$11:$H$833,3,0)</f>
        <v>PRODUCCION</v>
      </c>
      <c r="H366" s="168" t="str">
        <f>VLOOKUP(MP_registro[[#This Row],[TAG]],'DB-EQUIPOS GEN'!$C$11:$H$833,4,0)</f>
        <v>CRISTALIZACION POR COCCION</v>
      </c>
      <c r="I366" s="168" t="str">
        <f>VLOOKUP(MP_registro[[#This Row],[TAG]],'DB-EQUIPOS GEN'!$C$11:$H$833,5,0)</f>
        <v xml:space="preserve">TACHO CONTINUO A </v>
      </c>
      <c r="J366" s="168" t="str">
        <f>VLOOKUP(MP_registro[[#This Row],[TAG]],'DB-EQUIPOS GEN'!$C$11:$H$833,6,0)</f>
        <v xml:space="preserve"> 0335HX200</v>
      </c>
      <c r="K366" s="68">
        <v>44728</v>
      </c>
      <c r="L366" s="65" t="s">
        <v>245</v>
      </c>
      <c r="M366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66" s="144" t="s">
        <v>1664</v>
      </c>
      <c r="O366" s="64" t="s">
        <v>1696</v>
      </c>
      <c r="Q366" s="42"/>
    </row>
    <row r="367" spans="1:17" ht="34.15" customHeight="1">
      <c r="A367" s="65">
        <v>366</v>
      </c>
      <c r="B367" s="77" t="s">
        <v>260</v>
      </c>
      <c r="C367" s="64" t="s">
        <v>1800</v>
      </c>
      <c r="D367" s="77" t="s">
        <v>1778</v>
      </c>
      <c r="E367" s="77" t="s">
        <v>1316</v>
      </c>
      <c r="F367" s="166" t="str">
        <f>VLOOKUP(MP_registro[[#This Row],[TAG]],'DB-EQUIPOS GEN'!$C$11:$H$833,2,0)</f>
        <v>Tablero de periferia en Asset Turbina</v>
      </c>
      <c r="G367" s="168" t="str">
        <f>VLOOKUP(MP_registro[[#This Row],[TAG]],'DB-EQUIPOS GEN'!$C$11:$H$833,3,0)</f>
        <v>E. ELECTRICA</v>
      </c>
      <c r="H367" s="168" t="str">
        <f>VLOOKUP(MP_registro[[#This Row],[TAG]],'DB-EQUIPOS GEN'!$C$11:$H$833,4,0)</f>
        <v>GENERACION ENERG. ELEC. TURBO GENERADOR</v>
      </c>
      <c r="I367" s="168" t="str">
        <f>VLOOKUP(MP_registro[[#This Row],[TAG]],'DB-EQUIPOS GEN'!$C$11:$H$833,5,0)</f>
        <v>TURBOGENERADOR 7.5 MW</v>
      </c>
      <c r="J367" s="168" t="str">
        <f>VLOOKUP(MP_registro[[#This Row],[TAG]],'DB-EQUIPOS GEN'!$C$11:$H$833,6,0)</f>
        <v>0430TG010</v>
      </c>
      <c r="K367" s="68">
        <v>44728</v>
      </c>
      <c r="L367" s="65" t="s">
        <v>248</v>
      </c>
      <c r="M367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67" s="144" t="s">
        <v>1664</v>
      </c>
      <c r="O367" s="64" t="s">
        <v>1696</v>
      </c>
      <c r="Q367" s="42"/>
    </row>
    <row r="368" spans="1:17" ht="34.15" customHeight="1">
      <c r="A368" s="64">
        <v>367</v>
      </c>
      <c r="B368" s="77" t="s">
        <v>260</v>
      </c>
      <c r="C368" s="64" t="s">
        <v>1800</v>
      </c>
      <c r="D368" s="77" t="s">
        <v>1779</v>
      </c>
      <c r="E368" s="163" t="s">
        <v>2407</v>
      </c>
      <c r="F368" s="166" t="str">
        <f>VLOOKUP(MP_registro[[#This Row],[TAG]],'DB-EQUIPOS GEN'!$C$11:$H$833,2,0)</f>
        <v>Vista Molino Secador - Conductor Intermedio</v>
      </c>
      <c r="G368" s="168" t="str">
        <f>VLOOKUP(MP_registro[[#This Row],[TAG]],'DB-EQUIPOS GEN'!$C$11:$H$833,3,0)</f>
        <v>EXTRACCION</v>
      </c>
      <c r="H368" s="168" t="str">
        <f>VLOOKUP(MP_registro[[#This Row],[TAG]],'DB-EQUIPOS GEN'!$C$11:$H$833,4,0)</f>
        <v>MOLINOS</v>
      </c>
      <c r="I368" s="168" t="str">
        <f>VLOOKUP(MP_registro[[#This Row],[TAG]],'DB-EQUIPOS GEN'!$C$11:$H$833,5,0)</f>
        <v>CONDUCTOR INTERMEDIO - MOLINO SECADOR</v>
      </c>
      <c r="J368" s="168" t="str">
        <f>VLOOKUP(MP_registro[[#This Row],[TAG]],'DB-EQUIPOS GEN'!$C$11:$H$833,6,0)</f>
        <v>0210CV070</v>
      </c>
      <c r="K368" s="68">
        <v>44728</v>
      </c>
      <c r="L368" s="65" t="s">
        <v>245</v>
      </c>
      <c r="M368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68" s="144" t="s">
        <v>1664</v>
      </c>
      <c r="O368" s="64" t="s">
        <v>1696</v>
      </c>
      <c r="Q368" s="42"/>
    </row>
    <row r="369" spans="1:17" ht="34.15" customHeight="1">
      <c r="A369" s="65">
        <v>368</v>
      </c>
      <c r="B369" s="77" t="s">
        <v>260</v>
      </c>
      <c r="C369" s="64" t="s">
        <v>1800</v>
      </c>
      <c r="D369" s="77" t="s">
        <v>1780</v>
      </c>
      <c r="E369" s="77" t="s">
        <v>1642</v>
      </c>
      <c r="F369" s="166" t="str">
        <f>VLOOKUP(MP_registro[[#This Row],[TAG]],'DB-EQUIPOS GEN'!$C$11:$H$833,2,0)</f>
        <v>Salida de bagazo de molino secador</v>
      </c>
      <c r="G369" s="168" t="str">
        <f>VLOOKUP(MP_registro[[#This Row],[TAG]],'DB-EQUIPOS GEN'!$C$11:$H$833,3,0)</f>
        <v>EXTRACCION</v>
      </c>
      <c r="H369" s="168" t="str">
        <f>VLOOKUP(MP_registro[[#This Row],[TAG]],'DB-EQUIPOS GEN'!$C$11:$H$833,4,0)</f>
        <v>MOLINOS</v>
      </c>
      <c r="I369" s="168" t="str">
        <f>VLOOKUP(MP_registro[[#This Row],[TAG]],'DB-EQUIPOS GEN'!$C$11:$H$833,5,0)</f>
        <v>MOLINO SECADOR</v>
      </c>
      <c r="J369" s="168" t="str">
        <f>VLOOKUP(MP_registro[[#This Row],[TAG]],'DB-EQUIPOS GEN'!$C$11:$H$833,6,0)</f>
        <v>0210MM090</v>
      </c>
      <c r="K369" s="68">
        <v>44728</v>
      </c>
      <c r="L369" s="65" t="s">
        <v>249</v>
      </c>
      <c r="M369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69" s="144" t="s">
        <v>1664</v>
      </c>
      <c r="O369" s="64" t="s">
        <v>1696</v>
      </c>
      <c r="Q369" s="42"/>
    </row>
    <row r="370" spans="1:17" ht="34.15" customHeight="1">
      <c r="A370" s="64">
        <v>369</v>
      </c>
      <c r="B370" s="77" t="s">
        <v>260</v>
      </c>
      <c r="C370" s="64" t="s">
        <v>1800</v>
      </c>
      <c r="D370" s="77" t="s">
        <v>1781</v>
      </c>
      <c r="E370" s="77" t="s">
        <v>1651</v>
      </c>
      <c r="F370" s="166" t="str">
        <f>VLOOKUP(MP_registro[[#This Row],[TAG]],'DB-EQUIPOS GEN'!$C$11:$H$833,2,0)</f>
        <v>Faja 1008 - Tolva de retorno de bagazo</v>
      </c>
      <c r="G370" s="168" t="str">
        <f>VLOOKUP(MP_registro[[#This Row],[TAG]],'DB-EQUIPOS GEN'!$C$11:$H$833,3,0)</f>
        <v>E. TERMICA</v>
      </c>
      <c r="H370" s="168" t="str">
        <f>VLOOKUP(MP_registro[[#This Row],[TAG]],'DB-EQUIPOS GEN'!$C$11:$H$833,4,0)</f>
        <v>TRANSPORTE DE BAGAZO</v>
      </c>
      <c r="I370" s="168" t="str">
        <f>VLOOKUP(MP_registro[[#This Row],[TAG]],'DB-EQUIPOS GEN'!$C$11:$H$833,5,0)</f>
        <v>FAJA TRANSPORTADORA 1008</v>
      </c>
      <c r="J370" s="168" t="str">
        <f>VLOOKUP(MP_registro[[#This Row],[TAG]],'DB-EQUIPOS GEN'!$C$11:$H$833,6,0)</f>
        <v>0805CV100</v>
      </c>
      <c r="K370" s="68">
        <v>44728</v>
      </c>
      <c r="L370" s="65" t="s">
        <v>249</v>
      </c>
      <c r="M370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70" s="144" t="s">
        <v>1664</v>
      </c>
      <c r="O370" s="64" t="s">
        <v>1696</v>
      </c>
      <c r="Q370" s="42"/>
    </row>
    <row r="371" spans="1:17" ht="34.15" customHeight="1">
      <c r="A371" s="65">
        <v>370</v>
      </c>
      <c r="B371" s="77" t="s">
        <v>260</v>
      </c>
      <c r="C371" s="64" t="s">
        <v>1800</v>
      </c>
      <c r="D371" s="77" t="s">
        <v>1782</v>
      </c>
      <c r="E371" s="77" t="s">
        <v>1652</v>
      </c>
      <c r="F371" s="166" t="str">
        <f>VLOOKUP(MP_registro[[#This Row],[TAG]],'DB-EQUIPOS GEN'!$C$11:$H$833,2,0)</f>
        <v>Faja 1006A - Patio de Bagazo</v>
      </c>
      <c r="G371" s="168" t="str">
        <f>VLOOKUP(MP_registro[[#This Row],[TAG]],'DB-EQUIPOS GEN'!$C$11:$H$833,3,0)</f>
        <v>E. TERMICA</v>
      </c>
      <c r="H371" s="168" t="str">
        <f>VLOOKUP(MP_registro[[#This Row],[TAG]],'DB-EQUIPOS GEN'!$C$11:$H$833,4,0)</f>
        <v>TRANSPORTE DE BAGAZO</v>
      </c>
      <c r="I371" s="168" t="str">
        <f>VLOOKUP(MP_registro[[#This Row],[TAG]],'DB-EQUIPOS GEN'!$C$11:$H$833,5,0)</f>
        <v>FAJA TRANSPORTADORA 1006 A</v>
      </c>
      <c r="J371" s="168" t="str">
        <f>VLOOKUP(MP_registro[[#This Row],[TAG]],'DB-EQUIPOS GEN'!$C$11:$H$833,6,0)</f>
        <v>0805CV080</v>
      </c>
      <c r="K371" s="68">
        <v>44728</v>
      </c>
      <c r="L371" s="65" t="s">
        <v>245</v>
      </c>
      <c r="M371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71" s="144" t="s">
        <v>1664</v>
      </c>
      <c r="O371" s="64" t="s">
        <v>1696</v>
      </c>
      <c r="Q371" s="42"/>
    </row>
    <row r="372" spans="1:17" ht="34.15" customHeight="1">
      <c r="A372" s="64">
        <v>371</v>
      </c>
      <c r="B372" s="77" t="s">
        <v>260</v>
      </c>
      <c r="C372" s="64" t="s">
        <v>1800</v>
      </c>
      <c r="D372" s="77" t="s">
        <v>1783</v>
      </c>
      <c r="E372" s="77" t="s">
        <v>711</v>
      </c>
      <c r="F372" s="166" t="str">
        <f>VLOOKUP(MP_registro[[#This Row],[TAG]],'DB-EQUIPOS GEN'!$C$11:$H$833,2,0)</f>
        <v xml:space="preserve">Nivel de jarabe tachos </v>
      </c>
      <c r="G372" s="168" t="str">
        <f>VLOOKUP(MP_registro[[#This Row],[TAG]],'DB-EQUIPOS GEN'!$C$11:$H$833,3,0)</f>
        <v>PRODUCCION</v>
      </c>
      <c r="H372" s="168" t="str">
        <f>VLOOKUP(MP_registro[[#This Row],[TAG]],'DB-EQUIPOS GEN'!$C$11:$H$833,4,0)</f>
        <v>CRISTALIZACION POR COCCION</v>
      </c>
      <c r="I372" s="168" t="str">
        <f>VLOOKUP(MP_registro[[#This Row],[TAG]],'DB-EQUIPOS GEN'!$C$11:$H$833,5,0)</f>
        <v xml:space="preserve">TACHO CONTINUO A </v>
      </c>
      <c r="J372" s="168" t="str">
        <f>VLOOKUP(MP_registro[[#This Row],[TAG]],'DB-EQUIPOS GEN'!$C$11:$H$833,6,0)</f>
        <v xml:space="preserve"> 0335HX200</v>
      </c>
      <c r="K372" s="68">
        <v>44729</v>
      </c>
      <c r="L372" s="65" t="s">
        <v>249</v>
      </c>
      <c r="M372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72" s="144" t="s">
        <v>1664</v>
      </c>
      <c r="O372" s="64" t="s">
        <v>1696</v>
      </c>
      <c r="Q372" s="42"/>
    </row>
    <row r="373" spans="1:17" ht="34.15" customHeight="1">
      <c r="A373" s="65">
        <v>372</v>
      </c>
      <c r="B373" s="77" t="s">
        <v>260</v>
      </c>
      <c r="C373" s="64" t="s">
        <v>1800</v>
      </c>
      <c r="D373" s="77" t="s">
        <v>1784</v>
      </c>
      <c r="E373" s="77" t="s">
        <v>1317</v>
      </c>
      <c r="F373" s="166" t="str">
        <f>VLOOKUP(MP_registro[[#This Row],[TAG]],'DB-EQUIPOS GEN'!$C$11:$H$833,2,0)</f>
        <v>Tablero de periferia en Asset Caldera</v>
      </c>
      <c r="G373" s="168" t="str">
        <f>VLOOKUP(MP_registro[[#This Row],[TAG]],'DB-EQUIPOS GEN'!$C$11:$H$833,3,0)</f>
        <v>E. TERMICA</v>
      </c>
      <c r="H373" s="168" t="str">
        <f>VLOOKUP(MP_registro[[#This Row],[TAG]],'DB-EQUIPOS GEN'!$C$11:$H$833,4,0)</f>
        <v>GENERACION DE VAPOR</v>
      </c>
      <c r="I373" s="168" t="str">
        <f>VLOOKUP(MP_registro[[#This Row],[TAG]],'DB-EQUIPOS GEN'!$C$11:$H$833,5,0)</f>
        <v>CALDERA</v>
      </c>
      <c r="J373" s="168" t="str">
        <f>VLOOKUP(MP_registro[[#This Row],[TAG]],'DB-EQUIPOS GEN'!$C$11:$H$833,6,0)</f>
        <v>0405BR010</v>
      </c>
      <c r="K373" s="68">
        <v>44729</v>
      </c>
      <c r="L373" s="65" t="s">
        <v>248</v>
      </c>
      <c r="M373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73" s="144" t="s">
        <v>1664</v>
      </c>
      <c r="O373" s="64" t="s">
        <v>1696</v>
      </c>
      <c r="Q373" s="42"/>
    </row>
    <row r="374" spans="1:17" ht="34.15" customHeight="1">
      <c r="A374" s="64">
        <v>373</v>
      </c>
      <c r="B374" s="77" t="s">
        <v>260</v>
      </c>
      <c r="C374" s="64" t="s">
        <v>1800</v>
      </c>
      <c r="D374" s="77" t="s">
        <v>1785</v>
      </c>
      <c r="E374" s="77" t="s">
        <v>1644</v>
      </c>
      <c r="F374" s="166" t="str">
        <f>VLOOKUP(MP_registro[[#This Row],[TAG]],'DB-EQUIPOS GEN'!$C$11:$H$833,2,0)</f>
        <v>Explanada de Turbina Triveni</v>
      </c>
      <c r="G374" s="168" t="str">
        <f>VLOOKUP(MP_registro[[#This Row],[TAG]],'DB-EQUIPOS GEN'!$C$11:$H$833,3,0)</f>
        <v>E. ELECTRICA</v>
      </c>
      <c r="H374" s="168" t="str">
        <f>VLOOKUP(MP_registro[[#This Row],[TAG]],'DB-EQUIPOS GEN'!$C$11:$H$833,4,0)</f>
        <v>GENERACIÓN ENERG. ELEC. TURBO GENERADOR</v>
      </c>
      <c r="I374" s="168" t="str">
        <f>VLOOKUP(MP_registro[[#This Row],[TAG]],'DB-EQUIPOS GEN'!$C$11:$H$833,5,0)</f>
        <v>TURBOGENERADOR TRIVENI 23.2 MW</v>
      </c>
      <c r="J374" s="168" t="str">
        <f>VLOOKUP(MP_registro[[#This Row],[TAG]],'DB-EQUIPOS GEN'!$C$11:$H$833,6,0)</f>
        <v>0430TG020</v>
      </c>
      <c r="K374" s="68">
        <v>44729</v>
      </c>
      <c r="L374" s="65" t="s">
        <v>245</v>
      </c>
      <c r="M374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74" s="144" t="s">
        <v>1664</v>
      </c>
      <c r="O374" s="64" t="s">
        <v>1696</v>
      </c>
      <c r="Q374" s="42"/>
    </row>
    <row r="375" spans="1:17" ht="34.15" customHeight="1">
      <c r="A375" s="65">
        <v>374</v>
      </c>
      <c r="B375" s="77" t="s">
        <v>260</v>
      </c>
      <c r="C375" s="64" t="s">
        <v>1800</v>
      </c>
      <c r="D375" s="77" t="s">
        <v>1786</v>
      </c>
      <c r="E375" s="77" t="s">
        <v>1646</v>
      </c>
      <c r="F375" s="166" t="str">
        <f>VLOOKUP(MP_registro[[#This Row],[TAG]],'DB-EQUIPOS GEN'!$C$11:$H$833,2,0)</f>
        <v>Segundo nivel de Turbina TGM</v>
      </c>
      <c r="G375" s="168" t="str">
        <f>VLOOKUP(MP_registro[[#This Row],[TAG]],'DB-EQUIPOS GEN'!$C$11:$H$833,3,0)</f>
        <v>E. ELECTRICA</v>
      </c>
      <c r="H375" s="168" t="str">
        <f>VLOOKUP(MP_registro[[#This Row],[TAG]],'DB-EQUIPOS GEN'!$C$11:$H$833,4,0)</f>
        <v>SISTEMA DE ENFRIAMIENTO</v>
      </c>
      <c r="I375" s="168" t="str">
        <f>VLOOKUP(MP_registro[[#This Row],[TAG]],'DB-EQUIPOS GEN'!$C$11:$H$833,5,0)</f>
        <v>TORRE DE ENFRIAMIENTO MARLEY - TG TGM</v>
      </c>
      <c r="J375" s="168" t="str">
        <f>VLOOKUP(MP_registro[[#This Row],[TAG]],'DB-EQUIPOS GEN'!$C$11:$H$833,6,0)</f>
        <v>0430CT050</v>
      </c>
      <c r="K375" s="68">
        <v>44729</v>
      </c>
      <c r="L375" s="65" t="s">
        <v>245</v>
      </c>
      <c r="M375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75" s="144" t="s">
        <v>1664</v>
      </c>
      <c r="O375" s="64" t="s">
        <v>1696</v>
      </c>
      <c r="Q375" s="42"/>
    </row>
    <row r="376" spans="1:17" ht="34.15" customHeight="1">
      <c r="A376" s="64">
        <v>375</v>
      </c>
      <c r="B376" s="77" t="s">
        <v>260</v>
      </c>
      <c r="C376" s="64" t="s">
        <v>1800</v>
      </c>
      <c r="D376" s="77" t="s">
        <v>1787</v>
      </c>
      <c r="E376" s="77" t="s">
        <v>1647</v>
      </c>
      <c r="F376" s="166" t="str">
        <f>VLOOKUP(MP_registro[[#This Row],[TAG]],'DB-EQUIPOS GEN'!$C$11:$H$833,2,0)</f>
        <v>Explanada frontal de Turbina Triveni</v>
      </c>
      <c r="G376" s="168" t="str">
        <f>VLOOKUP(MP_registro[[#This Row],[TAG]],'DB-EQUIPOS GEN'!$C$11:$H$833,3,0)</f>
        <v>E. ELECTRICA</v>
      </c>
      <c r="H376" s="168" t="str">
        <f>VLOOKUP(MP_registro[[#This Row],[TAG]],'DB-EQUIPOS GEN'!$C$11:$H$833,4,0)</f>
        <v>GENERACIÓN ENERG. ELEC. TURBO GENERADOR</v>
      </c>
      <c r="I376" s="168" t="str">
        <f>VLOOKUP(MP_registro[[#This Row],[TAG]],'DB-EQUIPOS GEN'!$C$11:$H$833,5,0)</f>
        <v>TURBOGENERADOR TRIVENI 23.2 MW</v>
      </c>
      <c r="J376" s="168" t="str">
        <f>VLOOKUP(MP_registro[[#This Row],[TAG]],'DB-EQUIPOS GEN'!$C$11:$H$833,6,0)</f>
        <v>0430TG020</v>
      </c>
      <c r="K376" s="68">
        <v>44729</v>
      </c>
      <c r="L376" s="65" t="s">
        <v>249</v>
      </c>
      <c r="M376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76" s="144" t="s">
        <v>1664</v>
      </c>
      <c r="O376" s="64" t="s">
        <v>1696</v>
      </c>
      <c r="Q376" s="42"/>
    </row>
    <row r="377" spans="1:17" ht="34.15" customHeight="1">
      <c r="A377" s="65">
        <v>376</v>
      </c>
      <c r="B377" s="77" t="s">
        <v>260</v>
      </c>
      <c r="C377" s="64" t="s">
        <v>1800</v>
      </c>
      <c r="D377" s="77" t="s">
        <v>1788</v>
      </c>
      <c r="E377" s="77" t="s">
        <v>1650</v>
      </c>
      <c r="F377" s="166" t="str">
        <f>VLOOKUP(MP_registro[[#This Row],[TAG]],'DB-EQUIPOS GEN'!$C$11:$H$833,2,0)</f>
        <v>Faja 1003 - Conductor distribuidor de bagazo</v>
      </c>
      <c r="G377" s="168" t="str">
        <f>VLOOKUP(MP_registro[[#This Row],[TAG]],'DB-EQUIPOS GEN'!$C$11:$H$833,3,0)</f>
        <v>E. TERMICA</v>
      </c>
      <c r="H377" s="168" t="str">
        <f>VLOOKUP(MP_registro[[#This Row],[TAG]],'DB-EQUIPOS GEN'!$C$11:$H$833,4,0)</f>
        <v>TRANSPORTE DE BAGAZO</v>
      </c>
      <c r="I377" s="168" t="str">
        <f>VLOOKUP(MP_registro[[#This Row],[TAG]],'DB-EQUIPOS GEN'!$C$11:$H$833,5,0)</f>
        <v>TRANSPORTADOR DE BAGAZO 1003</v>
      </c>
      <c r="J377" s="168" t="str">
        <f>VLOOKUP(MP_registro[[#This Row],[TAG]],'DB-EQUIPOS GEN'!$C$11:$H$833,6,0)</f>
        <v>0805CV060</v>
      </c>
      <c r="K377" s="68">
        <v>44729</v>
      </c>
      <c r="L377" s="65" t="s">
        <v>249</v>
      </c>
      <c r="M377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77" s="144" t="s">
        <v>1664</v>
      </c>
      <c r="O377" s="64" t="s">
        <v>1696</v>
      </c>
      <c r="Q377" s="42"/>
    </row>
    <row r="378" spans="1:17" ht="34.15" customHeight="1">
      <c r="A378" s="64">
        <v>377</v>
      </c>
      <c r="B378" s="77" t="s">
        <v>260</v>
      </c>
      <c r="C378" s="64" t="s">
        <v>1800</v>
      </c>
      <c r="D378" s="77" t="s">
        <v>1789</v>
      </c>
      <c r="E378" s="77" t="s">
        <v>1654</v>
      </c>
      <c r="F378" s="166" t="str">
        <f>VLOOKUP(MP_registro[[#This Row],[TAG]],'DB-EQUIPOS GEN'!$C$11:$H$833,2,0)</f>
        <v>Vista global de sala turbina TGM</v>
      </c>
      <c r="G378" s="168" t="str">
        <f>VLOOKUP(MP_registro[[#This Row],[TAG]],'DB-EQUIPOS GEN'!$C$11:$H$833,3,0)</f>
        <v>E. ELECTRICA</v>
      </c>
      <c r="H378" s="168" t="str">
        <f>VLOOKUP(MP_registro[[#This Row],[TAG]],'DB-EQUIPOS GEN'!$C$11:$H$833,4,0)</f>
        <v>SISTEMA DE ENFRIAMIENTO</v>
      </c>
      <c r="I378" s="168" t="str">
        <f>VLOOKUP(MP_registro[[#This Row],[TAG]],'DB-EQUIPOS GEN'!$C$11:$H$833,5,0)</f>
        <v>TORRE DE ENFRIAMIENTO MARLEY - TG TGM</v>
      </c>
      <c r="J378" s="168" t="str">
        <f>VLOOKUP(MP_registro[[#This Row],[TAG]],'DB-EQUIPOS GEN'!$C$11:$H$833,6,0)</f>
        <v>0430CT050</v>
      </c>
      <c r="K378" s="68">
        <v>44729</v>
      </c>
      <c r="L378" s="65" t="s">
        <v>245</v>
      </c>
      <c r="M378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78" s="144" t="s">
        <v>1664</v>
      </c>
      <c r="O378" s="64" t="s">
        <v>1696</v>
      </c>
      <c r="Q378" s="42"/>
    </row>
    <row r="379" spans="1:17" ht="34.15" customHeight="1">
      <c r="A379" s="65">
        <v>378</v>
      </c>
      <c r="B379" s="77" t="s">
        <v>260</v>
      </c>
      <c r="C379" s="64" t="s">
        <v>1800</v>
      </c>
      <c r="D379" s="77" t="s">
        <v>1790</v>
      </c>
      <c r="E379" s="77" t="s">
        <v>288</v>
      </c>
      <c r="F379" s="166" t="str">
        <f>VLOOKUP(MP_registro[[#This Row],[TAG]],'DB-EQUIPOS GEN'!$C$11:$H$833,2,0)</f>
        <v>Nivel de jugo del tanque flash</v>
      </c>
      <c r="G379" s="168" t="str">
        <f>VLOOKUP(MP_registro[[#This Row],[TAG]],'DB-EQUIPOS GEN'!$C$11:$H$833,3,0)</f>
        <v>PRODUCCION</v>
      </c>
      <c r="H379" s="168" t="str">
        <f>VLOOKUP(MP_registro[[#This Row],[TAG]],'DB-EQUIPOS GEN'!$C$11:$H$833,4,0)</f>
        <v>CLARIFICACION DE JUGO</v>
      </c>
      <c r="I379" s="168" t="str">
        <f>VLOOKUP(MP_registro[[#This Row],[TAG]],'DB-EQUIPOS GEN'!$C$11:$H$833,5,0)</f>
        <v>TANQUE FLASH</v>
      </c>
      <c r="J379" s="168" t="str">
        <f>VLOOKUP(MP_registro[[#This Row],[TAG]],'DB-EQUIPOS GEN'!$C$11:$H$833,6,0)</f>
        <v>0305TK270</v>
      </c>
      <c r="K379" s="68">
        <v>44730</v>
      </c>
      <c r="L379" s="65" t="s">
        <v>249</v>
      </c>
      <c r="M379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79" s="144" t="s">
        <v>1664</v>
      </c>
      <c r="O379" s="64" t="s">
        <v>1696</v>
      </c>
      <c r="Q379" s="42"/>
    </row>
    <row r="380" spans="1:17" ht="34.15" customHeight="1">
      <c r="A380" s="64">
        <v>379</v>
      </c>
      <c r="B380" s="77" t="s">
        <v>260</v>
      </c>
      <c r="C380" s="64" t="s">
        <v>1800</v>
      </c>
      <c r="D380" s="77" t="s">
        <v>1791</v>
      </c>
      <c r="E380" s="77" t="s">
        <v>776</v>
      </c>
      <c r="F380" s="166" t="str">
        <f>VLOOKUP(MP_registro[[#This Row],[TAG]],'DB-EQUIPOS GEN'!$C$11:$H$833,2,0)</f>
        <v>Brix de masa C - Celda 6</v>
      </c>
      <c r="G380" s="168" t="str">
        <f>VLOOKUP(MP_registro[[#This Row],[TAG]],'DB-EQUIPOS GEN'!$C$11:$H$833,3,0)</f>
        <v>PRODUCCION</v>
      </c>
      <c r="H380" s="168" t="str">
        <f>VLOOKUP(MP_registro[[#This Row],[TAG]],'DB-EQUIPOS GEN'!$C$11:$H$833,4,0)</f>
        <v>CRISTALIZACION POR COCCION</v>
      </c>
      <c r="I380" s="168" t="str">
        <f>VLOOKUP(MP_registro[[#This Row],[TAG]],'DB-EQUIPOS GEN'!$C$11:$H$833,5,0)</f>
        <v xml:space="preserve">TACHO CONTINUO C </v>
      </c>
      <c r="J380" s="168" t="str">
        <f>VLOOKUP(MP_registro[[#This Row],[TAG]],'DB-EQUIPOS GEN'!$C$11:$H$833,6,0)</f>
        <v xml:space="preserve"> 0335HX260</v>
      </c>
      <c r="K380" s="68">
        <v>44730</v>
      </c>
      <c r="L380" s="65" t="s">
        <v>245</v>
      </c>
      <c r="M380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80" s="144" t="s">
        <v>1664</v>
      </c>
      <c r="O380" s="64" t="s">
        <v>1696</v>
      </c>
      <c r="Q380" s="42"/>
    </row>
    <row r="381" spans="1:17" ht="34.15" customHeight="1">
      <c r="A381" s="65">
        <v>380</v>
      </c>
      <c r="B381" s="77" t="s">
        <v>260</v>
      </c>
      <c r="C381" s="64" t="s">
        <v>1800</v>
      </c>
      <c r="D381" s="77" t="s">
        <v>1792</v>
      </c>
      <c r="E381" s="77" t="s">
        <v>704</v>
      </c>
      <c r="F381" s="166" t="str">
        <f>VLOOKUP(MP_registro[[#This Row],[TAG]],'DB-EQUIPOS GEN'!$C$11:$H$833,2,0)</f>
        <v>Temperatura de vapor ingreso a calandria</v>
      </c>
      <c r="G381" s="168" t="str">
        <f>VLOOKUP(MP_registro[[#This Row],[TAG]],'DB-EQUIPOS GEN'!$C$11:$H$833,3,0)</f>
        <v>PRODUCCION</v>
      </c>
      <c r="H381" s="168" t="str">
        <f>VLOOKUP(MP_registro[[#This Row],[TAG]],'DB-EQUIPOS GEN'!$C$11:$H$833,4,0)</f>
        <v>CRISTALIZACION POR COCCION</v>
      </c>
      <c r="I381" s="168" t="str">
        <f>VLOOKUP(MP_registro[[#This Row],[TAG]],'DB-EQUIPOS GEN'!$C$11:$H$833,5,0)</f>
        <v xml:space="preserve">TACHO CONTINUO A </v>
      </c>
      <c r="J381" s="168" t="str">
        <f>VLOOKUP(MP_registro[[#This Row],[TAG]],'DB-EQUIPOS GEN'!$C$11:$H$833,6,0)</f>
        <v xml:space="preserve"> 0335HX200</v>
      </c>
      <c r="K381" s="68">
        <v>44730</v>
      </c>
      <c r="L381" s="65" t="s">
        <v>245</v>
      </c>
      <c r="M381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81" s="144" t="s">
        <v>1664</v>
      </c>
      <c r="O381" s="64" t="s">
        <v>1696</v>
      </c>
      <c r="Q381" s="42"/>
    </row>
    <row r="382" spans="1:17" ht="34.15" customHeight="1">
      <c r="A382" s="64">
        <v>381</v>
      </c>
      <c r="B382" s="77" t="s">
        <v>260</v>
      </c>
      <c r="C382" s="64" t="s">
        <v>1800</v>
      </c>
      <c r="D382" s="77" t="s">
        <v>1793</v>
      </c>
      <c r="E382" s="77" t="s">
        <v>1319</v>
      </c>
      <c r="F382" s="166" t="str">
        <f>VLOOKUP(MP_registro[[#This Row],[TAG]],'DB-EQUIPOS GEN'!$C$11:$H$833,2,0)</f>
        <v>Tablero de periferia en Asset Caldera</v>
      </c>
      <c r="G382" s="168" t="str">
        <f>VLOOKUP(MP_registro[[#This Row],[TAG]],'DB-EQUIPOS GEN'!$C$11:$H$833,3,0)</f>
        <v>E. TERMICA</v>
      </c>
      <c r="H382" s="168" t="str">
        <f>VLOOKUP(MP_registro[[#This Row],[TAG]],'DB-EQUIPOS GEN'!$C$11:$H$833,4,0)</f>
        <v>GENERACION DE VAPOR</v>
      </c>
      <c r="I382" s="168" t="str">
        <f>VLOOKUP(MP_registro[[#This Row],[TAG]],'DB-EQUIPOS GEN'!$C$11:$H$833,5,0)</f>
        <v>CALDERA</v>
      </c>
      <c r="J382" s="168" t="str">
        <f>VLOOKUP(MP_registro[[#This Row],[TAG]],'DB-EQUIPOS GEN'!$C$11:$H$833,6,0)</f>
        <v>0405BR010</v>
      </c>
      <c r="K382" s="68">
        <v>44730</v>
      </c>
      <c r="L382" s="65" t="s">
        <v>248</v>
      </c>
      <c r="M382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82" s="144" t="s">
        <v>1664</v>
      </c>
      <c r="O382" s="64" t="s">
        <v>1696</v>
      </c>
      <c r="Q382" s="42"/>
    </row>
    <row r="383" spans="1:17" ht="34.15" customHeight="1">
      <c r="A383" s="65">
        <v>382</v>
      </c>
      <c r="B383" s="77" t="s">
        <v>260</v>
      </c>
      <c r="C383" s="64" t="s">
        <v>1800</v>
      </c>
      <c r="D383" s="77" t="s">
        <v>1794</v>
      </c>
      <c r="E383" s="77" t="s">
        <v>1643</v>
      </c>
      <c r="F383" s="166" t="str">
        <f>VLOOKUP(MP_registro[[#This Row],[TAG]],'DB-EQUIPOS GEN'!$C$11:$H$833,2,0)</f>
        <v>Nivelador de cama de bagazo en difusor</v>
      </c>
      <c r="G383" s="168" t="str">
        <f>VLOOKUP(MP_registro[[#This Row],[TAG]],'DB-EQUIPOS GEN'!$C$11:$H$833,3,0)</f>
        <v>EXTRACCION</v>
      </c>
      <c r="H383" s="168" t="str">
        <f>VLOOKUP(MP_registro[[#This Row],[TAG]],'DB-EQUIPOS GEN'!$C$11:$H$833,4,0)</f>
        <v>DIFUSOR</v>
      </c>
      <c r="I383" s="168" t="str">
        <f>VLOOKUP(MP_registro[[#This Row],[TAG]],'DB-EQUIPOS GEN'!$C$11:$H$833,5,0)</f>
        <v>CONDUCTOR TRANSVERSAL</v>
      </c>
      <c r="J383" s="168" t="str">
        <f>VLOOKUP(MP_registro[[#This Row],[TAG]],'DB-EQUIPOS GEN'!$C$11:$H$833,6,0)</f>
        <v>0205CV190</v>
      </c>
      <c r="K383" s="68">
        <v>44730</v>
      </c>
      <c r="L383" s="65" t="s">
        <v>249</v>
      </c>
      <c r="M383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83" s="144" t="s">
        <v>1664</v>
      </c>
      <c r="O383" s="64" t="s">
        <v>1696</v>
      </c>
      <c r="Q383" s="42"/>
    </row>
    <row r="384" spans="1:17" ht="34.15" customHeight="1">
      <c r="A384" s="64">
        <v>383</v>
      </c>
      <c r="B384" s="77" t="s">
        <v>260</v>
      </c>
      <c r="C384" s="64" t="s">
        <v>1800</v>
      </c>
      <c r="D384" s="77" t="s">
        <v>1795</v>
      </c>
      <c r="E384" s="77" t="s">
        <v>1645</v>
      </c>
      <c r="F384" s="166" t="str">
        <f>VLOOKUP(MP_registro[[#This Row],[TAG]],'DB-EQUIPOS GEN'!$C$11:$H$833,2,0)</f>
        <v>Tamiz rotativo</v>
      </c>
      <c r="G384" s="168" t="str">
        <f>VLOOKUP(MP_registro[[#This Row],[TAG]],'DB-EQUIPOS GEN'!$C$11:$H$833,3,0)</f>
        <v>EXTRACCION</v>
      </c>
      <c r="H384" s="168" t="str">
        <f>VLOOKUP(MP_registro[[#This Row],[TAG]],'DB-EQUIPOS GEN'!$C$11:$H$833,4,0)</f>
        <v>DIFUSOR</v>
      </c>
      <c r="I384" s="168" t="str">
        <f>VLOOKUP(MP_registro[[#This Row],[TAG]],'DB-EQUIPOS GEN'!$C$11:$H$833,5,0)</f>
        <v>TAMIZ ROTATIVO</v>
      </c>
      <c r="J384" s="168" t="str">
        <f>VLOOKUP(MP_registro[[#This Row],[TAG]],'DB-EQUIPOS GEN'!$C$11:$H$833,6,0)</f>
        <v>0305FL010</v>
      </c>
      <c r="K384" s="68">
        <v>44730</v>
      </c>
      <c r="L384" s="65" t="s">
        <v>249</v>
      </c>
      <c r="M384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84" s="144" t="s">
        <v>1664</v>
      </c>
      <c r="O384" s="64" t="s">
        <v>1696</v>
      </c>
      <c r="Q384" s="42"/>
    </row>
    <row r="385" spans="1:17" ht="34.15" customHeight="1">
      <c r="A385" s="65">
        <v>384</v>
      </c>
      <c r="B385" s="77" t="s">
        <v>260</v>
      </c>
      <c r="C385" s="64" t="s">
        <v>1800</v>
      </c>
      <c r="D385" s="77" t="s">
        <v>1796</v>
      </c>
      <c r="E385" s="77" t="s">
        <v>715</v>
      </c>
      <c r="F385" s="166" t="str">
        <f>VLOOKUP(MP_registro[[#This Row],[TAG]],'DB-EQUIPOS GEN'!$C$11:$H$833,2,0)</f>
        <v>Temperatura de vapor ingreso a calandria</v>
      </c>
      <c r="G385" s="168" t="str">
        <f>VLOOKUP(MP_registro[[#This Row],[TAG]],'DB-EQUIPOS GEN'!$C$11:$H$833,3,0)</f>
        <v>PRODUCCION</v>
      </c>
      <c r="H385" s="168" t="str">
        <f>VLOOKUP(MP_registro[[#This Row],[TAG]],'DB-EQUIPOS GEN'!$C$11:$H$833,4,0)</f>
        <v>CRISTALIZACION POR COCCION</v>
      </c>
      <c r="I385" s="168" t="str">
        <f>VLOOKUP(MP_registro[[#This Row],[TAG]],'DB-EQUIPOS GEN'!$C$11:$H$833,5,0)</f>
        <v xml:space="preserve">TACHO CONTINUO B </v>
      </c>
      <c r="J385" s="168" t="str">
        <f>VLOOKUP(MP_registro[[#This Row],[TAG]],'DB-EQUIPOS GEN'!$C$11:$H$833,6,0)</f>
        <v xml:space="preserve"> 0335HX230</v>
      </c>
      <c r="K385" s="68">
        <v>44731</v>
      </c>
      <c r="L385" s="65" t="s">
        <v>245</v>
      </c>
      <c r="M385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85" s="144" t="s">
        <v>1664</v>
      </c>
      <c r="O385" s="64" t="s">
        <v>1696</v>
      </c>
      <c r="Q385" s="42"/>
    </row>
    <row r="386" spans="1:17" ht="34.15" customHeight="1">
      <c r="A386" s="64">
        <v>385</v>
      </c>
      <c r="B386" s="77" t="s">
        <v>260</v>
      </c>
      <c r="C386" s="64" t="s">
        <v>1800</v>
      </c>
      <c r="D386" s="77" t="s">
        <v>1797</v>
      </c>
      <c r="E386" s="77" t="s">
        <v>253</v>
      </c>
      <c r="F386" s="166" t="str">
        <f>VLOOKUP(MP_registro[[#This Row],[TAG]],'DB-EQUIPOS GEN'!$C$11:$H$833,2,0)</f>
        <v>Tablero de periferia en Asset Cocimiento</v>
      </c>
      <c r="G386" s="168" t="str">
        <f>VLOOKUP(MP_registro[[#This Row],[TAG]],'DB-EQUIPOS GEN'!$C$11:$H$833,3,0)</f>
        <v>PRODUCCION</v>
      </c>
      <c r="H386" s="168" t="str">
        <f>VLOOKUP(MP_registro[[#This Row],[TAG]],'DB-EQUIPOS GEN'!$C$11:$H$833,4,0)</f>
        <v>CRISTALIZACION POR COCCION</v>
      </c>
      <c r="I386" s="168" t="str">
        <f>VLOOKUP(MP_registro[[#This Row],[TAG]],'DB-EQUIPOS GEN'!$C$11:$H$833,5,0)</f>
        <v>TACHO CONTINUO - A</v>
      </c>
      <c r="J386" s="168" t="str">
        <f>VLOOKUP(MP_registro[[#This Row],[TAG]],'DB-EQUIPOS GEN'!$C$11:$H$833,6,0)</f>
        <v>0335HX200</v>
      </c>
      <c r="K386" s="68">
        <v>44731</v>
      </c>
      <c r="L386" s="65" t="s">
        <v>248</v>
      </c>
      <c r="M386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86" s="144" t="s">
        <v>1664</v>
      </c>
      <c r="O386" s="64" t="s">
        <v>1696</v>
      </c>
      <c r="Q386" s="42"/>
    </row>
    <row r="387" spans="1:17" ht="34.15" customHeight="1">
      <c r="A387" s="65">
        <v>386</v>
      </c>
      <c r="B387" s="77" t="s">
        <v>260</v>
      </c>
      <c r="C387" s="64" t="s">
        <v>1800</v>
      </c>
      <c r="D387" s="77" t="s">
        <v>1798</v>
      </c>
      <c r="E387" s="163" t="s">
        <v>2416</v>
      </c>
      <c r="F387" s="166" t="str">
        <f>VLOOKUP(MP_registro[[#This Row],[TAG]],'DB-EQUIPOS GEN'!$C$11:$H$833,2,0)</f>
        <v>Vista Conductor Auxiliar - Superior</v>
      </c>
      <c r="G387" s="168" t="str">
        <f>VLOOKUP(MP_registro[[#This Row],[TAG]],'DB-EQUIPOS GEN'!$C$11:$H$833,3,0)</f>
        <v>EXTRACCION</v>
      </c>
      <c r="H387" s="168" t="str">
        <f>VLOOKUP(MP_registro[[#This Row],[TAG]],'DB-EQUIPOS GEN'!$C$11:$H$833,4,0)</f>
        <v>PREPARACIÓN DE CAÑA</v>
      </c>
      <c r="I387" s="168" t="str">
        <f>VLOOKUP(MP_registro[[#This Row],[TAG]],'DB-EQUIPOS GEN'!$C$11:$H$833,5,0)</f>
        <v>CONDUCTOR AUXILIAR DE CAÑA</v>
      </c>
      <c r="J387" s="168" t="str">
        <f>VLOOKUP(MP_registro[[#This Row],[TAG]],'DB-EQUIPOS GEN'!$C$11:$H$833,6,0)</f>
        <v>0115CV010</v>
      </c>
      <c r="K387" s="68">
        <v>44731</v>
      </c>
      <c r="L387" s="65" t="s">
        <v>249</v>
      </c>
      <c r="M387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87" s="144" t="s">
        <v>1664</v>
      </c>
      <c r="O387" s="64" t="s">
        <v>1696</v>
      </c>
      <c r="Q387" s="42"/>
    </row>
    <row r="388" spans="1:17" ht="34.15" customHeight="1">
      <c r="A388" s="64">
        <v>387</v>
      </c>
      <c r="B388" s="77" t="s">
        <v>260</v>
      </c>
      <c r="C388" s="64" t="s">
        <v>1800</v>
      </c>
      <c r="D388" s="77" t="s">
        <v>1799</v>
      </c>
      <c r="E388" s="163" t="s">
        <v>2406</v>
      </c>
      <c r="F388" s="166" t="str">
        <f>VLOOKUP(MP_registro[[#This Row],[TAG]],'DB-EQUIPOS GEN'!$C$11:$H$833,2,0)</f>
        <v>Vista Mesa de Caña - Descarga de Tetras</v>
      </c>
      <c r="G388" s="168" t="str">
        <f>VLOOKUP(MP_registro[[#This Row],[TAG]],'DB-EQUIPOS GEN'!$C$11:$H$833,3,0)</f>
        <v>EXTRACCION</v>
      </c>
      <c r="H388" s="168" t="str">
        <f>VLOOKUP(MP_registro[[#This Row],[TAG]],'DB-EQUIPOS GEN'!$C$11:$H$833,4,0)</f>
        <v>RECEPCIÓN DE CAÑA</v>
      </c>
      <c r="I388" s="168" t="str">
        <f>VLOOKUP(MP_registro[[#This Row],[TAG]],'DB-EQUIPOS GEN'!$C$11:$H$833,5,0)</f>
        <v>MESA DE CAÑA</v>
      </c>
      <c r="J388" s="168" t="str">
        <f>VLOOKUP(MP_registro[[#This Row],[TAG]],'DB-EQUIPOS GEN'!$C$11:$H$833,6,0)</f>
        <v>0110FE019</v>
      </c>
      <c r="K388" s="68">
        <v>44731</v>
      </c>
      <c r="L388" s="65" t="s">
        <v>245</v>
      </c>
      <c r="M388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88" s="144" t="s">
        <v>1664</v>
      </c>
      <c r="O388" s="64" t="s">
        <v>1696</v>
      </c>
      <c r="Q388" s="42"/>
    </row>
    <row r="389" spans="1:17" ht="34.15" customHeight="1">
      <c r="A389" s="65">
        <v>388</v>
      </c>
      <c r="B389" s="77" t="s">
        <v>260</v>
      </c>
      <c r="C389" s="64" t="s">
        <v>1848</v>
      </c>
      <c r="D389" s="77" t="s">
        <v>1802</v>
      </c>
      <c r="E389" s="77" t="s">
        <v>725</v>
      </c>
      <c r="F389" s="166" t="str">
        <f>VLOOKUP(MP_registro[[#This Row],[TAG]],'DB-EQUIPOS GEN'!$C$11:$H$833,2,0)</f>
        <v>Temperatura de vapor ingreso a calandria</v>
      </c>
      <c r="G389" s="168" t="str">
        <f>VLOOKUP(MP_registro[[#This Row],[TAG]],'DB-EQUIPOS GEN'!$C$11:$H$833,3,0)</f>
        <v>PRODUCCION</v>
      </c>
      <c r="H389" s="168" t="str">
        <f>VLOOKUP(MP_registro[[#This Row],[TAG]],'DB-EQUIPOS GEN'!$C$11:$H$833,4,0)</f>
        <v>CRISTALIZACION POR COCCION</v>
      </c>
      <c r="I389" s="168" t="str">
        <f>VLOOKUP(MP_registro[[#This Row],[TAG]],'DB-EQUIPOS GEN'!$C$11:$H$833,5,0)</f>
        <v xml:space="preserve">TACHO CONTINUO C </v>
      </c>
      <c r="J389" s="168" t="str">
        <f>VLOOKUP(MP_registro[[#This Row],[TAG]],'DB-EQUIPOS GEN'!$C$11:$H$833,6,0)</f>
        <v xml:space="preserve"> 0335HX260</v>
      </c>
      <c r="K389" s="68">
        <v>44732</v>
      </c>
      <c r="L389" s="65" t="s">
        <v>249</v>
      </c>
      <c r="M389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89" s="144" t="s">
        <v>1664</v>
      </c>
      <c r="O389" s="64" t="s">
        <v>1696</v>
      </c>
      <c r="Q389" s="42"/>
    </row>
    <row r="390" spans="1:17" ht="34.15" customHeight="1">
      <c r="A390" s="64">
        <v>389</v>
      </c>
      <c r="B390" s="77" t="s">
        <v>260</v>
      </c>
      <c r="C390" s="64" t="s">
        <v>1848</v>
      </c>
      <c r="D390" s="77" t="s">
        <v>1803</v>
      </c>
      <c r="E390" s="77" t="s">
        <v>1321</v>
      </c>
      <c r="F390" s="166" t="str">
        <f>VLOOKUP(MP_registro[[#This Row],[TAG]],'DB-EQUIPOS GEN'!$C$11:$H$833,2,0)</f>
        <v>Tablero de periferia en Asset Difusor</v>
      </c>
      <c r="G390" s="168" t="str">
        <f>VLOOKUP(MP_registro[[#This Row],[TAG]],'DB-EQUIPOS GEN'!$C$11:$H$833,3,0)</f>
        <v>EXTRACCION</v>
      </c>
      <c r="H390" s="168" t="str">
        <f>VLOOKUP(MP_registro[[#This Row],[TAG]],'DB-EQUIPOS GEN'!$C$11:$H$833,4,0)</f>
        <v>DIFUSOR</v>
      </c>
      <c r="I390" s="168" t="str">
        <f>VLOOKUP(MP_registro[[#This Row],[TAG]],'DB-EQUIPOS GEN'!$C$11:$H$833,5,0)</f>
        <v>DIFUSOR</v>
      </c>
      <c r="J390" s="168" t="str">
        <f>VLOOKUP(MP_registro[[#This Row],[TAG]],'DB-EQUIPOS GEN'!$C$11:$H$833,6,0)</f>
        <v>0205DF180</v>
      </c>
      <c r="K390" s="68">
        <v>44732</v>
      </c>
      <c r="L390" s="65" t="s">
        <v>248</v>
      </c>
      <c r="M390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90" s="144" t="s">
        <v>1664</v>
      </c>
      <c r="O390" s="64" t="s">
        <v>1696</v>
      </c>
      <c r="Q390" s="42"/>
    </row>
    <row r="391" spans="1:17" ht="34.15" customHeight="1">
      <c r="A391" s="65">
        <v>390</v>
      </c>
      <c r="B391" s="77" t="s">
        <v>260</v>
      </c>
      <c r="C391" s="64" t="s">
        <v>1848</v>
      </c>
      <c r="D391" s="77" t="s">
        <v>1804</v>
      </c>
      <c r="E391" s="77" t="s">
        <v>1640</v>
      </c>
      <c r="F391" s="166" t="str">
        <f>VLOOKUP(MP_registro[[#This Row],[TAG]],'DB-EQUIPOS GEN'!$C$11:$H$833,2,0)</f>
        <v>Conductor de alimentación a difusor y retorno</v>
      </c>
      <c r="G391" s="168" t="str">
        <f>VLOOKUP(MP_registro[[#This Row],[TAG]],'DB-EQUIPOS GEN'!$C$11:$H$833,3,0)</f>
        <v>EXTRACCION</v>
      </c>
      <c r="H391" s="168" t="str">
        <f>VLOOKUP(MP_registro[[#This Row],[TAG]],'DB-EQUIPOS GEN'!$C$11:$H$833,4,0)</f>
        <v>PREPARACIÓN DE CAÑA</v>
      </c>
      <c r="I391" s="168" t="str">
        <f>VLOOKUP(MP_registro[[#This Row],[TAG]],'DB-EQUIPOS GEN'!$C$11:$H$833,5,0)</f>
        <v>CONDUCTOR DE RETORNO</v>
      </c>
      <c r="J391" s="168" t="str">
        <f>VLOOKUP(MP_registro[[#This Row],[TAG]],'DB-EQUIPOS GEN'!$C$11:$H$833,6,0)</f>
        <v>0115CV090</v>
      </c>
      <c r="K391" s="68">
        <v>44732</v>
      </c>
      <c r="L391" s="65" t="s">
        <v>245</v>
      </c>
      <c r="M391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91" s="144" t="s">
        <v>1664</v>
      </c>
      <c r="O391" s="64" t="s">
        <v>1696</v>
      </c>
      <c r="Q391" s="42"/>
    </row>
    <row r="392" spans="1:17" ht="34.15" customHeight="1">
      <c r="A392" s="64">
        <v>391</v>
      </c>
      <c r="B392" s="77" t="s">
        <v>260</v>
      </c>
      <c r="C392" s="64" t="s">
        <v>1848</v>
      </c>
      <c r="D392" s="77" t="s">
        <v>1805</v>
      </c>
      <c r="E392" s="77" t="s">
        <v>1641</v>
      </c>
      <c r="F392" s="166" t="str">
        <f>VLOOKUP(MP_registro[[#This Row],[TAG]],'DB-EQUIPOS GEN'!$C$11:$H$833,2,0)</f>
        <v>Mesa de caña</v>
      </c>
      <c r="G392" s="168" t="str">
        <f>VLOOKUP(MP_registro[[#This Row],[TAG]],'DB-EQUIPOS GEN'!$C$11:$H$833,3,0)</f>
        <v>EXTRACCION</v>
      </c>
      <c r="H392" s="168" t="str">
        <f>VLOOKUP(MP_registro[[#This Row],[TAG]],'DB-EQUIPOS GEN'!$C$11:$H$833,4,0)</f>
        <v>RECEPCIÓN DE CAÑA</v>
      </c>
      <c r="I392" s="168" t="str">
        <f>VLOOKUP(MP_registro[[#This Row],[TAG]],'DB-EQUIPOS GEN'!$C$11:$H$833,5,0)</f>
        <v>MESA DE CAÑA</v>
      </c>
      <c r="J392" s="168" t="str">
        <f>VLOOKUP(MP_registro[[#This Row],[TAG]],'DB-EQUIPOS GEN'!$C$11:$H$833,6,0)</f>
        <v>0110FE019</v>
      </c>
      <c r="K392" s="68">
        <v>44732</v>
      </c>
      <c r="L392" s="65" t="s">
        <v>249</v>
      </c>
      <c r="M392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92" s="144" t="s">
        <v>1664</v>
      </c>
      <c r="O392" s="64" t="s">
        <v>1696</v>
      </c>
      <c r="Q392" s="42"/>
    </row>
    <row r="393" spans="1:17" ht="34.15" customHeight="1">
      <c r="A393" s="65">
        <v>392</v>
      </c>
      <c r="B393" s="77" t="s">
        <v>260</v>
      </c>
      <c r="C393" s="64" t="s">
        <v>1848</v>
      </c>
      <c r="D393" s="77" t="s">
        <v>1806</v>
      </c>
      <c r="E393" s="77" t="s">
        <v>1653</v>
      </c>
      <c r="F393" s="166" t="str">
        <f>VLOOKUP(MP_registro[[#This Row],[TAG]],'DB-EQUIPOS GEN'!$C$11:$H$833,2,0)</f>
        <v>Operación del desviador de bagazo</v>
      </c>
      <c r="G393" s="168" t="str">
        <f>VLOOKUP(MP_registro[[#This Row],[TAG]],'DB-EQUIPOS GEN'!$C$11:$H$833,3,0)</f>
        <v>E. TERMICA</v>
      </c>
      <c r="H393" s="168" t="str">
        <f>VLOOKUP(MP_registro[[#This Row],[TAG]],'DB-EQUIPOS GEN'!$C$11:$H$833,4,0)</f>
        <v>TRANSPORTE DE BAGAZO</v>
      </c>
      <c r="I393" s="168" t="str">
        <f>VLOOKUP(MP_registro[[#This Row],[TAG]],'DB-EQUIPOS GEN'!$C$11:$H$833,5,0)</f>
        <v>FAJA TRANSPORTADORA 1004</v>
      </c>
      <c r="J393" s="168" t="str">
        <f>VLOOKUP(MP_registro[[#This Row],[TAG]],'DB-EQUIPOS GEN'!$C$11:$H$833,6,0)</f>
        <v>0805CV070</v>
      </c>
      <c r="K393" s="68">
        <v>44732</v>
      </c>
      <c r="L393" s="65" t="s">
        <v>245</v>
      </c>
      <c r="M393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93" s="144" t="s">
        <v>1664</v>
      </c>
      <c r="O393" s="64" t="s">
        <v>1696</v>
      </c>
      <c r="Q393" s="42"/>
    </row>
    <row r="394" spans="1:17" ht="34.15" customHeight="1">
      <c r="A394" s="64">
        <v>393</v>
      </c>
      <c r="B394" s="77" t="s">
        <v>260</v>
      </c>
      <c r="C394" s="64" t="s">
        <v>1848</v>
      </c>
      <c r="D394" s="77" t="s">
        <v>1807</v>
      </c>
      <c r="E394" s="77" t="s">
        <v>1173</v>
      </c>
      <c r="F394" s="166" t="str">
        <f>VLOOKUP(MP_registro[[#This Row],[TAG]],'DB-EQUIPOS GEN'!$C$11:$H$833,2,0)</f>
        <v>Valvula control de nivel FFE - 1</v>
      </c>
      <c r="G394" s="168" t="str">
        <f>VLOOKUP(MP_registro[[#This Row],[TAG]],'DB-EQUIPOS GEN'!$C$11:$H$833,3,0)</f>
        <v>PRODUCCION</v>
      </c>
      <c r="H394" s="168" t="str">
        <f>VLOOKUP(MP_registro[[#This Row],[TAG]],'DB-EQUIPOS GEN'!$C$11:$H$833,4,0)</f>
        <v>EVAPORACION DE JUGO</v>
      </c>
      <c r="I394" s="168" t="str">
        <f>VLOOKUP(MP_registro[[#This Row],[TAG]],'DB-EQUIPOS GEN'!$C$11:$H$833,5,0)</f>
        <v>EVAPORADOR FFE 1</v>
      </c>
      <c r="J394" s="168" t="str">
        <f>VLOOKUP(MP_registro[[#This Row],[TAG]],'DB-EQUIPOS GEN'!$C$11:$H$833,6,0)</f>
        <v>0320EV010</v>
      </c>
      <c r="K394" s="68">
        <v>44733</v>
      </c>
      <c r="L394" s="65" t="s">
        <v>245</v>
      </c>
      <c r="M394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94" s="144" t="s">
        <v>1664</v>
      </c>
      <c r="O394" s="64" t="s">
        <v>1696</v>
      </c>
      <c r="Q394" s="42"/>
    </row>
    <row r="395" spans="1:17" ht="34.15" customHeight="1">
      <c r="A395" s="65">
        <v>394</v>
      </c>
      <c r="B395" s="77" t="s">
        <v>260</v>
      </c>
      <c r="C395" s="64" t="s">
        <v>1848</v>
      </c>
      <c r="D395" s="77" t="s">
        <v>1808</v>
      </c>
      <c r="E395" s="155" t="s">
        <v>798</v>
      </c>
      <c r="F395" s="166" t="str">
        <f>VLOOKUP(MP_registro[[#This Row],[TAG]],'DB-EQUIPOS GEN'!$C$11:$H$833,2,0)</f>
        <v>Peso de azucar balanza A - Silo 1</v>
      </c>
      <c r="G395" s="168" t="str">
        <f>VLOOKUP(MP_registro[[#This Row],[TAG]],'DB-EQUIPOS GEN'!$C$11:$H$833,3,0)</f>
        <v>PRODUCCION</v>
      </c>
      <c r="H395" s="168" t="str">
        <f>VLOOKUP(MP_registro[[#This Row],[TAG]],'DB-EQUIPOS GEN'!$C$11:$H$833,4,0)</f>
        <v>ENVASADO DE AZUCAR RUBIA</v>
      </c>
      <c r="I395" s="168" t="str">
        <f>VLOOKUP(MP_registro[[#This Row],[TAG]],'DB-EQUIPOS GEN'!$C$11:$H$833,5,0)</f>
        <v xml:space="preserve">SILO 1 </v>
      </c>
      <c r="J395" s="168" t="str">
        <f>VLOOKUP(MP_registro[[#This Row],[TAG]],'DB-EQUIPOS GEN'!$C$11:$H$833,6,0)</f>
        <v>0355BI090</v>
      </c>
      <c r="K395" s="68">
        <v>44733</v>
      </c>
      <c r="L395" s="65" t="s">
        <v>249</v>
      </c>
      <c r="M395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95" s="144" t="s">
        <v>1664</v>
      </c>
      <c r="O395" s="64" t="s">
        <v>1696</v>
      </c>
      <c r="Q395" s="42"/>
    </row>
    <row r="396" spans="1:17" ht="34.15" customHeight="1">
      <c r="A396" s="64">
        <v>395</v>
      </c>
      <c r="B396" s="77" t="s">
        <v>260</v>
      </c>
      <c r="C396" s="64" t="s">
        <v>1848</v>
      </c>
      <c r="D396" s="77" t="s">
        <v>1809</v>
      </c>
      <c r="E396" s="77" t="s">
        <v>670</v>
      </c>
      <c r="F396" s="166" t="str">
        <f>VLOOKUP(MP_registro[[#This Row],[TAG]],'DB-EQUIPOS GEN'!$C$11:$H$833,2,0)</f>
        <v xml:space="preserve">Temperatura vapor ingreso </v>
      </c>
      <c r="G396" s="168" t="str">
        <f>VLOOKUP(MP_registro[[#This Row],[TAG]],'DB-EQUIPOS GEN'!$C$11:$H$833,3,0)</f>
        <v>PRODUCCION</v>
      </c>
      <c r="H396" s="168" t="str">
        <f>VLOOKUP(MP_registro[[#This Row],[TAG]],'DB-EQUIPOS GEN'!$C$11:$H$833,4,0)</f>
        <v>CRISTALIZACION POR COCCION</v>
      </c>
      <c r="I396" s="168" t="str">
        <f>VLOOKUP(MP_registro[[#This Row],[TAG]],'DB-EQUIPOS GEN'!$C$11:$H$833,5,0)</f>
        <v xml:space="preserve">TACHO BATCH A </v>
      </c>
      <c r="J396" s="168" t="str">
        <f>VLOOKUP(MP_registro[[#This Row],[TAG]],'DB-EQUIPOS GEN'!$C$11:$H$833,6,0)</f>
        <v xml:space="preserve"> 0335HX180</v>
      </c>
      <c r="K396" s="68">
        <v>44733</v>
      </c>
      <c r="L396" s="65" t="s">
        <v>249</v>
      </c>
      <c r="M396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96" s="144" t="s">
        <v>1664</v>
      </c>
      <c r="O396" s="64" t="s">
        <v>1696</v>
      </c>
      <c r="Q396" s="42"/>
    </row>
    <row r="397" spans="1:17" ht="34.15" customHeight="1">
      <c r="A397" s="65">
        <v>396</v>
      </c>
      <c r="B397" s="77" t="s">
        <v>260</v>
      </c>
      <c r="C397" s="64" t="s">
        <v>1848</v>
      </c>
      <c r="D397" s="77" t="s">
        <v>1810</v>
      </c>
      <c r="E397" s="77" t="s">
        <v>1323</v>
      </c>
      <c r="F397" s="166" t="str">
        <f>VLOOKUP(MP_registro[[#This Row],[TAG]],'DB-EQUIPOS GEN'!$C$11:$H$833,2,0)</f>
        <v>Tablero de periferia en Asset Difusor</v>
      </c>
      <c r="G397" s="168" t="str">
        <f>VLOOKUP(MP_registro[[#This Row],[TAG]],'DB-EQUIPOS GEN'!$C$11:$H$833,3,0)</f>
        <v>EXTRACCION</v>
      </c>
      <c r="H397" s="168" t="str">
        <f>VLOOKUP(MP_registro[[#This Row],[TAG]],'DB-EQUIPOS GEN'!$C$11:$H$833,4,0)</f>
        <v>DIFUSOR</v>
      </c>
      <c r="I397" s="168" t="str">
        <f>VLOOKUP(MP_registro[[#This Row],[TAG]],'DB-EQUIPOS GEN'!$C$11:$H$833,5,0)</f>
        <v>DIFUSOR</v>
      </c>
      <c r="J397" s="168" t="str">
        <f>VLOOKUP(MP_registro[[#This Row],[TAG]],'DB-EQUIPOS GEN'!$C$11:$H$833,6,0)</f>
        <v>0205DF180</v>
      </c>
      <c r="K397" s="68">
        <v>44733</v>
      </c>
      <c r="L397" s="65" t="s">
        <v>248</v>
      </c>
      <c r="M397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397" s="144" t="s">
        <v>1664</v>
      </c>
      <c r="O397" s="64" t="s">
        <v>1696</v>
      </c>
      <c r="Q397" s="42"/>
    </row>
    <row r="398" spans="1:17" ht="34.15" customHeight="1">
      <c r="A398" s="64">
        <v>397</v>
      </c>
      <c r="B398" s="77" t="s">
        <v>260</v>
      </c>
      <c r="C398" s="64" t="s">
        <v>1848</v>
      </c>
      <c r="D398" s="77" t="s">
        <v>1811</v>
      </c>
      <c r="E398" s="77" t="s">
        <v>1659</v>
      </c>
      <c r="F398" s="166" t="str">
        <f>VLOOKUP(MP_registro[[#This Row],[TAG]],'DB-EQUIPOS GEN'!$C$11:$H$833,2,0)</f>
        <v>Vista global de tanques de jarabe 1,2 y 3</v>
      </c>
      <c r="G398" s="168" t="str">
        <f>VLOOKUP(MP_registro[[#This Row],[TAG]],'DB-EQUIPOS GEN'!$C$11:$H$833,3,0)</f>
        <v>PRODUCCION</v>
      </c>
      <c r="H398" s="168" t="str">
        <f>VLOOKUP(MP_registro[[#This Row],[TAG]],'DB-EQUIPOS GEN'!$C$11:$H$833,4,0)</f>
        <v>CRISTALIZACIÓN POR COCCIÓN</v>
      </c>
      <c r="I398" s="168" t="str">
        <f>VLOOKUP(MP_registro[[#This Row],[TAG]],'DB-EQUIPOS GEN'!$C$11:$H$833,5,0)</f>
        <v>TANQUE DE JARABE 1</v>
      </c>
      <c r="J398" s="168" t="str">
        <f>VLOOKUP(MP_registro[[#This Row],[TAG]],'DB-EQUIPOS GEN'!$C$11:$H$833,6,0)</f>
        <v>0335TK010</v>
      </c>
      <c r="K398" s="68">
        <v>44733</v>
      </c>
      <c r="L398" s="65" t="s">
        <v>249</v>
      </c>
      <c r="M398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398" s="144" t="s">
        <v>1664</v>
      </c>
      <c r="O398" s="64" t="s">
        <v>1696</v>
      </c>
      <c r="Q398" s="42"/>
    </row>
    <row r="399" spans="1:17" ht="34.15" customHeight="1">
      <c r="A399" s="65">
        <v>398</v>
      </c>
      <c r="B399" s="77" t="s">
        <v>260</v>
      </c>
      <c r="C399" s="64" t="s">
        <v>1848</v>
      </c>
      <c r="D399" s="77" t="s">
        <v>1812</v>
      </c>
      <c r="E399" s="77" t="s">
        <v>1660</v>
      </c>
      <c r="F399" s="166" t="str">
        <f>VLOOKUP(MP_registro[[#This Row],[TAG]],'DB-EQUIPOS GEN'!$C$11:$H$833,2,0)</f>
        <v>Vista global de tacho continuo A.</v>
      </c>
      <c r="G399" s="168" t="str">
        <f>VLOOKUP(MP_registro[[#This Row],[TAG]],'DB-EQUIPOS GEN'!$C$11:$H$833,3,0)</f>
        <v>PRODUCCION</v>
      </c>
      <c r="H399" s="168" t="str">
        <f>VLOOKUP(MP_registro[[#This Row],[TAG]],'DB-EQUIPOS GEN'!$C$11:$H$833,4,0)</f>
        <v>CRISTALIZACIÓN POR COCCIÓN</v>
      </c>
      <c r="I399" s="168" t="str">
        <f>VLOOKUP(MP_registro[[#This Row],[TAG]],'DB-EQUIPOS GEN'!$C$11:$H$833,5,0)</f>
        <v>TACHO CONTINUO - A</v>
      </c>
      <c r="J399" s="168" t="str">
        <f>VLOOKUP(MP_registro[[#This Row],[TAG]],'DB-EQUIPOS GEN'!$C$11:$H$833,6,0)</f>
        <v>0335HX200</v>
      </c>
      <c r="K399" s="68">
        <v>44733</v>
      </c>
      <c r="L399" s="65" t="s">
        <v>245</v>
      </c>
      <c r="M399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399" s="144" t="s">
        <v>1664</v>
      </c>
      <c r="O399" s="64" t="s">
        <v>1696</v>
      </c>
      <c r="Q399" s="42"/>
    </row>
    <row r="400" spans="1:17" ht="34.15" customHeight="1">
      <c r="A400" s="64">
        <v>399</v>
      </c>
      <c r="B400" s="77" t="s">
        <v>260</v>
      </c>
      <c r="C400" s="64" t="s">
        <v>1848</v>
      </c>
      <c r="D400" s="77" t="s">
        <v>1813</v>
      </c>
      <c r="E400" s="77" t="s">
        <v>1649</v>
      </c>
      <c r="F400" s="166" t="str">
        <f>VLOOKUP(MP_registro[[#This Row],[TAG]],'DB-EQUIPOS GEN'!$C$11:$H$833,2,0)</f>
        <v>Chute alimentadores de bagazo</v>
      </c>
      <c r="G400" s="168" t="str">
        <f>VLOOKUP(MP_registro[[#This Row],[TAG]],'DB-EQUIPOS GEN'!$C$11:$H$833,3,0)</f>
        <v>E. TERMICA</v>
      </c>
      <c r="H400" s="168" t="str">
        <f>VLOOKUP(MP_registro[[#This Row],[TAG]],'DB-EQUIPOS GEN'!$C$11:$H$833,4,0)</f>
        <v>TRANSPORTE DE BAGAZO</v>
      </c>
      <c r="I400" s="168" t="str">
        <f>VLOOKUP(MP_registro[[#This Row],[TAG]],'DB-EQUIPOS GEN'!$C$11:$H$833,5,0)</f>
        <v>ALIMENTADOR DE BAGAZO 1</v>
      </c>
      <c r="J400" s="168" t="str">
        <f>VLOOKUP(MP_registro[[#This Row],[TAG]],'DB-EQUIPOS GEN'!$C$11:$H$833,6,0)</f>
        <v>0405RV240</v>
      </c>
      <c r="K400" s="68">
        <v>44733</v>
      </c>
      <c r="L400" s="65" t="s">
        <v>249</v>
      </c>
      <c r="M400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400" s="144" t="s">
        <v>1664</v>
      </c>
      <c r="O400" s="64" t="s">
        <v>1696</v>
      </c>
      <c r="Q400" s="42"/>
    </row>
    <row r="401" spans="1:17" ht="34.15" customHeight="1">
      <c r="A401" s="65">
        <v>400</v>
      </c>
      <c r="B401" s="77" t="s">
        <v>260</v>
      </c>
      <c r="C401" s="64" t="s">
        <v>1848</v>
      </c>
      <c r="D401" s="77" t="s">
        <v>1814</v>
      </c>
      <c r="E401" s="77" t="s">
        <v>1655</v>
      </c>
      <c r="F401" s="166" t="str">
        <f>VLOOKUP(MP_registro[[#This Row],[TAG]],'DB-EQUIPOS GEN'!$C$11:$H$833,2,0)</f>
        <v>Vista global de planta de osmosis</v>
      </c>
      <c r="G401" s="168" t="str">
        <f>VLOOKUP(MP_registro[[#This Row],[TAG]],'DB-EQUIPOS GEN'!$C$11:$H$833,3,0)</f>
        <v>E. TERMICA</v>
      </c>
      <c r="H401" s="168" t="str">
        <f>VLOOKUP(MP_registro[[#This Row],[TAG]],'DB-EQUIPOS GEN'!$C$11:$H$833,4,0)</f>
        <v>PLANTA TRATAMIENTO OSMOSIS INVERSA</v>
      </c>
      <c r="I401" s="168" t="str">
        <f>VLOOKUP(MP_registro[[#This Row],[TAG]],'DB-EQUIPOS GEN'!$C$11:$H$833,5,0)</f>
        <v>PLANTA DE OSMOSIS INVERSA</v>
      </c>
      <c r="J401" s="168" t="str">
        <f>VLOOKUP(MP_registro[[#This Row],[TAG]],'DB-EQUIPOS GEN'!$C$11:$H$833,6,0)</f>
        <v>0425OI101</v>
      </c>
      <c r="K401" s="68">
        <v>44733</v>
      </c>
      <c r="L401" s="65" t="s">
        <v>249</v>
      </c>
      <c r="M401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401" s="144" t="s">
        <v>1664</v>
      </c>
      <c r="O401" s="64" t="s">
        <v>1696</v>
      </c>
      <c r="Q401" s="42"/>
    </row>
    <row r="402" spans="1:17" ht="34.15" customHeight="1">
      <c r="A402" s="64">
        <v>401</v>
      </c>
      <c r="B402" s="77" t="s">
        <v>260</v>
      </c>
      <c r="C402" s="64" t="s">
        <v>1848</v>
      </c>
      <c r="D402" s="77" t="s">
        <v>1815</v>
      </c>
      <c r="E402" s="155" t="s">
        <v>799</v>
      </c>
      <c r="F402" s="166" t="str">
        <f>VLOOKUP(MP_registro[[#This Row],[TAG]],'DB-EQUIPOS GEN'!$C$11:$H$833,2,0)</f>
        <v>Peso de azucar balanza B - Silo 1</v>
      </c>
      <c r="G402" s="168" t="str">
        <f>VLOOKUP(MP_registro[[#This Row],[TAG]],'DB-EQUIPOS GEN'!$C$11:$H$833,3,0)</f>
        <v>PRODUCCION</v>
      </c>
      <c r="H402" s="168" t="str">
        <f>VLOOKUP(MP_registro[[#This Row],[TAG]],'DB-EQUIPOS GEN'!$C$11:$H$833,4,0)</f>
        <v>ENVASADO DE AZUCAR RUBIA</v>
      </c>
      <c r="I402" s="168" t="str">
        <f>VLOOKUP(MP_registro[[#This Row],[TAG]],'DB-EQUIPOS GEN'!$C$11:$H$833,5,0)</f>
        <v xml:space="preserve">SILO 1 </v>
      </c>
      <c r="J402" s="168" t="str">
        <f>VLOOKUP(MP_registro[[#This Row],[TAG]],'DB-EQUIPOS GEN'!$C$11:$H$833,6,0)</f>
        <v>0355BI090</v>
      </c>
      <c r="K402" s="68">
        <v>44734</v>
      </c>
      <c r="L402" s="65" t="s">
        <v>249</v>
      </c>
      <c r="M402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402" s="144" t="s">
        <v>1664</v>
      </c>
      <c r="O402" s="64" t="s">
        <v>1696</v>
      </c>
      <c r="Q402" s="42"/>
    </row>
    <row r="403" spans="1:17" ht="34.15" customHeight="1">
      <c r="A403" s="65">
        <v>402</v>
      </c>
      <c r="B403" s="77" t="s">
        <v>260</v>
      </c>
      <c r="C403" s="64" t="s">
        <v>1848</v>
      </c>
      <c r="D403" s="77" t="s">
        <v>1816</v>
      </c>
      <c r="E403" s="77" t="s">
        <v>672</v>
      </c>
      <c r="F403" s="166" t="str">
        <f>VLOOKUP(MP_registro[[#This Row],[TAG]],'DB-EQUIPOS GEN'!$C$11:$H$833,2,0)</f>
        <v>Temperatura del cuerpo</v>
      </c>
      <c r="G403" s="168" t="str">
        <f>VLOOKUP(MP_registro[[#This Row],[TAG]],'DB-EQUIPOS GEN'!$C$11:$H$833,3,0)</f>
        <v>PRODUCCION</v>
      </c>
      <c r="H403" s="168" t="str">
        <f>VLOOKUP(MP_registro[[#This Row],[TAG]],'DB-EQUIPOS GEN'!$C$11:$H$833,4,0)</f>
        <v>CRISTALIZACION POR COCCION</v>
      </c>
      <c r="I403" s="168" t="str">
        <f>VLOOKUP(MP_registro[[#This Row],[TAG]],'DB-EQUIPOS GEN'!$C$11:$H$833,5,0)</f>
        <v xml:space="preserve">TACHO BATCH A </v>
      </c>
      <c r="J403" s="168" t="str">
        <f>VLOOKUP(MP_registro[[#This Row],[TAG]],'DB-EQUIPOS GEN'!$C$11:$H$833,6,0)</f>
        <v xml:space="preserve"> 0335HX180</v>
      </c>
      <c r="K403" s="68">
        <v>44734</v>
      </c>
      <c r="L403" s="65" t="s">
        <v>245</v>
      </c>
      <c r="M403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403" s="144" t="s">
        <v>1664</v>
      </c>
      <c r="O403" s="64" t="s">
        <v>1696</v>
      </c>
      <c r="Q403" s="42"/>
    </row>
    <row r="404" spans="1:17" ht="34.15" customHeight="1">
      <c r="A404" s="64">
        <v>403</v>
      </c>
      <c r="B404" s="77" t="s">
        <v>260</v>
      </c>
      <c r="C404" s="64" t="s">
        <v>1848</v>
      </c>
      <c r="D404" s="77" t="s">
        <v>1817</v>
      </c>
      <c r="E404" s="77" t="s">
        <v>1324</v>
      </c>
      <c r="F404" s="166" t="str">
        <f>VLOOKUP(MP_registro[[#This Row],[TAG]],'DB-EQUIPOS GEN'!$C$11:$H$833,2,0)</f>
        <v>Tablero de periferia en Asset Process Houses</v>
      </c>
      <c r="G404" s="168" t="str">
        <f>VLOOKUP(MP_registro[[#This Row],[TAG]],'DB-EQUIPOS GEN'!$C$11:$H$833,3,0)</f>
        <v>PRODUCCION</v>
      </c>
      <c r="H404" s="168" t="str">
        <f>VLOOKUP(MP_registro[[#This Row],[TAG]],'DB-EQUIPOS GEN'!$C$11:$H$833,4,0)</f>
        <v>EVAPORACION DE JUGO</v>
      </c>
      <c r="I404" s="168" t="str">
        <f>VLOOKUP(MP_registro[[#This Row],[TAG]],'DB-EQUIPOS GEN'!$C$11:$H$833,5,0)</f>
        <v>EVAPORADOR FFE 1</v>
      </c>
      <c r="J404" s="168" t="str">
        <f>VLOOKUP(MP_registro[[#This Row],[TAG]],'DB-EQUIPOS GEN'!$C$11:$H$833,6,0)</f>
        <v>0320EV010</v>
      </c>
      <c r="K404" s="68">
        <v>44734</v>
      </c>
      <c r="L404" s="65" t="s">
        <v>248</v>
      </c>
      <c r="M404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404" s="144" t="s">
        <v>1664</v>
      </c>
      <c r="O404" s="64" t="s">
        <v>1696</v>
      </c>
      <c r="Q404" s="42"/>
    </row>
    <row r="405" spans="1:17" ht="34.15" customHeight="1">
      <c r="A405" s="65">
        <v>404</v>
      </c>
      <c r="B405" s="77" t="s">
        <v>260</v>
      </c>
      <c r="C405" s="64" t="s">
        <v>1848</v>
      </c>
      <c r="D405" s="77" t="s">
        <v>1818</v>
      </c>
      <c r="E405" s="77" t="s">
        <v>1656</v>
      </c>
      <c r="F405" s="166" t="str">
        <f>VLOOKUP(MP_registro[[#This Row],[TAG]],'DB-EQUIPOS GEN'!$C$11:$H$833,2,0)</f>
        <v>Descarga de centrifugas continuas</v>
      </c>
      <c r="G405" s="168" t="str">
        <f>VLOOKUP(MP_registro[[#This Row],[TAG]],'DB-EQUIPOS GEN'!$C$11:$H$833,3,0)</f>
        <v>PRODUCCION</v>
      </c>
      <c r="H405" s="168" t="str">
        <f>VLOOKUP(MP_registro[[#This Row],[TAG]],'DB-EQUIPOS GEN'!$C$11:$H$833,4,0)</f>
        <v>CENTRIFUGACIÓN DE AZÚCAR</v>
      </c>
      <c r="I405" s="168" t="str">
        <f>VLOOKUP(MP_registro[[#This Row],[TAG]],'DB-EQUIPOS GEN'!$C$11:$H$833,5,0)</f>
        <v>CENTRIFUGA CONTINUA 1 - C (FRANCIA)</v>
      </c>
      <c r="J405" s="168" t="str">
        <f>VLOOKUP(MP_registro[[#This Row],[TAG]],'DB-EQUIPOS GEN'!$C$11:$H$833,6,0)</f>
        <v>0345SQ160</v>
      </c>
      <c r="K405" s="68">
        <v>44734</v>
      </c>
      <c r="L405" s="65" t="s">
        <v>249</v>
      </c>
      <c r="M405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405" s="144" t="s">
        <v>1664</v>
      </c>
      <c r="O405" s="64" t="s">
        <v>1696</v>
      </c>
      <c r="Q405" s="42"/>
    </row>
    <row r="406" spans="1:17" ht="34.15" customHeight="1">
      <c r="A406" s="64">
        <v>405</v>
      </c>
      <c r="B406" s="77" t="s">
        <v>260</v>
      </c>
      <c r="C406" s="64" t="s">
        <v>1848</v>
      </c>
      <c r="D406" s="77" t="s">
        <v>1819</v>
      </c>
      <c r="E406" s="77" t="s">
        <v>1657</v>
      </c>
      <c r="F406" s="166" t="str">
        <f>VLOOKUP(MP_registro[[#This Row],[TAG]],'DB-EQUIPOS GEN'!$C$11:$H$833,2,0)</f>
        <v>Pug mill B, Cabezal C de centrifugas continuas</v>
      </c>
      <c r="G406" s="168" t="str">
        <f>VLOOKUP(MP_registro[[#This Row],[TAG]],'DB-EQUIPOS GEN'!$C$11:$H$833,3,0)</f>
        <v>PRODUCCION</v>
      </c>
      <c r="H406" s="168" t="str">
        <f>VLOOKUP(MP_registro[[#This Row],[TAG]],'DB-EQUIPOS GEN'!$C$11:$H$833,4,0)</f>
        <v>CENTRIFUGACIÓN DE AZÚCAR</v>
      </c>
      <c r="I406" s="168" t="str">
        <f>VLOOKUP(MP_registro[[#This Row],[TAG]],'DB-EQUIPOS GEN'!$C$11:$H$833,5,0)</f>
        <v>PUG MILL - B</v>
      </c>
      <c r="J406" s="168" t="str">
        <f>VLOOKUP(MP_registro[[#This Row],[TAG]],'DB-EQUIPOS GEN'!$C$11:$H$833,6,0)</f>
        <v>0345MM020</v>
      </c>
      <c r="K406" s="68">
        <v>44734</v>
      </c>
      <c r="L406" s="65" t="s">
        <v>249</v>
      </c>
      <c r="M406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406" s="144" t="s">
        <v>1664</v>
      </c>
      <c r="O406" s="64" t="s">
        <v>1696</v>
      </c>
      <c r="Q406" s="42"/>
    </row>
    <row r="407" spans="1:17" ht="34.15" customHeight="1">
      <c r="A407" s="65">
        <v>406</v>
      </c>
      <c r="B407" s="77" t="s">
        <v>260</v>
      </c>
      <c r="C407" s="64" t="s">
        <v>1848</v>
      </c>
      <c r="D407" s="77" t="s">
        <v>1820</v>
      </c>
      <c r="E407" s="77" t="s">
        <v>1658</v>
      </c>
      <c r="F407" s="166" t="str">
        <f>VLOOKUP(MP_registro[[#This Row],[TAG]],'DB-EQUIPOS GEN'!$C$11:$H$833,2,0)</f>
        <v>Pug mill A - Centrifugas batch</v>
      </c>
      <c r="G407" s="168" t="str">
        <f>VLOOKUP(MP_registro[[#This Row],[TAG]],'DB-EQUIPOS GEN'!$C$11:$H$833,3,0)</f>
        <v>PRODUCCION</v>
      </c>
      <c r="H407" s="168" t="str">
        <f>VLOOKUP(MP_registro[[#This Row],[TAG]],'DB-EQUIPOS GEN'!$C$11:$H$833,4,0)</f>
        <v>CENTRIFUGACIÓN DE AZÚCAR</v>
      </c>
      <c r="I407" s="168" t="str">
        <f>VLOOKUP(MP_registro[[#This Row],[TAG]],'DB-EQUIPOS GEN'!$C$11:$H$833,5,0)</f>
        <v>PUG MILL - A</v>
      </c>
      <c r="J407" s="168" t="str">
        <f>VLOOKUP(MP_registro[[#This Row],[TAG]],'DB-EQUIPOS GEN'!$C$11:$H$833,6,0)</f>
        <v>0345MM010</v>
      </c>
      <c r="K407" s="68">
        <v>44734</v>
      </c>
      <c r="L407" s="65" t="s">
        <v>245</v>
      </c>
      <c r="M407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407" s="144" t="s">
        <v>1664</v>
      </c>
      <c r="O407" s="64" t="s">
        <v>1696</v>
      </c>
      <c r="Q407" s="42"/>
    </row>
    <row r="408" spans="1:17" ht="34.15" customHeight="1">
      <c r="A408" s="64">
        <v>407</v>
      </c>
      <c r="B408" s="77" t="s">
        <v>260</v>
      </c>
      <c r="C408" s="64" t="s">
        <v>1848</v>
      </c>
      <c r="D408" s="77" t="s">
        <v>1821</v>
      </c>
      <c r="E408" s="77" t="s">
        <v>1661</v>
      </c>
      <c r="F408" s="166" t="str">
        <f>VLOOKUP(MP_registro[[#This Row],[TAG]],'DB-EQUIPOS GEN'!$C$11:$H$833,2,0)</f>
        <v xml:space="preserve">Faja de azucar seca a Silo </v>
      </c>
      <c r="G408" s="168" t="str">
        <f>VLOOKUP(MP_registro[[#This Row],[TAG]],'DB-EQUIPOS GEN'!$C$11:$H$833,3,0)</f>
        <v>PRODUCCION</v>
      </c>
      <c r="H408" s="168" t="str">
        <f>VLOOKUP(MP_registro[[#This Row],[TAG]],'DB-EQUIPOS GEN'!$C$11:$H$833,4,0)</f>
        <v>ENVASADO DE AZÚCAR RUBIA</v>
      </c>
      <c r="I408" s="168" t="str">
        <f>VLOOKUP(MP_registro[[#This Row],[TAG]],'DB-EQUIPOS GEN'!$C$11:$H$833,5,0)</f>
        <v>SILO DE AZUCAR 1</v>
      </c>
      <c r="J408" s="168" t="str">
        <f>VLOOKUP(MP_registro[[#This Row],[TAG]],'DB-EQUIPOS GEN'!$C$11:$H$833,6,0)</f>
        <v>0355BI090</v>
      </c>
      <c r="K408" s="68">
        <v>44734</v>
      </c>
      <c r="L408" s="65" t="s">
        <v>249</v>
      </c>
      <c r="M408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408" s="144" t="s">
        <v>1664</v>
      </c>
      <c r="O408" s="64" t="s">
        <v>1696</v>
      </c>
      <c r="Q408" s="42"/>
    </row>
    <row r="409" spans="1:17" ht="34.15" customHeight="1">
      <c r="A409" s="65">
        <v>408</v>
      </c>
      <c r="B409" s="77" t="s">
        <v>260</v>
      </c>
      <c r="C409" s="64" t="s">
        <v>1848</v>
      </c>
      <c r="D409" s="77" t="s">
        <v>1822</v>
      </c>
      <c r="E409" s="77" t="s">
        <v>1648</v>
      </c>
      <c r="F409" s="166" t="str">
        <f>VLOOKUP(MP_registro[[#This Row],[TAG]],'DB-EQUIPOS GEN'!$C$11:$H$833,2,0)</f>
        <v>Nivel de agua en domo</v>
      </c>
      <c r="G409" s="168" t="str">
        <f>VLOOKUP(MP_registro[[#This Row],[TAG]],'DB-EQUIPOS GEN'!$C$11:$H$833,3,0)</f>
        <v>E. TERMICA</v>
      </c>
      <c r="H409" s="168" t="str">
        <f>VLOOKUP(MP_registro[[#This Row],[TAG]],'DB-EQUIPOS GEN'!$C$11:$H$833,4,0)</f>
        <v>GENERACIÓN DE VAPOR</v>
      </c>
      <c r="I409" s="168" t="str">
        <f>VLOOKUP(MP_registro[[#This Row],[TAG]],'DB-EQUIPOS GEN'!$C$11:$H$833,5,0)</f>
        <v>DOMO SUPERIOR</v>
      </c>
      <c r="J409" s="168" t="str">
        <f>VLOOKUP(MP_registro[[#This Row],[TAG]],'DB-EQUIPOS GEN'!$C$11:$H$833,6,0)</f>
        <v>0405DO020</v>
      </c>
      <c r="K409" s="68">
        <v>44734</v>
      </c>
      <c r="L409" s="65" t="s">
        <v>249</v>
      </c>
      <c r="M409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409" s="144" t="s">
        <v>13</v>
      </c>
      <c r="O409" s="64" t="s">
        <v>1696</v>
      </c>
      <c r="Q409" s="42"/>
    </row>
    <row r="410" spans="1:17" ht="34.15" customHeight="1">
      <c r="A410" s="64">
        <v>409</v>
      </c>
      <c r="B410" s="77" t="s">
        <v>260</v>
      </c>
      <c r="C410" s="64" t="s">
        <v>1848</v>
      </c>
      <c r="D410" s="77" t="s">
        <v>1823</v>
      </c>
      <c r="E410" s="77" t="s">
        <v>1175</v>
      </c>
      <c r="F410" s="166" t="str">
        <f>VLOOKUP(MP_registro[[#This Row],[TAG]],'DB-EQUIPOS GEN'!$C$11:$H$833,2,0)</f>
        <v>Valvula control de nivel FFE - 2/3</v>
      </c>
      <c r="G410" s="168" t="str">
        <f>VLOOKUP(MP_registro[[#This Row],[TAG]],'DB-EQUIPOS GEN'!$C$11:$H$833,3,0)</f>
        <v>PRODUCCION</v>
      </c>
      <c r="H410" s="168" t="str">
        <f>VLOOKUP(MP_registro[[#This Row],[TAG]],'DB-EQUIPOS GEN'!$C$11:$H$833,4,0)</f>
        <v>EVAPORACION DE JUGO</v>
      </c>
      <c r="I410" s="168" t="str">
        <f>VLOOKUP(MP_registro[[#This Row],[TAG]],'DB-EQUIPOS GEN'!$C$11:$H$833,5,0)</f>
        <v>EVAPORADOR FFE 2/3</v>
      </c>
      <c r="J410" s="168" t="str">
        <f>VLOOKUP(MP_registro[[#This Row],[TAG]],'DB-EQUIPOS GEN'!$C$11:$H$833,6,0)</f>
        <v>0320EV030</v>
      </c>
      <c r="K410" s="68">
        <v>44735</v>
      </c>
      <c r="L410" s="65" t="s">
        <v>245</v>
      </c>
      <c r="M410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410" s="144" t="s">
        <v>1664</v>
      </c>
      <c r="O410" s="64" t="s">
        <v>1696</v>
      </c>
      <c r="Q410" s="42"/>
    </row>
    <row r="411" spans="1:17" ht="34.15" customHeight="1">
      <c r="A411" s="65">
        <v>410</v>
      </c>
      <c r="B411" s="77" t="s">
        <v>260</v>
      </c>
      <c r="C411" s="64" t="s">
        <v>1848</v>
      </c>
      <c r="D411" s="77" t="s">
        <v>1824</v>
      </c>
      <c r="E411" s="77" t="s">
        <v>1176</v>
      </c>
      <c r="F411" s="166" t="str">
        <f>VLOOKUP(MP_registro[[#This Row],[TAG]],'DB-EQUIPOS GEN'!$C$11:$H$833,2,0)</f>
        <v>Valvula control de nivel FFE - 3</v>
      </c>
      <c r="G411" s="168" t="str">
        <f>VLOOKUP(MP_registro[[#This Row],[TAG]],'DB-EQUIPOS GEN'!$C$11:$H$833,3,0)</f>
        <v>PRODUCCION</v>
      </c>
      <c r="H411" s="168" t="str">
        <f>VLOOKUP(MP_registro[[#This Row],[TAG]],'DB-EQUIPOS GEN'!$C$11:$H$833,4,0)</f>
        <v>EVAPORACION DE JUGO</v>
      </c>
      <c r="I411" s="168" t="str">
        <f>VLOOKUP(MP_registro[[#This Row],[TAG]],'DB-EQUIPOS GEN'!$C$11:$H$833,5,0)</f>
        <v>EVAPORADOR FFE 3</v>
      </c>
      <c r="J411" s="168" t="str">
        <f>VLOOKUP(MP_registro[[#This Row],[TAG]],'DB-EQUIPOS GEN'!$C$11:$H$833,6,0)</f>
        <v>0320EV040</v>
      </c>
      <c r="K411" s="68">
        <v>44735</v>
      </c>
      <c r="L411" s="65" t="s">
        <v>245</v>
      </c>
      <c r="M411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411" s="144" t="s">
        <v>1664</v>
      </c>
      <c r="O411" s="64" t="s">
        <v>1696</v>
      </c>
      <c r="Q411" s="42"/>
    </row>
    <row r="412" spans="1:17" ht="34.15" customHeight="1">
      <c r="A412" s="64">
        <v>411</v>
      </c>
      <c r="B412" s="77" t="s">
        <v>260</v>
      </c>
      <c r="C412" s="64" t="s">
        <v>1848</v>
      </c>
      <c r="D412" s="77" t="s">
        <v>1825</v>
      </c>
      <c r="E412" s="77" t="s">
        <v>679</v>
      </c>
      <c r="F412" s="166" t="str">
        <f>VLOOKUP(MP_registro[[#This Row],[TAG]],'DB-EQUIPOS GEN'!$C$11:$H$833,2,0)</f>
        <v xml:space="preserve">Temperatura vapor ingreso </v>
      </c>
      <c r="G412" s="168" t="str">
        <f>VLOOKUP(MP_registro[[#This Row],[TAG]],'DB-EQUIPOS GEN'!$C$11:$H$833,3,0)</f>
        <v>PRODUCCION</v>
      </c>
      <c r="H412" s="168" t="str">
        <f>VLOOKUP(MP_registro[[#This Row],[TAG]],'DB-EQUIPOS GEN'!$C$11:$H$833,4,0)</f>
        <v>CRISTALIZACION POR COCCION</v>
      </c>
      <c r="I412" s="168" t="str">
        <f>VLOOKUP(MP_registro[[#This Row],[TAG]],'DB-EQUIPOS GEN'!$C$11:$H$833,5,0)</f>
        <v xml:space="preserve">TACHO BATCH AB </v>
      </c>
      <c r="J412" s="168" t="str">
        <f>VLOOKUP(MP_registro[[#This Row],[TAG]],'DB-EQUIPOS GEN'!$C$11:$H$833,6,0)</f>
        <v xml:space="preserve"> 0335HX210</v>
      </c>
      <c r="K412" s="68">
        <v>44735</v>
      </c>
      <c r="L412" s="65" t="s">
        <v>247</v>
      </c>
      <c r="M412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412" s="144" t="s">
        <v>1695</v>
      </c>
      <c r="O412" s="64" t="s">
        <v>1696</v>
      </c>
      <c r="Q412" s="42"/>
    </row>
    <row r="413" spans="1:17" ht="34.15" customHeight="1">
      <c r="A413" s="65">
        <v>412</v>
      </c>
      <c r="B413" s="77" t="s">
        <v>260</v>
      </c>
      <c r="C413" s="64" t="s">
        <v>1848</v>
      </c>
      <c r="D413" s="77" t="s">
        <v>1826</v>
      </c>
      <c r="E413" s="77" t="s">
        <v>1326</v>
      </c>
      <c r="F413" s="166" t="str">
        <f>VLOOKUP(MP_registro[[#This Row],[TAG]],'DB-EQUIPOS GEN'!$C$11:$H$833,2,0)</f>
        <v>Tablero de periferia en Asset Process Houses</v>
      </c>
      <c r="G413" s="168" t="str">
        <f>VLOOKUP(MP_registro[[#This Row],[TAG]],'DB-EQUIPOS GEN'!$C$11:$H$833,3,0)</f>
        <v>PRODUCCION</v>
      </c>
      <c r="H413" s="168" t="str">
        <f>VLOOKUP(MP_registro[[#This Row],[TAG]],'DB-EQUIPOS GEN'!$C$11:$H$833,4,0)</f>
        <v>EVAPORACION DE JUGO</v>
      </c>
      <c r="I413" s="168" t="str">
        <f>VLOOKUP(MP_registro[[#This Row],[TAG]],'DB-EQUIPOS GEN'!$C$11:$H$833,5,0)</f>
        <v>EVAPORADOR FFE 1</v>
      </c>
      <c r="J413" s="168" t="str">
        <f>VLOOKUP(MP_registro[[#This Row],[TAG]],'DB-EQUIPOS GEN'!$C$11:$H$833,6,0)</f>
        <v>0320EV010</v>
      </c>
      <c r="K413" s="68">
        <v>44735</v>
      </c>
      <c r="L413" s="65" t="s">
        <v>248</v>
      </c>
      <c r="M413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413" s="144" t="s">
        <v>1664</v>
      </c>
      <c r="O413" s="64" t="s">
        <v>1696</v>
      </c>
      <c r="Q413" s="42"/>
    </row>
    <row r="414" spans="1:17" ht="34.15" customHeight="1">
      <c r="A414" s="64">
        <v>413</v>
      </c>
      <c r="B414" s="77" t="s">
        <v>260</v>
      </c>
      <c r="C414" s="64" t="s">
        <v>1848</v>
      </c>
      <c r="D414" s="77" t="s">
        <v>1827</v>
      </c>
      <c r="E414" s="164" t="s">
        <v>2407</v>
      </c>
      <c r="F414" s="166" t="str">
        <f>VLOOKUP(MP_registro[[#This Row],[TAG]],'DB-EQUIPOS GEN'!$C$11:$H$833,2,0)</f>
        <v>Vista Molino Secador - Conductor Intermedio</v>
      </c>
      <c r="G414" s="168" t="str">
        <f>VLOOKUP(MP_registro[[#This Row],[TAG]],'DB-EQUIPOS GEN'!$C$11:$H$833,3,0)</f>
        <v>EXTRACCION</v>
      </c>
      <c r="H414" s="168" t="str">
        <f>VLOOKUP(MP_registro[[#This Row],[TAG]],'DB-EQUIPOS GEN'!$C$11:$H$833,4,0)</f>
        <v>MOLINOS</v>
      </c>
      <c r="I414" s="168" t="str">
        <f>VLOOKUP(MP_registro[[#This Row],[TAG]],'DB-EQUIPOS GEN'!$C$11:$H$833,5,0)</f>
        <v>CONDUCTOR INTERMEDIO - MOLINO SECADOR</v>
      </c>
      <c r="J414" s="168" t="str">
        <f>VLOOKUP(MP_registro[[#This Row],[TAG]],'DB-EQUIPOS GEN'!$C$11:$H$833,6,0)</f>
        <v>0210CV070</v>
      </c>
      <c r="K414" s="68">
        <v>44735</v>
      </c>
      <c r="L414" s="65" t="s">
        <v>247</v>
      </c>
      <c r="M414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414" s="144" t="s">
        <v>1695</v>
      </c>
      <c r="O414" s="64" t="s">
        <v>1696</v>
      </c>
      <c r="Q414" s="42"/>
    </row>
    <row r="415" spans="1:17" ht="34.15" customHeight="1">
      <c r="A415" s="65">
        <v>414</v>
      </c>
      <c r="B415" s="77" t="s">
        <v>260</v>
      </c>
      <c r="C415" s="64" t="s">
        <v>1848</v>
      </c>
      <c r="D415" s="77" t="s">
        <v>1828</v>
      </c>
      <c r="E415" s="77" t="s">
        <v>1642</v>
      </c>
      <c r="F415" s="166" t="str">
        <f>VLOOKUP(MP_registro[[#This Row],[TAG]],'DB-EQUIPOS GEN'!$C$11:$H$833,2,0)</f>
        <v>Salida de bagazo de molino secador</v>
      </c>
      <c r="G415" s="168" t="str">
        <f>VLOOKUP(MP_registro[[#This Row],[TAG]],'DB-EQUIPOS GEN'!$C$11:$H$833,3,0)</f>
        <v>EXTRACCION</v>
      </c>
      <c r="H415" s="168" t="str">
        <f>VLOOKUP(MP_registro[[#This Row],[TAG]],'DB-EQUIPOS GEN'!$C$11:$H$833,4,0)</f>
        <v>MOLINOS</v>
      </c>
      <c r="I415" s="168" t="str">
        <f>VLOOKUP(MP_registro[[#This Row],[TAG]],'DB-EQUIPOS GEN'!$C$11:$H$833,5,0)</f>
        <v>MOLINO SECADOR</v>
      </c>
      <c r="J415" s="168" t="str">
        <f>VLOOKUP(MP_registro[[#This Row],[TAG]],'DB-EQUIPOS GEN'!$C$11:$H$833,6,0)</f>
        <v>0210MM090</v>
      </c>
      <c r="K415" s="68">
        <v>44735</v>
      </c>
      <c r="L415" s="65" t="s">
        <v>245</v>
      </c>
      <c r="M415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415" s="144" t="s">
        <v>1664</v>
      </c>
      <c r="O415" s="64" t="s">
        <v>1696</v>
      </c>
      <c r="Q415" s="42"/>
    </row>
    <row r="416" spans="1:17" ht="34.15" customHeight="1">
      <c r="A416" s="64">
        <v>415</v>
      </c>
      <c r="B416" s="77" t="s">
        <v>260</v>
      </c>
      <c r="C416" s="64" t="s">
        <v>1848</v>
      </c>
      <c r="D416" s="77" t="s">
        <v>1829</v>
      </c>
      <c r="E416" s="77" t="s">
        <v>1651</v>
      </c>
      <c r="F416" s="166" t="str">
        <f>VLOOKUP(MP_registro[[#This Row],[TAG]],'DB-EQUIPOS GEN'!$C$11:$H$833,2,0)</f>
        <v>Faja 1008 - Tolva de retorno de bagazo</v>
      </c>
      <c r="G416" s="168" t="str">
        <f>VLOOKUP(MP_registro[[#This Row],[TAG]],'DB-EQUIPOS GEN'!$C$11:$H$833,3,0)</f>
        <v>E. TERMICA</v>
      </c>
      <c r="H416" s="168" t="str">
        <f>VLOOKUP(MP_registro[[#This Row],[TAG]],'DB-EQUIPOS GEN'!$C$11:$H$833,4,0)</f>
        <v>TRANSPORTE DE BAGAZO</v>
      </c>
      <c r="I416" s="168" t="str">
        <f>VLOOKUP(MP_registro[[#This Row],[TAG]],'DB-EQUIPOS GEN'!$C$11:$H$833,5,0)</f>
        <v>FAJA TRANSPORTADORA 1008</v>
      </c>
      <c r="J416" s="168" t="str">
        <f>VLOOKUP(MP_registro[[#This Row],[TAG]],'DB-EQUIPOS GEN'!$C$11:$H$833,6,0)</f>
        <v>0805CV100</v>
      </c>
      <c r="K416" s="68">
        <v>44735</v>
      </c>
      <c r="L416" s="65" t="s">
        <v>247</v>
      </c>
      <c r="M416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416" s="144" t="s">
        <v>1664</v>
      </c>
      <c r="O416" s="64" t="s">
        <v>1696</v>
      </c>
      <c r="Q416" s="42"/>
    </row>
    <row r="417" spans="1:17" ht="34.15" customHeight="1">
      <c r="A417" s="65">
        <v>416</v>
      </c>
      <c r="B417" s="77" t="s">
        <v>260</v>
      </c>
      <c r="C417" s="64" t="s">
        <v>1848</v>
      </c>
      <c r="D417" s="77" t="s">
        <v>1830</v>
      </c>
      <c r="E417" s="77" t="s">
        <v>1652</v>
      </c>
      <c r="F417" s="166" t="str">
        <f>VLOOKUP(MP_registro[[#This Row],[TAG]],'DB-EQUIPOS GEN'!$C$11:$H$833,2,0)</f>
        <v>Faja 1006A - Patio de Bagazo</v>
      </c>
      <c r="G417" s="168" t="str">
        <f>VLOOKUP(MP_registro[[#This Row],[TAG]],'DB-EQUIPOS GEN'!$C$11:$H$833,3,0)</f>
        <v>E. TERMICA</v>
      </c>
      <c r="H417" s="168" t="str">
        <f>VLOOKUP(MP_registro[[#This Row],[TAG]],'DB-EQUIPOS GEN'!$C$11:$H$833,4,0)</f>
        <v>TRANSPORTE DE BAGAZO</v>
      </c>
      <c r="I417" s="168" t="str">
        <f>VLOOKUP(MP_registro[[#This Row],[TAG]],'DB-EQUIPOS GEN'!$C$11:$H$833,5,0)</f>
        <v>FAJA TRANSPORTADORA 1006 A</v>
      </c>
      <c r="J417" s="168" t="str">
        <f>VLOOKUP(MP_registro[[#This Row],[TAG]],'DB-EQUIPOS GEN'!$C$11:$H$833,6,0)</f>
        <v>0805CV080</v>
      </c>
      <c r="K417" s="68">
        <v>44735</v>
      </c>
      <c r="L417" s="65" t="s">
        <v>245</v>
      </c>
      <c r="M417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417" s="144" t="s">
        <v>1664</v>
      </c>
      <c r="O417" s="64" t="s">
        <v>1696</v>
      </c>
      <c r="Q417" s="42"/>
    </row>
    <row r="418" spans="1:17" ht="34.15" customHeight="1">
      <c r="A418" s="64">
        <v>417</v>
      </c>
      <c r="B418" s="77" t="s">
        <v>260</v>
      </c>
      <c r="C418" s="64" t="s">
        <v>1848</v>
      </c>
      <c r="D418" s="77" t="s">
        <v>1831</v>
      </c>
      <c r="E418" s="155" t="s">
        <v>802</v>
      </c>
      <c r="F418" s="166" t="str">
        <f>VLOOKUP(MP_registro[[#This Row],[TAG]],'DB-EQUIPOS GEN'!$C$11:$H$833,2,0)</f>
        <v>Peso de azucar balanza A - Silo 2</v>
      </c>
      <c r="G418" s="168" t="str">
        <f>VLOOKUP(MP_registro[[#This Row],[TAG]],'DB-EQUIPOS GEN'!$C$11:$H$833,3,0)</f>
        <v>PRODUCCION</v>
      </c>
      <c r="H418" s="168" t="str">
        <f>VLOOKUP(MP_registro[[#This Row],[TAG]],'DB-EQUIPOS GEN'!$C$11:$H$833,4,0)</f>
        <v>ENVASADO DE AZUCAR RUBIA</v>
      </c>
      <c r="I418" s="168" t="str">
        <f>VLOOKUP(MP_registro[[#This Row],[TAG]],'DB-EQUIPOS GEN'!$C$11:$H$833,5,0)</f>
        <v>SILO 2</v>
      </c>
      <c r="J418" s="168" t="str">
        <f>VLOOKUP(MP_registro[[#This Row],[TAG]],'DB-EQUIPOS GEN'!$C$11:$H$833,6,0)</f>
        <v>0355BI100</v>
      </c>
      <c r="K418" s="68">
        <v>44736</v>
      </c>
      <c r="L418" s="65" t="s">
        <v>247</v>
      </c>
      <c r="M418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418" s="144" t="s">
        <v>1664</v>
      </c>
      <c r="O418" s="64" t="s">
        <v>1696</v>
      </c>
      <c r="Q418" s="42"/>
    </row>
    <row r="419" spans="1:17" ht="34.15" customHeight="1">
      <c r="A419" s="65">
        <v>418</v>
      </c>
      <c r="B419" s="77" t="s">
        <v>260</v>
      </c>
      <c r="C419" s="64" t="s">
        <v>1848</v>
      </c>
      <c r="D419" s="77" t="s">
        <v>1832</v>
      </c>
      <c r="E419" s="77" t="s">
        <v>680</v>
      </c>
      <c r="F419" s="166" t="str">
        <f>VLOOKUP(MP_registro[[#This Row],[TAG]],'DB-EQUIPOS GEN'!$C$11:$H$833,2,0)</f>
        <v>Temperatura del cuerpo</v>
      </c>
      <c r="G419" s="168" t="str">
        <f>VLOOKUP(MP_registro[[#This Row],[TAG]],'DB-EQUIPOS GEN'!$C$11:$H$833,3,0)</f>
        <v>PRODUCCION</v>
      </c>
      <c r="H419" s="168" t="str">
        <f>VLOOKUP(MP_registro[[#This Row],[TAG]],'DB-EQUIPOS GEN'!$C$11:$H$833,4,0)</f>
        <v>CRISTALIZACION POR COCCION</v>
      </c>
      <c r="I419" s="168" t="str">
        <f>VLOOKUP(MP_registro[[#This Row],[TAG]],'DB-EQUIPOS GEN'!$C$11:$H$833,5,0)</f>
        <v xml:space="preserve">TACHO BATCH AB </v>
      </c>
      <c r="J419" s="168" t="str">
        <f>VLOOKUP(MP_registro[[#This Row],[TAG]],'DB-EQUIPOS GEN'!$C$11:$H$833,6,0)</f>
        <v xml:space="preserve"> 0335HX210</v>
      </c>
      <c r="K419" s="68">
        <v>44736</v>
      </c>
      <c r="L419" s="65" t="s">
        <v>245</v>
      </c>
      <c r="M419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419" s="144" t="s">
        <v>1664</v>
      </c>
      <c r="O419" s="64" t="s">
        <v>1696</v>
      </c>
      <c r="Q419" s="42"/>
    </row>
    <row r="420" spans="1:17" ht="34.15" customHeight="1">
      <c r="A420" s="64">
        <v>419</v>
      </c>
      <c r="B420" s="77" t="s">
        <v>260</v>
      </c>
      <c r="C420" s="64" t="s">
        <v>1848</v>
      </c>
      <c r="D420" s="77" t="s">
        <v>1833</v>
      </c>
      <c r="E420" s="77" t="s">
        <v>1327</v>
      </c>
      <c r="F420" s="166" t="str">
        <f>VLOOKUP(MP_registro[[#This Row],[TAG]],'DB-EQUIPOS GEN'!$C$11:$H$833,2,0)</f>
        <v>Tablero de periferia en Asset Process Houses</v>
      </c>
      <c r="G420" s="168" t="str">
        <f>VLOOKUP(MP_registro[[#This Row],[TAG]],'DB-EQUIPOS GEN'!$C$11:$H$833,3,0)</f>
        <v>PRODUCCION</v>
      </c>
      <c r="H420" s="168" t="str">
        <f>VLOOKUP(MP_registro[[#This Row],[TAG]],'DB-EQUIPOS GEN'!$C$11:$H$833,4,0)</f>
        <v>EVAPORACION DE JUGO</v>
      </c>
      <c r="I420" s="168" t="str">
        <f>VLOOKUP(MP_registro[[#This Row],[TAG]],'DB-EQUIPOS GEN'!$C$11:$H$833,5,0)</f>
        <v>EVAPORADOR FFE 1</v>
      </c>
      <c r="J420" s="168" t="str">
        <f>VLOOKUP(MP_registro[[#This Row],[TAG]],'DB-EQUIPOS GEN'!$C$11:$H$833,6,0)</f>
        <v>0320EV010</v>
      </c>
      <c r="K420" s="68">
        <v>44736</v>
      </c>
      <c r="L420" s="65" t="s">
        <v>248</v>
      </c>
      <c r="M420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420" s="144" t="s">
        <v>1664</v>
      </c>
      <c r="O420" s="64" t="s">
        <v>1696</v>
      </c>
      <c r="Q420" s="42"/>
    </row>
    <row r="421" spans="1:17" ht="34.15" customHeight="1">
      <c r="A421" s="65">
        <v>420</v>
      </c>
      <c r="B421" s="77" t="s">
        <v>260</v>
      </c>
      <c r="C421" s="64" t="s">
        <v>1848</v>
      </c>
      <c r="D421" s="77" t="s">
        <v>1834</v>
      </c>
      <c r="E421" s="77" t="s">
        <v>1346</v>
      </c>
      <c r="F421" s="166" t="str">
        <f>VLOOKUP(MP_registro[[#This Row],[TAG]],'DB-EQUIPOS GEN'!$C$11:$H$833,2,0)</f>
        <v>Controlador C300 en Asset Process House</v>
      </c>
      <c r="G421" s="168" t="str">
        <f>VLOOKUP(MP_registro[[#This Row],[TAG]],'DB-EQUIPOS GEN'!$C$11:$H$833,3,0)</f>
        <v>PRODUCCION</v>
      </c>
      <c r="H421" s="168" t="str">
        <f>VLOOKUP(MP_registro[[#This Row],[TAG]],'DB-EQUIPOS GEN'!$C$11:$H$833,4,0)</f>
        <v>EVAPORACION DE JUGO</v>
      </c>
      <c r="I421" s="168" t="str">
        <f>VLOOKUP(MP_registro[[#This Row],[TAG]],'DB-EQUIPOS GEN'!$C$11:$H$833,5,0)</f>
        <v>EVAPORADOR FFE 1</v>
      </c>
      <c r="J421" s="168" t="str">
        <f>VLOOKUP(MP_registro[[#This Row],[TAG]],'DB-EQUIPOS GEN'!$C$11:$H$833,6,0)</f>
        <v>0320EV010</v>
      </c>
      <c r="K421" s="68">
        <v>44736</v>
      </c>
      <c r="L421" s="65" t="s">
        <v>248</v>
      </c>
      <c r="M421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421" s="144" t="s">
        <v>1664</v>
      </c>
      <c r="O421" s="64" t="s">
        <v>1696</v>
      </c>
      <c r="Q421" s="42"/>
    </row>
    <row r="422" spans="1:17" ht="34.15" customHeight="1">
      <c r="A422" s="64">
        <v>421</v>
      </c>
      <c r="B422" s="77" t="s">
        <v>260</v>
      </c>
      <c r="C422" s="64" t="s">
        <v>1848</v>
      </c>
      <c r="D422" s="77" t="s">
        <v>1835</v>
      </c>
      <c r="E422" s="77" t="s">
        <v>1644</v>
      </c>
      <c r="F422" s="166" t="str">
        <f>VLOOKUP(MP_registro[[#This Row],[TAG]],'DB-EQUIPOS GEN'!$C$11:$H$833,2,0)</f>
        <v>Explanada de Turbina Triveni</v>
      </c>
      <c r="G422" s="168" t="str">
        <f>VLOOKUP(MP_registro[[#This Row],[TAG]],'DB-EQUIPOS GEN'!$C$11:$H$833,3,0)</f>
        <v>E. ELECTRICA</v>
      </c>
      <c r="H422" s="168" t="str">
        <f>VLOOKUP(MP_registro[[#This Row],[TAG]],'DB-EQUIPOS GEN'!$C$11:$H$833,4,0)</f>
        <v>GENERACIÓN ENERG. ELEC. TURBO GENERADOR</v>
      </c>
      <c r="I422" s="168" t="str">
        <f>VLOOKUP(MP_registro[[#This Row],[TAG]],'DB-EQUIPOS GEN'!$C$11:$H$833,5,0)</f>
        <v>TURBOGENERADOR TRIVENI 23.2 MW</v>
      </c>
      <c r="J422" s="168" t="str">
        <f>VLOOKUP(MP_registro[[#This Row],[TAG]],'DB-EQUIPOS GEN'!$C$11:$H$833,6,0)</f>
        <v>0430TG020</v>
      </c>
      <c r="K422" s="68">
        <v>44736</v>
      </c>
      <c r="L422" s="65" t="s">
        <v>247</v>
      </c>
      <c r="M422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422" s="144" t="s">
        <v>1664</v>
      </c>
      <c r="O422" s="64" t="s">
        <v>1696</v>
      </c>
      <c r="Q422" s="42"/>
    </row>
    <row r="423" spans="1:17" ht="34.15" customHeight="1">
      <c r="A423" s="65">
        <v>422</v>
      </c>
      <c r="B423" s="77" t="s">
        <v>260</v>
      </c>
      <c r="C423" s="64" t="s">
        <v>1848</v>
      </c>
      <c r="D423" s="77" t="s">
        <v>1836</v>
      </c>
      <c r="E423" s="77" t="s">
        <v>1646</v>
      </c>
      <c r="F423" s="166" t="str">
        <f>VLOOKUP(MP_registro[[#This Row],[TAG]],'DB-EQUIPOS GEN'!$C$11:$H$833,2,0)</f>
        <v>Segundo nivel de Turbina TGM</v>
      </c>
      <c r="G423" s="168" t="str">
        <f>VLOOKUP(MP_registro[[#This Row],[TAG]],'DB-EQUIPOS GEN'!$C$11:$H$833,3,0)</f>
        <v>E. ELECTRICA</v>
      </c>
      <c r="H423" s="168" t="str">
        <f>VLOOKUP(MP_registro[[#This Row],[TAG]],'DB-EQUIPOS GEN'!$C$11:$H$833,4,0)</f>
        <v>SISTEMA DE ENFRIAMIENTO</v>
      </c>
      <c r="I423" s="168" t="str">
        <f>VLOOKUP(MP_registro[[#This Row],[TAG]],'DB-EQUIPOS GEN'!$C$11:$H$833,5,0)</f>
        <v>TORRE DE ENFRIAMIENTO MARLEY - TG TGM</v>
      </c>
      <c r="J423" s="168" t="str">
        <f>VLOOKUP(MP_registro[[#This Row],[TAG]],'DB-EQUIPOS GEN'!$C$11:$H$833,6,0)</f>
        <v>0430CT050</v>
      </c>
      <c r="K423" s="68">
        <v>44736</v>
      </c>
      <c r="L423" s="65" t="s">
        <v>245</v>
      </c>
      <c r="M423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423" s="144" t="s">
        <v>1664</v>
      </c>
      <c r="O423" s="64" t="s">
        <v>1696</v>
      </c>
      <c r="Q423" s="42"/>
    </row>
    <row r="424" spans="1:17" ht="34.15" customHeight="1">
      <c r="A424" s="64">
        <v>423</v>
      </c>
      <c r="B424" s="77" t="s">
        <v>260</v>
      </c>
      <c r="C424" s="64" t="s">
        <v>1848</v>
      </c>
      <c r="D424" s="77" t="s">
        <v>1837</v>
      </c>
      <c r="E424" s="77" t="s">
        <v>1647</v>
      </c>
      <c r="F424" s="166" t="str">
        <f>VLOOKUP(MP_registro[[#This Row],[TAG]],'DB-EQUIPOS GEN'!$C$11:$H$833,2,0)</f>
        <v>Explanada frontal de Turbina Triveni</v>
      </c>
      <c r="G424" s="168" t="str">
        <f>VLOOKUP(MP_registro[[#This Row],[TAG]],'DB-EQUIPOS GEN'!$C$11:$H$833,3,0)</f>
        <v>E. ELECTRICA</v>
      </c>
      <c r="H424" s="168" t="str">
        <f>VLOOKUP(MP_registro[[#This Row],[TAG]],'DB-EQUIPOS GEN'!$C$11:$H$833,4,0)</f>
        <v>GENERACIÓN ENERG. ELEC. TURBO GENERADOR</v>
      </c>
      <c r="I424" s="168" t="str">
        <f>VLOOKUP(MP_registro[[#This Row],[TAG]],'DB-EQUIPOS GEN'!$C$11:$H$833,5,0)</f>
        <v>TURBOGENERADOR TRIVENI 23.2 MW</v>
      </c>
      <c r="J424" s="168" t="str">
        <f>VLOOKUP(MP_registro[[#This Row],[TAG]],'DB-EQUIPOS GEN'!$C$11:$H$833,6,0)</f>
        <v>0430TG020</v>
      </c>
      <c r="K424" s="68">
        <v>44736</v>
      </c>
      <c r="L424" s="65" t="s">
        <v>247</v>
      </c>
      <c r="M424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424" s="144" t="s">
        <v>1664</v>
      </c>
      <c r="O424" s="64" t="s">
        <v>1696</v>
      </c>
      <c r="Q424" s="42"/>
    </row>
    <row r="425" spans="1:17" ht="34.15" customHeight="1">
      <c r="A425" s="65">
        <v>424</v>
      </c>
      <c r="B425" s="77" t="s">
        <v>260</v>
      </c>
      <c r="C425" s="64" t="s">
        <v>1848</v>
      </c>
      <c r="D425" s="77" t="s">
        <v>1838</v>
      </c>
      <c r="E425" s="77" t="s">
        <v>1650</v>
      </c>
      <c r="F425" s="166" t="str">
        <f>VLOOKUP(MP_registro[[#This Row],[TAG]],'DB-EQUIPOS GEN'!$C$11:$H$833,2,0)</f>
        <v>Faja 1003 - Conductor distribuidor de bagazo</v>
      </c>
      <c r="G425" s="168" t="str">
        <f>VLOOKUP(MP_registro[[#This Row],[TAG]],'DB-EQUIPOS GEN'!$C$11:$H$833,3,0)</f>
        <v>E. TERMICA</v>
      </c>
      <c r="H425" s="168" t="str">
        <f>VLOOKUP(MP_registro[[#This Row],[TAG]],'DB-EQUIPOS GEN'!$C$11:$H$833,4,0)</f>
        <v>TRANSPORTE DE BAGAZO</v>
      </c>
      <c r="I425" s="168" t="str">
        <f>VLOOKUP(MP_registro[[#This Row],[TAG]],'DB-EQUIPOS GEN'!$C$11:$H$833,5,0)</f>
        <v>TRANSPORTADOR DE BAGAZO 1003</v>
      </c>
      <c r="J425" s="168" t="str">
        <f>VLOOKUP(MP_registro[[#This Row],[TAG]],'DB-EQUIPOS GEN'!$C$11:$H$833,6,0)</f>
        <v>0805CV060</v>
      </c>
      <c r="K425" s="68">
        <v>44736</v>
      </c>
      <c r="L425" s="65" t="s">
        <v>245</v>
      </c>
      <c r="M425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425" s="144" t="s">
        <v>1664</v>
      </c>
      <c r="O425" s="64" t="s">
        <v>1696</v>
      </c>
      <c r="Q425" s="42"/>
    </row>
    <row r="426" spans="1:17" ht="34.15" customHeight="1">
      <c r="A426" s="64">
        <v>425</v>
      </c>
      <c r="B426" s="77" t="s">
        <v>260</v>
      </c>
      <c r="C426" s="64" t="s">
        <v>1848</v>
      </c>
      <c r="D426" s="77" t="s">
        <v>1839</v>
      </c>
      <c r="E426" s="77" t="s">
        <v>1654</v>
      </c>
      <c r="F426" s="166" t="str">
        <f>VLOOKUP(MP_registro[[#This Row],[TAG]],'DB-EQUIPOS GEN'!$C$11:$H$833,2,0)</f>
        <v>Vista global de sala turbina TGM</v>
      </c>
      <c r="G426" s="168" t="str">
        <f>VLOOKUP(MP_registro[[#This Row],[TAG]],'DB-EQUIPOS GEN'!$C$11:$H$833,3,0)</f>
        <v>E. ELECTRICA</v>
      </c>
      <c r="H426" s="168" t="str">
        <f>VLOOKUP(MP_registro[[#This Row],[TAG]],'DB-EQUIPOS GEN'!$C$11:$H$833,4,0)</f>
        <v>SISTEMA DE ENFRIAMIENTO</v>
      </c>
      <c r="I426" s="168" t="str">
        <f>VLOOKUP(MP_registro[[#This Row],[TAG]],'DB-EQUIPOS GEN'!$C$11:$H$833,5,0)</f>
        <v>TORRE DE ENFRIAMIENTO MARLEY - TG TGM</v>
      </c>
      <c r="J426" s="168" t="str">
        <f>VLOOKUP(MP_registro[[#This Row],[TAG]],'DB-EQUIPOS GEN'!$C$11:$H$833,6,0)</f>
        <v>0430CT050</v>
      </c>
      <c r="K426" s="68">
        <v>44736</v>
      </c>
      <c r="L426" s="65" t="s">
        <v>245</v>
      </c>
      <c r="M426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426" s="144" t="s">
        <v>13</v>
      </c>
      <c r="O426" s="64" t="s">
        <v>1696</v>
      </c>
      <c r="Q426" s="42"/>
    </row>
    <row r="427" spans="1:17" ht="34.15" customHeight="1">
      <c r="A427" s="65">
        <v>426</v>
      </c>
      <c r="B427" s="77" t="s">
        <v>260</v>
      </c>
      <c r="C427" s="64" t="s">
        <v>1848</v>
      </c>
      <c r="D427" s="77" t="s">
        <v>1840</v>
      </c>
      <c r="E427" s="77" t="s">
        <v>686</v>
      </c>
      <c r="F427" s="166" t="str">
        <f>VLOOKUP(MP_registro[[#This Row],[TAG]],'DB-EQUIPOS GEN'!$C$11:$H$833,2,0)</f>
        <v xml:space="preserve">Temperatura vapor ingreso </v>
      </c>
      <c r="G427" s="168" t="str">
        <f>VLOOKUP(MP_registro[[#This Row],[TAG]],'DB-EQUIPOS GEN'!$C$11:$H$833,3,0)</f>
        <v>PRODUCCION</v>
      </c>
      <c r="H427" s="168" t="str">
        <f>VLOOKUP(MP_registro[[#This Row],[TAG]],'DB-EQUIPOS GEN'!$C$11:$H$833,4,0)</f>
        <v>CRISTALIZACION POR COCCION</v>
      </c>
      <c r="I427" s="168" t="str">
        <f>VLOOKUP(MP_registro[[#This Row],[TAG]],'DB-EQUIPOS GEN'!$C$11:$H$833,5,0)</f>
        <v xml:space="preserve">TACHO BATCH BC </v>
      </c>
      <c r="J427" s="168" t="str">
        <f>VLOOKUP(MP_registro[[#This Row],[TAG]],'DB-EQUIPOS GEN'!$C$11:$H$833,6,0)</f>
        <v xml:space="preserve"> 0335HX240</v>
      </c>
      <c r="K427" s="68">
        <v>44737</v>
      </c>
      <c r="L427" s="65" t="s">
        <v>245</v>
      </c>
      <c r="M427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427" s="144" t="s">
        <v>1664</v>
      </c>
      <c r="O427" s="64" t="s">
        <v>1696</v>
      </c>
      <c r="Q427" s="42"/>
    </row>
    <row r="428" spans="1:17" ht="34.15" customHeight="1">
      <c r="A428" s="64">
        <v>427</v>
      </c>
      <c r="B428" s="77" t="s">
        <v>260</v>
      </c>
      <c r="C428" s="64" t="s">
        <v>1848</v>
      </c>
      <c r="D428" s="77" t="s">
        <v>1841</v>
      </c>
      <c r="E428" s="77" t="s">
        <v>1643</v>
      </c>
      <c r="F428" s="166" t="str">
        <f>VLOOKUP(MP_registro[[#This Row],[TAG]],'DB-EQUIPOS GEN'!$C$11:$H$833,2,0)</f>
        <v>Nivelador de cama de bagazo en difusor</v>
      </c>
      <c r="G428" s="168" t="str">
        <f>VLOOKUP(MP_registro[[#This Row],[TAG]],'DB-EQUIPOS GEN'!$C$11:$H$833,3,0)</f>
        <v>EXTRACCION</v>
      </c>
      <c r="H428" s="168" t="str">
        <f>VLOOKUP(MP_registro[[#This Row],[TAG]],'DB-EQUIPOS GEN'!$C$11:$H$833,4,0)</f>
        <v>DIFUSOR</v>
      </c>
      <c r="I428" s="168" t="str">
        <f>VLOOKUP(MP_registro[[#This Row],[TAG]],'DB-EQUIPOS GEN'!$C$11:$H$833,5,0)</f>
        <v>CONDUCTOR TRANSVERSAL</v>
      </c>
      <c r="J428" s="168" t="str">
        <f>VLOOKUP(MP_registro[[#This Row],[TAG]],'DB-EQUIPOS GEN'!$C$11:$H$833,6,0)</f>
        <v>0205CV190</v>
      </c>
      <c r="K428" s="68">
        <v>44737</v>
      </c>
      <c r="L428" s="65" t="s">
        <v>247</v>
      </c>
      <c r="M428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428" s="144" t="s">
        <v>1664</v>
      </c>
      <c r="O428" s="64" t="s">
        <v>1696</v>
      </c>
      <c r="Q428" s="42"/>
    </row>
    <row r="429" spans="1:17" ht="34.15" customHeight="1">
      <c r="A429" s="65">
        <v>428</v>
      </c>
      <c r="B429" s="77" t="s">
        <v>260</v>
      </c>
      <c r="C429" s="64" t="s">
        <v>1848</v>
      </c>
      <c r="D429" s="77" t="s">
        <v>1842</v>
      </c>
      <c r="E429" s="77" t="s">
        <v>1645</v>
      </c>
      <c r="F429" s="166" t="str">
        <f>VLOOKUP(MP_registro[[#This Row],[TAG]],'DB-EQUIPOS GEN'!$C$11:$H$833,2,0)</f>
        <v>Tamiz rotativo</v>
      </c>
      <c r="G429" s="168" t="str">
        <f>VLOOKUP(MP_registro[[#This Row],[TAG]],'DB-EQUIPOS GEN'!$C$11:$H$833,3,0)</f>
        <v>EXTRACCION</v>
      </c>
      <c r="H429" s="168" t="str">
        <f>VLOOKUP(MP_registro[[#This Row],[TAG]],'DB-EQUIPOS GEN'!$C$11:$H$833,4,0)</f>
        <v>DIFUSOR</v>
      </c>
      <c r="I429" s="168" t="str">
        <f>VLOOKUP(MP_registro[[#This Row],[TAG]],'DB-EQUIPOS GEN'!$C$11:$H$833,5,0)</f>
        <v>TAMIZ ROTATIVO</v>
      </c>
      <c r="J429" s="168" t="str">
        <f>VLOOKUP(MP_registro[[#This Row],[TAG]],'DB-EQUIPOS GEN'!$C$11:$H$833,6,0)</f>
        <v>0305FL010</v>
      </c>
      <c r="K429" s="68">
        <v>44737</v>
      </c>
      <c r="L429" s="65" t="s">
        <v>247</v>
      </c>
      <c r="M429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429" s="144" t="s">
        <v>1664</v>
      </c>
      <c r="O429" s="64" t="s">
        <v>1696</v>
      </c>
      <c r="Q429" s="42"/>
    </row>
    <row r="430" spans="1:17" ht="34.15" customHeight="1">
      <c r="A430" s="64">
        <v>429</v>
      </c>
      <c r="B430" s="77" t="s">
        <v>260</v>
      </c>
      <c r="C430" s="64" t="s">
        <v>1848</v>
      </c>
      <c r="D430" s="77" t="s">
        <v>1843</v>
      </c>
      <c r="E430" s="77" t="s">
        <v>1180</v>
      </c>
      <c r="F430" s="166" t="str">
        <f>VLOOKUP(MP_registro[[#This Row],[TAG]],'DB-EQUIPOS GEN'!$C$11:$H$833,2,0)</f>
        <v>Valvula control de nivel FFE - 5B</v>
      </c>
      <c r="G430" s="168" t="str">
        <f>VLOOKUP(MP_registro[[#This Row],[TAG]],'DB-EQUIPOS GEN'!$C$11:$H$833,3,0)</f>
        <v>PRODUCCION</v>
      </c>
      <c r="H430" s="168" t="str">
        <f>VLOOKUP(MP_registro[[#This Row],[TAG]],'DB-EQUIPOS GEN'!$C$11:$H$833,4,0)</f>
        <v>EVAPORACION DE JUGO</v>
      </c>
      <c r="I430" s="168" t="str">
        <f>VLOOKUP(MP_registro[[#This Row],[TAG]],'DB-EQUIPOS GEN'!$C$11:$H$833,5,0)</f>
        <v>EVAPORADOR FFE 5B</v>
      </c>
      <c r="J430" s="168" t="str">
        <f>VLOOKUP(MP_registro[[#This Row],[TAG]],'DB-EQUIPOS GEN'!$C$11:$H$833,6,0)</f>
        <v>0320EV080</v>
      </c>
      <c r="K430" s="68">
        <v>44738</v>
      </c>
      <c r="L430" s="65" t="s">
        <v>249</v>
      </c>
      <c r="M430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430" s="144" t="s">
        <v>1664</v>
      </c>
      <c r="O430" s="64" t="s">
        <v>1696</v>
      </c>
      <c r="Q430" s="42"/>
    </row>
    <row r="431" spans="1:17" ht="34.15" customHeight="1">
      <c r="A431" s="65">
        <v>430</v>
      </c>
      <c r="B431" s="77" t="s">
        <v>260</v>
      </c>
      <c r="C431" s="64" t="s">
        <v>1848</v>
      </c>
      <c r="D431" s="77" t="s">
        <v>1844</v>
      </c>
      <c r="E431" s="77" t="s">
        <v>687</v>
      </c>
      <c r="F431" s="166" t="str">
        <f>VLOOKUP(MP_registro[[#This Row],[TAG]],'DB-EQUIPOS GEN'!$C$11:$H$833,2,0)</f>
        <v>Temperatura del cuerpo</v>
      </c>
      <c r="G431" s="168" t="str">
        <f>VLOOKUP(MP_registro[[#This Row],[TAG]],'DB-EQUIPOS GEN'!$C$11:$H$833,3,0)</f>
        <v>PRODUCCION</v>
      </c>
      <c r="H431" s="168" t="str">
        <f>VLOOKUP(MP_registro[[#This Row],[TAG]],'DB-EQUIPOS GEN'!$C$11:$H$833,4,0)</f>
        <v>CRISTALIZACION POR COCCION</v>
      </c>
      <c r="I431" s="168" t="str">
        <f>VLOOKUP(MP_registro[[#This Row],[TAG]],'DB-EQUIPOS GEN'!$C$11:$H$833,5,0)</f>
        <v xml:space="preserve">TACHO BATCH BC </v>
      </c>
      <c r="J431" s="168" t="str">
        <f>VLOOKUP(MP_registro[[#This Row],[TAG]],'DB-EQUIPOS GEN'!$C$11:$H$833,6,0)</f>
        <v xml:space="preserve"> 0335HX240</v>
      </c>
      <c r="K431" s="68">
        <v>44738</v>
      </c>
      <c r="L431" s="65" t="s">
        <v>247</v>
      </c>
      <c r="M431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431" s="144" t="s">
        <v>1664</v>
      </c>
      <c r="O431" s="64" t="s">
        <v>1696</v>
      </c>
      <c r="Q431" s="42"/>
    </row>
    <row r="432" spans="1:17" ht="34.15" customHeight="1">
      <c r="A432" s="64">
        <v>431</v>
      </c>
      <c r="B432" s="77" t="s">
        <v>260</v>
      </c>
      <c r="C432" s="64" t="s">
        <v>1848</v>
      </c>
      <c r="D432" s="77" t="s">
        <v>1845</v>
      </c>
      <c r="E432" s="155" t="s">
        <v>1849</v>
      </c>
      <c r="F432" s="166" t="str">
        <f>VLOOKUP(MP_registro[[#This Row],[TAG]],'DB-EQUIPOS GEN'!$C$11:$H$833,2,0)</f>
        <v>Aire Instrumentacion p/ Caldera</v>
      </c>
      <c r="G432" s="168" t="str">
        <f>VLOOKUP(MP_registro[[#This Row],[TAG]],'DB-EQUIPOS GEN'!$C$11:$H$833,3,0)</f>
        <v>E. ELECTRICA</v>
      </c>
      <c r="H432" s="168" t="str">
        <f>VLOOKUP(MP_registro[[#This Row],[TAG]],'DB-EQUIPOS GEN'!$C$11:$H$833,4,0)</f>
        <v>GENERACION ENERG. ELEC. TURBO GENERADOR</v>
      </c>
      <c r="I432" s="168" t="str">
        <f>VLOOKUP(MP_registro[[#This Row],[TAG]],'DB-EQUIPOS GEN'!$C$11:$H$833,5,0)</f>
        <v/>
      </c>
      <c r="J432" s="168" t="str">
        <f>VLOOKUP(MP_registro[[#This Row],[TAG]],'DB-EQUIPOS GEN'!$C$11:$H$833,6,0)</f>
        <v/>
      </c>
      <c r="K432" s="68">
        <v>44738</v>
      </c>
      <c r="L432" s="65" t="s">
        <v>249</v>
      </c>
      <c r="M432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432" s="144" t="s">
        <v>1664</v>
      </c>
      <c r="O432" s="64" t="s">
        <v>1696</v>
      </c>
      <c r="Q432" s="42"/>
    </row>
    <row r="433" spans="1:17" ht="34.15" customHeight="1">
      <c r="A433" s="65">
        <v>432</v>
      </c>
      <c r="B433" s="77" t="s">
        <v>260</v>
      </c>
      <c r="C433" s="64" t="s">
        <v>1848</v>
      </c>
      <c r="D433" s="77" t="s">
        <v>1846</v>
      </c>
      <c r="E433" s="163" t="s">
        <v>2416</v>
      </c>
      <c r="F433" s="166" t="str">
        <f>VLOOKUP(MP_registro[[#This Row],[TAG]],'DB-EQUIPOS GEN'!$C$11:$H$833,2,0)</f>
        <v>Vista Conductor Auxiliar - Superior</v>
      </c>
      <c r="G433" s="168" t="str">
        <f>VLOOKUP(MP_registro[[#This Row],[TAG]],'DB-EQUIPOS GEN'!$C$11:$H$833,3,0)</f>
        <v>EXTRACCION</v>
      </c>
      <c r="H433" s="168" t="str">
        <f>VLOOKUP(MP_registro[[#This Row],[TAG]],'DB-EQUIPOS GEN'!$C$11:$H$833,4,0)</f>
        <v>PREPARACIÓN DE CAÑA</v>
      </c>
      <c r="I433" s="168" t="str">
        <f>VLOOKUP(MP_registro[[#This Row],[TAG]],'DB-EQUIPOS GEN'!$C$11:$H$833,5,0)</f>
        <v>CONDUCTOR AUXILIAR DE CAÑA</v>
      </c>
      <c r="J433" s="168" t="str">
        <f>VLOOKUP(MP_registro[[#This Row],[TAG]],'DB-EQUIPOS GEN'!$C$11:$H$833,6,0)</f>
        <v>0115CV010</v>
      </c>
      <c r="K433" s="68">
        <v>44738</v>
      </c>
      <c r="L433" s="65" t="s">
        <v>245</v>
      </c>
      <c r="M433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433" s="144" t="s">
        <v>1664</v>
      </c>
      <c r="O433" s="64" t="s">
        <v>1696</v>
      </c>
      <c r="Q433" s="42"/>
    </row>
    <row r="434" spans="1:17" ht="34.15" customHeight="1">
      <c r="A434" s="64">
        <v>433</v>
      </c>
      <c r="B434" s="77" t="s">
        <v>260</v>
      </c>
      <c r="C434" s="64" t="s">
        <v>1848</v>
      </c>
      <c r="D434" s="77" t="s">
        <v>1847</v>
      </c>
      <c r="E434" s="163" t="s">
        <v>2406</v>
      </c>
      <c r="F434" s="166" t="str">
        <f>VLOOKUP(MP_registro[[#This Row],[TAG]],'DB-EQUIPOS GEN'!$C$11:$H$833,2,0)</f>
        <v>Vista Mesa de Caña - Descarga de Tetras</v>
      </c>
      <c r="G434" s="168" t="str">
        <f>VLOOKUP(MP_registro[[#This Row],[TAG]],'DB-EQUIPOS GEN'!$C$11:$H$833,3,0)</f>
        <v>EXTRACCION</v>
      </c>
      <c r="H434" s="168" t="str">
        <f>VLOOKUP(MP_registro[[#This Row],[TAG]],'DB-EQUIPOS GEN'!$C$11:$H$833,4,0)</f>
        <v>RECEPCIÓN DE CAÑA</v>
      </c>
      <c r="I434" s="168" t="str">
        <f>VLOOKUP(MP_registro[[#This Row],[TAG]],'DB-EQUIPOS GEN'!$C$11:$H$833,5,0)</f>
        <v>MESA DE CAÑA</v>
      </c>
      <c r="J434" s="168" t="str">
        <f>VLOOKUP(MP_registro[[#This Row],[TAG]],'DB-EQUIPOS GEN'!$C$11:$H$833,6,0)</f>
        <v>0110FE019</v>
      </c>
      <c r="K434" s="68">
        <v>44738</v>
      </c>
      <c r="L434" s="65" t="s">
        <v>247</v>
      </c>
      <c r="M434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434" s="144" t="s">
        <v>1664</v>
      </c>
      <c r="O434" s="64" t="s">
        <v>1696</v>
      </c>
      <c r="Q434" s="42"/>
    </row>
    <row r="435" spans="1:17" ht="34.15" customHeight="1">
      <c r="A435" s="65">
        <v>434</v>
      </c>
      <c r="B435" s="77" t="s">
        <v>260</v>
      </c>
      <c r="C435" s="64" t="s">
        <v>1850</v>
      </c>
      <c r="D435" s="77" t="s">
        <v>1851</v>
      </c>
      <c r="E435" s="77" t="s">
        <v>280</v>
      </c>
      <c r="F435" s="166" t="str">
        <f>VLOOKUP(MP_registro[[#This Row],[TAG]],'DB-EQUIPOS GEN'!$C$11:$H$833,2,0)</f>
        <v>PH de jugo clarificado</v>
      </c>
      <c r="G435" s="168" t="str">
        <f>VLOOKUP(MP_registro[[#This Row],[TAG]],'DB-EQUIPOS GEN'!$C$11:$H$833,3,0)</f>
        <v>PRODUCCION</v>
      </c>
      <c r="H435" s="168" t="str">
        <f>VLOOKUP(MP_registro[[#This Row],[TAG]],'DB-EQUIPOS GEN'!$C$11:$H$833,4,0)</f>
        <v>CLARIFICACION DE JUGO</v>
      </c>
      <c r="I435" s="168" t="str">
        <f>VLOOKUP(MP_registro[[#This Row],[TAG]],'DB-EQUIPOS GEN'!$C$11:$H$833,5,0)</f>
        <v xml:space="preserve">CLARIFICADOR SRT </v>
      </c>
      <c r="J435" s="168" t="str">
        <f>VLOOKUP(MP_registro[[#This Row],[TAG]],'DB-EQUIPOS GEN'!$C$11:$H$833,6,0)</f>
        <v xml:space="preserve"> 0305CL130</v>
      </c>
      <c r="K435" s="68">
        <v>44739</v>
      </c>
      <c r="L435" s="65" t="s">
        <v>247</v>
      </c>
      <c r="M435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435" s="144" t="s">
        <v>13</v>
      </c>
      <c r="O435" s="64" t="s">
        <v>1696</v>
      </c>
      <c r="Q435" s="42"/>
    </row>
    <row r="436" spans="1:17" ht="34.15" customHeight="1">
      <c r="A436" s="64">
        <v>435</v>
      </c>
      <c r="B436" s="77" t="s">
        <v>260</v>
      </c>
      <c r="C436" s="64" t="s">
        <v>1850</v>
      </c>
      <c r="D436" s="77" t="s">
        <v>1852</v>
      </c>
      <c r="E436" s="77" t="s">
        <v>1640</v>
      </c>
      <c r="F436" s="166" t="str">
        <f>VLOOKUP(MP_registro[[#This Row],[TAG]],'DB-EQUIPOS GEN'!$C$11:$H$833,2,0)</f>
        <v>Conductor de alimentación a difusor y retorno</v>
      </c>
      <c r="G436" s="168" t="str">
        <f>VLOOKUP(MP_registro[[#This Row],[TAG]],'DB-EQUIPOS GEN'!$C$11:$H$833,3,0)</f>
        <v>EXTRACCION</v>
      </c>
      <c r="H436" s="168" t="str">
        <f>VLOOKUP(MP_registro[[#This Row],[TAG]],'DB-EQUIPOS GEN'!$C$11:$H$833,4,0)</f>
        <v>PREPARACIÓN DE CAÑA</v>
      </c>
      <c r="I436" s="168" t="str">
        <f>VLOOKUP(MP_registro[[#This Row],[TAG]],'DB-EQUIPOS GEN'!$C$11:$H$833,5,0)</f>
        <v>CONDUCTOR DE RETORNO</v>
      </c>
      <c r="J436" s="168" t="str">
        <f>VLOOKUP(MP_registro[[#This Row],[TAG]],'DB-EQUIPOS GEN'!$C$11:$H$833,6,0)</f>
        <v>0115CV090</v>
      </c>
      <c r="K436" s="68">
        <v>44739</v>
      </c>
      <c r="L436" s="65" t="s">
        <v>247</v>
      </c>
      <c r="M436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436" s="144" t="s">
        <v>1664</v>
      </c>
      <c r="O436" s="64" t="s">
        <v>1696</v>
      </c>
      <c r="Q436" s="42"/>
    </row>
    <row r="437" spans="1:17" ht="34.15" customHeight="1">
      <c r="A437" s="65">
        <v>436</v>
      </c>
      <c r="B437" s="77" t="s">
        <v>260</v>
      </c>
      <c r="C437" s="64" t="s">
        <v>1850</v>
      </c>
      <c r="D437" s="77" t="s">
        <v>1853</v>
      </c>
      <c r="E437" s="77" t="s">
        <v>1352</v>
      </c>
      <c r="F437" s="166" t="str">
        <f>VLOOKUP(MP_registro[[#This Row],[TAG]],'DB-EQUIPOS GEN'!$C$11:$H$833,2,0)</f>
        <v>Switch de la red FTE -  green</v>
      </c>
      <c r="G437" s="168" t="str">
        <f>VLOOKUP(MP_registro[[#This Row],[TAG]],'DB-EQUIPOS GEN'!$C$11:$H$833,3,0)</f>
        <v>E. ELECTRICA</v>
      </c>
      <c r="H437" s="168" t="str">
        <f>VLOOKUP(MP_registro[[#This Row],[TAG]],'DB-EQUIPOS GEN'!$C$11:$H$833,4,0)</f>
        <v>SISTEMA DE CONTROL DISTRIBUIDO</v>
      </c>
      <c r="I437" s="168" t="str">
        <f>VLOOKUP(MP_registro[[#This Row],[TAG]],'DB-EQUIPOS GEN'!$C$11:$H$833,5,0)</f>
        <v>SISTEMA DE CONTROL DISTRIBUIDO</v>
      </c>
      <c r="J437" s="168" t="str">
        <f>VLOOKUP(MP_registro[[#This Row],[TAG]],'DB-EQUIPOS GEN'!$C$11:$H$833,6,0)</f>
        <v>DCS</v>
      </c>
      <c r="K437" s="68">
        <v>44740</v>
      </c>
      <c r="L437" s="65" t="s">
        <v>248</v>
      </c>
      <c r="M437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437" s="144" t="s">
        <v>1664</v>
      </c>
      <c r="O437" s="64" t="s">
        <v>1696</v>
      </c>
      <c r="Q437" s="42"/>
    </row>
    <row r="438" spans="1:17" ht="34.15" customHeight="1">
      <c r="A438" s="64">
        <v>437</v>
      </c>
      <c r="B438" s="77" t="s">
        <v>260</v>
      </c>
      <c r="C438" s="64" t="s">
        <v>1850</v>
      </c>
      <c r="D438" s="77" t="s">
        <v>1854</v>
      </c>
      <c r="E438" s="77" t="s">
        <v>1354</v>
      </c>
      <c r="F438" s="166" t="str">
        <f>VLOOKUP(MP_registro[[#This Row],[TAG]],'DB-EQUIPOS GEN'!$C$11:$H$833,2,0)</f>
        <v>Switch de la red FTE -  yellow</v>
      </c>
      <c r="G438" s="168" t="str">
        <f>VLOOKUP(MP_registro[[#This Row],[TAG]],'DB-EQUIPOS GEN'!$C$11:$H$833,3,0)</f>
        <v>E. ELECTRICA</v>
      </c>
      <c r="H438" s="168" t="str">
        <f>VLOOKUP(MP_registro[[#This Row],[TAG]],'DB-EQUIPOS GEN'!$C$11:$H$833,4,0)</f>
        <v>SISTEMA DE CONTROL DISTRIBUIDO</v>
      </c>
      <c r="I438" s="168" t="str">
        <f>VLOOKUP(MP_registro[[#This Row],[TAG]],'DB-EQUIPOS GEN'!$C$11:$H$833,5,0)</f>
        <v>SISTEMA DE CONTROL DISTRIBUIDO</v>
      </c>
      <c r="J438" s="168" t="str">
        <f>VLOOKUP(MP_registro[[#This Row],[TAG]],'DB-EQUIPOS GEN'!$C$11:$H$833,6,0)</f>
        <v>DCS</v>
      </c>
      <c r="K438" s="68">
        <v>44740</v>
      </c>
      <c r="L438" s="65" t="s">
        <v>248</v>
      </c>
      <c r="M438" s="77" t="str">
        <f>IF(MP_registro[[#This Row],[TURNO]]="G1",LISTAS!$E$5,IF(MP_registro[[#This Row],[TURNO]]="G2",LISTAS!$E$6,IF(MP_registro[[#This Row],[TURNO]]="G3",LISTAS!$E$7,IF(MP_registro[[#This Row],[TURNO]]="G4",LISTAS!$E$8,LISTAS!$E$9))))</f>
        <v>Richard Zapata / Angel Terrones</v>
      </c>
      <c r="N438" s="144" t="s">
        <v>1664</v>
      </c>
      <c r="O438" s="64" t="s">
        <v>1696</v>
      </c>
      <c r="Q438" s="42"/>
    </row>
    <row r="439" spans="1:17" ht="34.15" customHeight="1">
      <c r="A439" s="65">
        <v>438</v>
      </c>
      <c r="B439" s="77" t="s">
        <v>260</v>
      </c>
      <c r="C439" s="64" t="s">
        <v>1850</v>
      </c>
      <c r="D439" s="77" t="s">
        <v>1855</v>
      </c>
      <c r="E439" s="77" t="s">
        <v>1641</v>
      </c>
      <c r="F439" s="166" t="str">
        <f>VLOOKUP(MP_registro[[#This Row],[TAG]],'DB-EQUIPOS GEN'!$C$11:$H$833,2,0)</f>
        <v>Mesa de caña</v>
      </c>
      <c r="G439" s="168" t="str">
        <f>VLOOKUP(MP_registro[[#This Row],[TAG]],'DB-EQUIPOS GEN'!$C$11:$H$833,3,0)</f>
        <v>EXTRACCION</v>
      </c>
      <c r="H439" s="168" t="str">
        <f>VLOOKUP(MP_registro[[#This Row],[TAG]],'DB-EQUIPOS GEN'!$C$11:$H$833,4,0)</f>
        <v>RECEPCIÓN DE CAÑA</v>
      </c>
      <c r="I439" s="168" t="str">
        <f>VLOOKUP(MP_registro[[#This Row],[TAG]],'DB-EQUIPOS GEN'!$C$11:$H$833,5,0)</f>
        <v>MESA DE CAÑA</v>
      </c>
      <c r="J439" s="168" t="str">
        <f>VLOOKUP(MP_registro[[#This Row],[TAG]],'DB-EQUIPOS GEN'!$C$11:$H$833,6,0)</f>
        <v>0110FE019</v>
      </c>
      <c r="K439" s="68">
        <v>44739</v>
      </c>
      <c r="L439" s="65" t="s">
        <v>247</v>
      </c>
      <c r="M439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439" s="144" t="s">
        <v>1664</v>
      </c>
      <c r="O439" s="64" t="s">
        <v>1696</v>
      </c>
      <c r="Q439" s="42"/>
    </row>
    <row r="440" spans="1:17" ht="34.15" customHeight="1">
      <c r="A440" s="64">
        <v>439</v>
      </c>
      <c r="B440" s="77" t="s">
        <v>260</v>
      </c>
      <c r="C440" s="64" t="s">
        <v>1850</v>
      </c>
      <c r="D440" s="77" t="s">
        <v>1856</v>
      </c>
      <c r="E440" s="77" t="s">
        <v>1653</v>
      </c>
      <c r="F440" s="166" t="str">
        <f>VLOOKUP(MP_registro[[#This Row],[TAG]],'DB-EQUIPOS GEN'!$C$11:$H$833,2,0)</f>
        <v>Operación del desviador de bagazo</v>
      </c>
      <c r="G440" s="168" t="str">
        <f>VLOOKUP(MP_registro[[#This Row],[TAG]],'DB-EQUIPOS GEN'!$C$11:$H$833,3,0)</f>
        <v>E. TERMICA</v>
      </c>
      <c r="H440" s="168" t="str">
        <f>VLOOKUP(MP_registro[[#This Row],[TAG]],'DB-EQUIPOS GEN'!$C$11:$H$833,4,0)</f>
        <v>TRANSPORTE DE BAGAZO</v>
      </c>
      <c r="I440" s="168" t="str">
        <f>VLOOKUP(MP_registro[[#This Row],[TAG]],'DB-EQUIPOS GEN'!$C$11:$H$833,5,0)</f>
        <v>FAJA TRANSPORTADORA 1004</v>
      </c>
      <c r="J440" s="168" t="str">
        <f>VLOOKUP(MP_registro[[#This Row],[TAG]],'DB-EQUIPOS GEN'!$C$11:$H$833,6,0)</f>
        <v>0805CV070</v>
      </c>
      <c r="K440" s="68">
        <v>44739</v>
      </c>
      <c r="L440" s="65" t="s">
        <v>247</v>
      </c>
      <c r="M440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440" s="144" t="s">
        <v>1664</v>
      </c>
      <c r="O440" s="64" t="s">
        <v>1696</v>
      </c>
      <c r="Q440" s="42"/>
    </row>
    <row r="441" spans="1:17" ht="34.15" customHeight="1">
      <c r="A441" s="65">
        <v>440</v>
      </c>
      <c r="B441" s="77" t="s">
        <v>260</v>
      </c>
      <c r="C441" s="64" t="s">
        <v>1850</v>
      </c>
      <c r="D441" s="77" t="s">
        <v>1851</v>
      </c>
      <c r="E441" s="155" t="s">
        <v>280</v>
      </c>
      <c r="F441" s="166" t="str">
        <f>VLOOKUP(MP_registro[[#This Row],[TAG]],'DB-EQUIPOS GEN'!$C$11:$H$833,2,0)</f>
        <v>PH de jugo clarificado</v>
      </c>
      <c r="G441" s="168" t="str">
        <f>VLOOKUP(MP_registro[[#This Row],[TAG]],'DB-EQUIPOS GEN'!$C$11:$H$833,3,0)</f>
        <v>PRODUCCION</v>
      </c>
      <c r="H441" s="168" t="str">
        <f>VLOOKUP(MP_registro[[#This Row],[TAG]],'DB-EQUIPOS GEN'!$C$11:$H$833,4,0)</f>
        <v>CLARIFICACION DE JUGO</v>
      </c>
      <c r="I441" s="168" t="str">
        <f>VLOOKUP(MP_registro[[#This Row],[TAG]],'DB-EQUIPOS GEN'!$C$11:$H$833,5,0)</f>
        <v xml:space="preserve">CLARIFICADOR SRT </v>
      </c>
      <c r="J441" s="168" t="str">
        <f>VLOOKUP(MP_registro[[#This Row],[TAG]],'DB-EQUIPOS GEN'!$C$11:$H$833,6,0)</f>
        <v xml:space="preserve"> 0305CL130</v>
      </c>
      <c r="K441" s="68">
        <v>44739</v>
      </c>
      <c r="L441" s="65" t="s">
        <v>245</v>
      </c>
      <c r="M441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441" s="144" t="s">
        <v>1664</v>
      </c>
      <c r="O441" s="64" t="s">
        <v>1696</v>
      </c>
      <c r="Q441" s="42"/>
    </row>
    <row r="442" spans="1:17" ht="34.15" customHeight="1">
      <c r="A442" s="64">
        <v>441</v>
      </c>
      <c r="B442" s="77" t="s">
        <v>260</v>
      </c>
      <c r="C442" s="64" t="s">
        <v>1850</v>
      </c>
      <c r="D442" s="77" t="s">
        <v>1857</v>
      </c>
      <c r="E442" s="77" t="s">
        <v>1177</v>
      </c>
      <c r="F442" s="166" t="str">
        <f>VLOOKUP(MP_registro[[#This Row],[TAG]],'DB-EQUIPOS GEN'!$C$11:$H$833,2,0)</f>
        <v>Valvula control de nivel FFE - 4A</v>
      </c>
      <c r="G442" s="168" t="str">
        <f>VLOOKUP(MP_registro[[#This Row],[TAG]],'DB-EQUIPOS GEN'!$C$11:$H$833,3,0)</f>
        <v>PRODUCCION</v>
      </c>
      <c r="H442" s="168" t="str">
        <f>VLOOKUP(MP_registro[[#This Row],[TAG]],'DB-EQUIPOS GEN'!$C$11:$H$833,4,0)</f>
        <v>EVAPORACION DE JUGO</v>
      </c>
      <c r="I442" s="168" t="str">
        <f>VLOOKUP(MP_registro[[#This Row],[TAG]],'DB-EQUIPOS GEN'!$C$11:$H$833,5,0)</f>
        <v>EVAPORADOR FFE 4A</v>
      </c>
      <c r="J442" s="168" t="str">
        <f>VLOOKUP(MP_registro[[#This Row],[TAG]],'DB-EQUIPOS GEN'!$C$11:$H$833,6,0)</f>
        <v>0320EV050</v>
      </c>
      <c r="K442" s="68">
        <v>44740</v>
      </c>
      <c r="L442" s="65" t="s">
        <v>245</v>
      </c>
      <c r="M442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442" s="144" t="s">
        <v>1664</v>
      </c>
      <c r="O442" s="64" t="s">
        <v>1696</v>
      </c>
      <c r="Q442" s="42"/>
    </row>
    <row r="443" spans="1:17" ht="34.15" customHeight="1">
      <c r="A443" s="65">
        <v>442</v>
      </c>
      <c r="B443" s="77" t="s">
        <v>260</v>
      </c>
      <c r="C443" s="64" t="s">
        <v>1850</v>
      </c>
      <c r="D443" s="77" t="s">
        <v>1858</v>
      </c>
      <c r="E443" s="77" t="s">
        <v>1659</v>
      </c>
      <c r="F443" s="166" t="str">
        <f>VLOOKUP(MP_registro[[#This Row],[TAG]],'DB-EQUIPOS GEN'!$C$11:$H$833,2,0)</f>
        <v>Vista global de tanques de jarabe 1,2 y 3</v>
      </c>
      <c r="G443" s="168" t="str">
        <f>VLOOKUP(MP_registro[[#This Row],[TAG]],'DB-EQUIPOS GEN'!$C$11:$H$833,3,0)</f>
        <v>PRODUCCION</v>
      </c>
      <c r="H443" s="168" t="str">
        <f>VLOOKUP(MP_registro[[#This Row],[TAG]],'DB-EQUIPOS GEN'!$C$11:$H$833,4,0)</f>
        <v>CRISTALIZACIÓN POR COCCIÓN</v>
      </c>
      <c r="I443" s="168" t="str">
        <f>VLOOKUP(MP_registro[[#This Row],[TAG]],'DB-EQUIPOS GEN'!$C$11:$H$833,5,0)</f>
        <v>TANQUE DE JARABE 1</v>
      </c>
      <c r="J443" s="168" t="str">
        <f>VLOOKUP(MP_registro[[#This Row],[TAG]],'DB-EQUIPOS GEN'!$C$11:$H$833,6,0)</f>
        <v>0335TK010</v>
      </c>
      <c r="K443" s="68">
        <v>44740</v>
      </c>
      <c r="L443" s="65" t="s">
        <v>247</v>
      </c>
      <c r="M443" s="77" t="str">
        <f>IF(MP_registro[[#This Row],[TURNO]]="G1",LISTAS!$E$5,IF(MP_registro[[#This Row],[TURNO]]="G2",LISTAS!$E$6,IF(MP_registro[[#This Row],[TURNO]]="G3",LISTAS!$E$7,IF(MP_registro[[#This Row],[TURNO]]="G4",LISTAS!$E$8,LISTAS!$E$9))))</f>
        <v>Luis Chu / Ricardo Effio</v>
      </c>
      <c r="N443" s="144" t="s">
        <v>1664</v>
      </c>
      <c r="O443" s="64" t="s">
        <v>1696</v>
      </c>
      <c r="Q443" s="42"/>
    </row>
    <row r="444" spans="1:17" ht="34.15" customHeight="1">
      <c r="A444" s="64">
        <v>443</v>
      </c>
      <c r="B444" s="77" t="s">
        <v>260</v>
      </c>
      <c r="C444" s="64" t="s">
        <v>1850</v>
      </c>
      <c r="D444" s="77" t="s">
        <v>1859</v>
      </c>
      <c r="E444" s="77" t="s">
        <v>1660</v>
      </c>
      <c r="F444" s="166" t="str">
        <f>VLOOKUP(MP_registro[[#This Row],[TAG]],'DB-EQUIPOS GEN'!$C$11:$H$833,2,0)</f>
        <v>Vista global de tacho continuo A.</v>
      </c>
      <c r="G444" s="168" t="str">
        <f>VLOOKUP(MP_registro[[#This Row],[TAG]],'DB-EQUIPOS GEN'!$C$11:$H$833,3,0)</f>
        <v>PRODUCCION</v>
      </c>
      <c r="H444" s="168" t="str">
        <f>VLOOKUP(MP_registro[[#This Row],[TAG]],'DB-EQUIPOS GEN'!$C$11:$H$833,4,0)</f>
        <v>CRISTALIZACIÓN POR COCCIÓN</v>
      </c>
      <c r="I444" s="168" t="str">
        <f>VLOOKUP(MP_registro[[#This Row],[TAG]],'DB-EQUIPOS GEN'!$C$11:$H$833,5,0)</f>
        <v>TACHO CONTINUO - A</v>
      </c>
      <c r="J444" s="168" t="str">
        <f>VLOOKUP(MP_registro[[#This Row],[TAG]],'DB-EQUIPOS GEN'!$C$11:$H$833,6,0)</f>
        <v>0335HX200</v>
      </c>
      <c r="K444" s="68">
        <v>44740</v>
      </c>
      <c r="L444" s="65" t="s">
        <v>245</v>
      </c>
      <c r="M444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444" s="144" t="s">
        <v>1664</v>
      </c>
      <c r="O444" s="64" t="s">
        <v>1696</v>
      </c>
      <c r="Q444" s="42"/>
    </row>
    <row r="445" spans="1:17" ht="34.15" customHeight="1">
      <c r="A445" s="65">
        <v>444</v>
      </c>
      <c r="B445" s="77" t="s">
        <v>260</v>
      </c>
      <c r="C445" s="64" t="s">
        <v>1850</v>
      </c>
      <c r="D445" s="77" t="s">
        <v>1860</v>
      </c>
      <c r="E445" s="77" t="s">
        <v>1649</v>
      </c>
      <c r="F445" s="166" t="str">
        <f>VLOOKUP(MP_registro[[#This Row],[TAG]],'DB-EQUIPOS GEN'!$C$11:$H$833,2,0)</f>
        <v>Chute alimentadores de bagazo</v>
      </c>
      <c r="G445" s="168" t="str">
        <f>VLOOKUP(MP_registro[[#This Row],[TAG]],'DB-EQUIPOS GEN'!$C$11:$H$833,3,0)</f>
        <v>E. TERMICA</v>
      </c>
      <c r="H445" s="168" t="str">
        <f>VLOOKUP(MP_registro[[#This Row],[TAG]],'DB-EQUIPOS GEN'!$C$11:$H$833,4,0)</f>
        <v>TRANSPORTE DE BAGAZO</v>
      </c>
      <c r="I445" s="168" t="str">
        <f>VLOOKUP(MP_registro[[#This Row],[TAG]],'DB-EQUIPOS GEN'!$C$11:$H$833,5,0)</f>
        <v>ALIMENTADOR DE BAGAZO 1</v>
      </c>
      <c r="J445" s="168" t="str">
        <f>VLOOKUP(MP_registro[[#This Row],[TAG]],'DB-EQUIPOS GEN'!$C$11:$H$833,6,0)</f>
        <v>0405RV240</v>
      </c>
      <c r="K445" s="68">
        <v>44740</v>
      </c>
      <c r="L445" s="65" t="s">
        <v>245</v>
      </c>
      <c r="M445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445" s="144" t="s">
        <v>1664</v>
      </c>
      <c r="O445" s="64" t="s">
        <v>1696</v>
      </c>
      <c r="Q445" s="42"/>
    </row>
    <row r="446" spans="1:17" ht="34.15" customHeight="1">
      <c r="A446" s="64">
        <v>445</v>
      </c>
      <c r="B446" s="77" t="s">
        <v>260</v>
      </c>
      <c r="C446" s="64" t="s">
        <v>1850</v>
      </c>
      <c r="D446" s="77" t="s">
        <v>1861</v>
      </c>
      <c r="E446" s="77" t="s">
        <v>1656</v>
      </c>
      <c r="F446" s="166" t="str">
        <f>VLOOKUP(MP_registro[[#This Row],[TAG]],'DB-EQUIPOS GEN'!$C$11:$H$833,2,0)</f>
        <v>Descarga de centrifugas continuas</v>
      </c>
      <c r="G446" s="168" t="str">
        <f>VLOOKUP(MP_registro[[#This Row],[TAG]],'DB-EQUIPOS GEN'!$C$11:$H$833,3,0)</f>
        <v>PRODUCCION</v>
      </c>
      <c r="H446" s="168" t="str">
        <f>VLOOKUP(MP_registro[[#This Row],[TAG]],'DB-EQUIPOS GEN'!$C$11:$H$833,4,0)</f>
        <v>CENTRIFUGACIÓN DE AZÚCAR</v>
      </c>
      <c r="I446" s="168" t="str">
        <f>VLOOKUP(MP_registro[[#This Row],[TAG]],'DB-EQUIPOS GEN'!$C$11:$H$833,5,0)</f>
        <v>CENTRIFUGA CONTINUA 1 - C (FRANCIA)</v>
      </c>
      <c r="J446" s="168" t="str">
        <f>VLOOKUP(MP_registro[[#This Row],[TAG]],'DB-EQUIPOS GEN'!$C$11:$H$833,6,0)</f>
        <v>0345SQ160</v>
      </c>
      <c r="K446" s="68">
        <v>44741</v>
      </c>
      <c r="L446" s="65" t="s">
        <v>245</v>
      </c>
      <c r="M446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446" s="144" t="s">
        <v>1664</v>
      </c>
      <c r="O446" s="64" t="s">
        <v>1696</v>
      </c>
      <c r="Q446" s="42"/>
    </row>
    <row r="447" spans="1:17" ht="34.15" customHeight="1">
      <c r="A447" s="65">
        <v>446</v>
      </c>
      <c r="B447" s="77" t="s">
        <v>260</v>
      </c>
      <c r="C447" s="64" t="s">
        <v>1850</v>
      </c>
      <c r="D447" s="77" t="s">
        <v>1862</v>
      </c>
      <c r="E447" s="77" t="s">
        <v>1657</v>
      </c>
      <c r="F447" s="166" t="str">
        <f>VLOOKUP(MP_registro[[#This Row],[TAG]],'DB-EQUIPOS GEN'!$C$11:$H$833,2,0)</f>
        <v>Pug mill B, Cabezal C de centrifugas continuas</v>
      </c>
      <c r="G447" s="168" t="str">
        <f>VLOOKUP(MP_registro[[#This Row],[TAG]],'DB-EQUIPOS GEN'!$C$11:$H$833,3,0)</f>
        <v>PRODUCCION</v>
      </c>
      <c r="H447" s="168" t="str">
        <f>VLOOKUP(MP_registro[[#This Row],[TAG]],'DB-EQUIPOS GEN'!$C$11:$H$833,4,0)</f>
        <v>CENTRIFUGACIÓN DE AZÚCAR</v>
      </c>
      <c r="I447" s="168" t="str">
        <f>VLOOKUP(MP_registro[[#This Row],[TAG]],'DB-EQUIPOS GEN'!$C$11:$H$833,5,0)</f>
        <v>PUG MILL - B</v>
      </c>
      <c r="J447" s="168" t="str">
        <f>VLOOKUP(MP_registro[[#This Row],[TAG]],'DB-EQUIPOS GEN'!$C$11:$H$833,6,0)</f>
        <v>0345MM020</v>
      </c>
      <c r="K447" s="68">
        <v>44741</v>
      </c>
      <c r="L447" s="65" t="s">
        <v>245</v>
      </c>
      <c r="M447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447" s="144" t="s">
        <v>1664</v>
      </c>
      <c r="O447" s="64" t="s">
        <v>1696</v>
      </c>
      <c r="Q447" s="42"/>
    </row>
    <row r="448" spans="1:17" ht="34.15" customHeight="1">
      <c r="A448" s="64">
        <v>447</v>
      </c>
      <c r="B448" s="77" t="s">
        <v>260</v>
      </c>
      <c r="C448" s="64" t="s">
        <v>1850</v>
      </c>
      <c r="D448" s="77" t="s">
        <v>1863</v>
      </c>
      <c r="E448" s="77" t="s">
        <v>1658</v>
      </c>
      <c r="F448" s="166" t="str">
        <f>VLOOKUP(MP_registro[[#This Row],[TAG]],'DB-EQUIPOS GEN'!$C$11:$H$833,2,0)</f>
        <v>Pug mill A - Centrifugas batch</v>
      </c>
      <c r="G448" s="168" t="str">
        <f>VLOOKUP(MP_registro[[#This Row],[TAG]],'DB-EQUIPOS GEN'!$C$11:$H$833,3,0)</f>
        <v>PRODUCCION</v>
      </c>
      <c r="H448" s="168" t="str">
        <f>VLOOKUP(MP_registro[[#This Row],[TAG]],'DB-EQUIPOS GEN'!$C$11:$H$833,4,0)</f>
        <v>CENTRIFUGACIÓN DE AZÚCAR</v>
      </c>
      <c r="I448" s="168" t="str">
        <f>VLOOKUP(MP_registro[[#This Row],[TAG]],'DB-EQUIPOS GEN'!$C$11:$H$833,5,0)</f>
        <v>PUG MILL - A</v>
      </c>
      <c r="J448" s="168" t="str">
        <f>VLOOKUP(MP_registro[[#This Row],[TAG]],'DB-EQUIPOS GEN'!$C$11:$H$833,6,0)</f>
        <v>0345MM010</v>
      </c>
      <c r="K448" s="68">
        <v>44741</v>
      </c>
      <c r="L448" s="65" t="s">
        <v>249</v>
      </c>
      <c r="M448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448" s="144" t="s">
        <v>1664</v>
      </c>
      <c r="O448" s="64" t="s">
        <v>1696</v>
      </c>
      <c r="Q448" s="42"/>
    </row>
    <row r="449" spans="1:17" ht="34.15" customHeight="1">
      <c r="A449" s="65">
        <v>448</v>
      </c>
      <c r="B449" s="77" t="s">
        <v>260</v>
      </c>
      <c r="C449" s="64" t="s">
        <v>1850</v>
      </c>
      <c r="D449" s="77" t="s">
        <v>1864</v>
      </c>
      <c r="E449" s="77" t="s">
        <v>1661</v>
      </c>
      <c r="F449" s="166" t="str">
        <f>VLOOKUP(MP_registro[[#This Row],[TAG]],'DB-EQUIPOS GEN'!$C$11:$H$833,2,0)</f>
        <v xml:space="preserve">Faja de azucar seca a Silo </v>
      </c>
      <c r="G449" s="168" t="str">
        <f>VLOOKUP(MP_registro[[#This Row],[TAG]],'DB-EQUIPOS GEN'!$C$11:$H$833,3,0)</f>
        <v>PRODUCCION</v>
      </c>
      <c r="H449" s="168" t="str">
        <f>VLOOKUP(MP_registro[[#This Row],[TAG]],'DB-EQUIPOS GEN'!$C$11:$H$833,4,0)</f>
        <v>ENVASADO DE AZÚCAR RUBIA</v>
      </c>
      <c r="I449" s="168" t="str">
        <f>VLOOKUP(MP_registro[[#This Row],[TAG]],'DB-EQUIPOS GEN'!$C$11:$H$833,5,0)</f>
        <v>SILO DE AZUCAR 1</v>
      </c>
      <c r="J449" s="168" t="str">
        <f>VLOOKUP(MP_registro[[#This Row],[TAG]],'DB-EQUIPOS GEN'!$C$11:$H$833,6,0)</f>
        <v>0355BI090</v>
      </c>
      <c r="K449" s="68">
        <v>44741</v>
      </c>
      <c r="L449" s="65" t="s">
        <v>245</v>
      </c>
      <c r="M449" s="77" t="str">
        <f>IF(MP_registro[[#This Row],[TURNO]]="G1",LISTAS!$E$5,IF(MP_registro[[#This Row],[TURNO]]="G2",LISTAS!$E$6,IF(MP_registro[[#This Row],[TURNO]]="G3",LISTAS!$E$7,IF(MP_registro[[#This Row],[TURNO]]="G4",LISTAS!$E$8,LISTAS!$E$9))))</f>
        <v>Carlos Chaname</v>
      </c>
      <c r="N449" s="144" t="s">
        <v>1664</v>
      </c>
      <c r="O449" s="64" t="s">
        <v>1696</v>
      </c>
      <c r="Q449" s="42"/>
    </row>
    <row r="450" spans="1:17" ht="34.15" customHeight="1">
      <c r="A450" s="64">
        <v>449</v>
      </c>
      <c r="B450" s="77" t="s">
        <v>260</v>
      </c>
      <c r="C450" s="64" t="s">
        <v>1850</v>
      </c>
      <c r="D450" s="77" t="s">
        <v>1865</v>
      </c>
      <c r="E450" s="77" t="s">
        <v>1648</v>
      </c>
      <c r="F450" s="166" t="str">
        <f>VLOOKUP(MP_registro[[#This Row],[TAG]],'DB-EQUIPOS GEN'!$C$11:$H$833,2,0)</f>
        <v>Nivel de agua en domo</v>
      </c>
      <c r="G450" s="168" t="str">
        <f>VLOOKUP(MP_registro[[#This Row],[TAG]],'DB-EQUIPOS GEN'!$C$11:$H$833,3,0)</f>
        <v>E. TERMICA</v>
      </c>
      <c r="H450" s="168" t="str">
        <f>VLOOKUP(MP_registro[[#This Row],[TAG]],'DB-EQUIPOS GEN'!$C$11:$H$833,4,0)</f>
        <v>GENERACIÓN DE VAPOR</v>
      </c>
      <c r="I450" s="168" t="str">
        <f>VLOOKUP(MP_registro[[#This Row],[TAG]],'DB-EQUIPOS GEN'!$C$11:$H$833,5,0)</f>
        <v>DOMO SUPERIOR</v>
      </c>
      <c r="J450" s="168" t="str">
        <f>VLOOKUP(MP_registro[[#This Row],[TAG]],'DB-EQUIPOS GEN'!$C$11:$H$833,6,0)</f>
        <v>0405DO020</v>
      </c>
      <c r="K450" s="68">
        <v>44741</v>
      </c>
      <c r="L450" s="65" t="s">
        <v>249</v>
      </c>
      <c r="M450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450" s="144" t="s">
        <v>13</v>
      </c>
      <c r="O450" s="64" t="s">
        <v>1696</v>
      </c>
      <c r="Q450" s="42"/>
    </row>
    <row r="451" spans="1:17" ht="34.15" customHeight="1">
      <c r="A451" s="65">
        <v>450</v>
      </c>
      <c r="B451" s="77" t="s">
        <v>260</v>
      </c>
      <c r="C451" s="64" t="s">
        <v>1850</v>
      </c>
      <c r="D451" s="77" t="s">
        <v>1866</v>
      </c>
      <c r="E451" s="164" t="s">
        <v>2407</v>
      </c>
      <c r="F451" s="166" t="str">
        <f>VLOOKUP(MP_registro[[#This Row],[TAG]],'DB-EQUIPOS GEN'!$C$11:$H$833,2,0)</f>
        <v>Vista Molino Secador - Conductor Intermedio</v>
      </c>
      <c r="G451" s="168" t="str">
        <f>VLOOKUP(MP_registro[[#This Row],[TAG]],'DB-EQUIPOS GEN'!$C$11:$H$833,3,0)</f>
        <v>EXTRACCION</v>
      </c>
      <c r="H451" s="168" t="str">
        <f>VLOOKUP(MP_registro[[#This Row],[TAG]],'DB-EQUIPOS GEN'!$C$11:$H$833,4,0)</f>
        <v>MOLINOS</v>
      </c>
      <c r="I451" s="168" t="str">
        <f>VLOOKUP(MP_registro[[#This Row],[TAG]],'DB-EQUIPOS GEN'!$C$11:$H$833,5,0)</f>
        <v>CONDUCTOR INTERMEDIO - MOLINO SECADOR</v>
      </c>
      <c r="J451" s="168" t="str">
        <f>VLOOKUP(MP_registro[[#This Row],[TAG]],'DB-EQUIPOS GEN'!$C$11:$H$833,6,0)</f>
        <v>0210CV070</v>
      </c>
      <c r="K451" s="68">
        <v>44742</v>
      </c>
      <c r="L451" s="65" t="s">
        <v>249</v>
      </c>
      <c r="M451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451" s="144" t="s">
        <v>1664</v>
      </c>
      <c r="O451" s="64" t="s">
        <v>1696</v>
      </c>
      <c r="Q451" s="42"/>
    </row>
    <row r="452" spans="1:17" ht="34.15" customHeight="1">
      <c r="A452" s="64">
        <v>451</v>
      </c>
      <c r="B452" s="77" t="s">
        <v>260</v>
      </c>
      <c r="C452" s="64" t="s">
        <v>1850</v>
      </c>
      <c r="D452" s="77" t="s">
        <v>1867</v>
      </c>
      <c r="E452" s="77" t="s">
        <v>1642</v>
      </c>
      <c r="F452" s="166" t="str">
        <f>VLOOKUP(MP_registro[[#This Row],[TAG]],'DB-EQUIPOS GEN'!$C$11:$H$833,2,0)</f>
        <v>Salida de bagazo de molino secador</v>
      </c>
      <c r="G452" s="168" t="str">
        <f>VLOOKUP(MP_registro[[#This Row],[TAG]],'DB-EQUIPOS GEN'!$C$11:$H$833,3,0)</f>
        <v>EXTRACCION</v>
      </c>
      <c r="H452" s="168" t="str">
        <f>VLOOKUP(MP_registro[[#This Row],[TAG]],'DB-EQUIPOS GEN'!$C$11:$H$833,4,0)</f>
        <v>MOLINOS</v>
      </c>
      <c r="I452" s="168" t="str">
        <f>VLOOKUP(MP_registro[[#This Row],[TAG]],'DB-EQUIPOS GEN'!$C$11:$H$833,5,0)</f>
        <v>MOLINO SECADOR</v>
      </c>
      <c r="J452" s="168" t="str">
        <f>VLOOKUP(MP_registro[[#This Row],[TAG]],'DB-EQUIPOS GEN'!$C$11:$H$833,6,0)</f>
        <v>0210MM090</v>
      </c>
      <c r="K452" s="68">
        <v>44742</v>
      </c>
      <c r="L452" s="65" t="s">
        <v>249</v>
      </c>
      <c r="M452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452" s="144" t="s">
        <v>1664</v>
      </c>
      <c r="O452" s="64" t="s">
        <v>1696</v>
      </c>
      <c r="Q452" s="42"/>
    </row>
    <row r="453" spans="1:17" ht="34.15" customHeight="1">
      <c r="A453" s="65">
        <v>452</v>
      </c>
      <c r="B453" s="77" t="s">
        <v>260</v>
      </c>
      <c r="C453" s="64" t="s">
        <v>1850</v>
      </c>
      <c r="D453" s="77" t="s">
        <v>1868</v>
      </c>
      <c r="E453" s="77" t="s">
        <v>1651</v>
      </c>
      <c r="F453" s="166" t="str">
        <f>VLOOKUP(MP_registro[[#This Row],[TAG]],'DB-EQUIPOS GEN'!$C$11:$H$833,2,0)</f>
        <v>Faja 1008 - Tolva de retorno de bagazo</v>
      </c>
      <c r="G453" s="168" t="str">
        <f>VLOOKUP(MP_registro[[#This Row],[TAG]],'DB-EQUIPOS GEN'!$C$11:$H$833,3,0)</f>
        <v>E. TERMICA</v>
      </c>
      <c r="H453" s="168" t="str">
        <f>VLOOKUP(MP_registro[[#This Row],[TAG]],'DB-EQUIPOS GEN'!$C$11:$H$833,4,0)</f>
        <v>TRANSPORTE DE BAGAZO</v>
      </c>
      <c r="I453" s="168" t="str">
        <f>VLOOKUP(MP_registro[[#This Row],[TAG]],'DB-EQUIPOS GEN'!$C$11:$H$833,5,0)</f>
        <v>FAJA TRANSPORTADORA 1008</v>
      </c>
      <c r="J453" s="168" t="str">
        <f>VLOOKUP(MP_registro[[#This Row],[TAG]],'DB-EQUIPOS GEN'!$C$11:$H$833,6,0)</f>
        <v>0805CV100</v>
      </c>
      <c r="K453" s="68">
        <v>44742</v>
      </c>
      <c r="L453" s="65" t="s">
        <v>249</v>
      </c>
      <c r="M453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453" s="144" t="s">
        <v>1664</v>
      </c>
      <c r="O453" s="64" t="s">
        <v>1696</v>
      </c>
      <c r="Q453" s="42"/>
    </row>
    <row r="454" spans="1:17" ht="34.15" customHeight="1">
      <c r="A454" s="64">
        <v>453</v>
      </c>
      <c r="B454" s="77" t="s">
        <v>260</v>
      </c>
      <c r="C454" s="64" t="s">
        <v>1850</v>
      </c>
      <c r="D454" s="77" t="s">
        <v>1869</v>
      </c>
      <c r="E454" s="77" t="s">
        <v>1652</v>
      </c>
      <c r="F454" s="166" t="str">
        <f>VLOOKUP(MP_registro[[#This Row],[TAG]],'DB-EQUIPOS GEN'!$C$11:$H$833,2,0)</f>
        <v>Faja 1006A - Patio de Bagazo</v>
      </c>
      <c r="G454" s="168" t="str">
        <f>VLOOKUP(MP_registro[[#This Row],[TAG]],'DB-EQUIPOS GEN'!$C$11:$H$833,3,0)</f>
        <v>E. TERMICA</v>
      </c>
      <c r="H454" s="168" t="str">
        <f>VLOOKUP(MP_registro[[#This Row],[TAG]],'DB-EQUIPOS GEN'!$C$11:$H$833,4,0)</f>
        <v>TRANSPORTE DE BAGAZO</v>
      </c>
      <c r="I454" s="168" t="str">
        <f>VLOOKUP(MP_registro[[#This Row],[TAG]],'DB-EQUIPOS GEN'!$C$11:$H$833,5,0)</f>
        <v>FAJA TRANSPORTADORA 1006 A</v>
      </c>
      <c r="J454" s="168" t="str">
        <f>VLOOKUP(MP_registro[[#This Row],[TAG]],'DB-EQUIPOS GEN'!$C$11:$H$833,6,0)</f>
        <v>0805CV080</v>
      </c>
      <c r="K454" s="68">
        <v>44742</v>
      </c>
      <c r="L454" s="65" t="s">
        <v>249</v>
      </c>
      <c r="M454" s="77" t="str">
        <f>IF(MP_registro[[#This Row],[TURNO]]="G1",LISTAS!$E$5,IF(MP_registro[[#This Row],[TURNO]]="G2",LISTAS!$E$6,IF(MP_registro[[#This Row],[TURNO]]="G3",LISTAS!$E$7,IF(MP_registro[[#This Row],[TURNO]]="G4",LISTAS!$E$8,LISTAS!$E$9))))</f>
        <v>Jorge Sanchez / Yomar Chavez</v>
      </c>
      <c r="N454" s="144" t="s">
        <v>1664</v>
      </c>
      <c r="O454" s="64" t="s">
        <v>1696</v>
      </c>
      <c r="Q454" s="42"/>
    </row>
    <row r="455" spans="1:17" ht="34.15" customHeight="1">
      <c r="A455" s="65">
        <v>454</v>
      </c>
      <c r="B455" s="77" t="s">
        <v>1374</v>
      </c>
      <c r="C455" s="64" t="s">
        <v>1870</v>
      </c>
      <c r="D455" s="77" t="s">
        <v>1871</v>
      </c>
      <c r="E455" s="77" t="s">
        <v>1053</v>
      </c>
      <c r="F455" s="166" t="str">
        <f>VLOOKUP(MP_registro[[#This Row],[TAG]],'DB-EQUIPOS GEN'!$C$11:$H$833,2,0)</f>
        <v>Vañvulas de limpieza de parrilla 1</v>
      </c>
      <c r="G455" s="168" t="str">
        <f>VLOOKUP(MP_registro[[#This Row],[TAG]],'DB-EQUIPOS GEN'!$C$11:$H$833,3,0)</f>
        <v>E. TERMICA</v>
      </c>
      <c r="H455" s="168" t="str">
        <f>VLOOKUP(MP_registro[[#This Row],[TAG]],'DB-EQUIPOS GEN'!$C$11:$H$833,4,0)</f>
        <v>GENERACION DE VAPOR</v>
      </c>
      <c r="I455" s="168" t="str">
        <f>VLOOKUP(MP_registro[[#This Row],[TAG]],'DB-EQUIPOS GEN'!$C$11:$H$833,5,0)</f>
        <v>VALVULAS LIMPIEZA PARRILLAS</v>
      </c>
      <c r="J455" s="168" t="str">
        <f>VLOOKUP(MP_registro[[#This Row],[TAG]],'DB-EQUIPOS GEN'!$C$11:$H$833,6,0)</f>
        <v>0405CV010</v>
      </c>
      <c r="K455" s="68">
        <v>44743</v>
      </c>
      <c r="L455" s="65" t="s">
        <v>249</v>
      </c>
      <c r="M455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455" s="144" t="s">
        <v>1664</v>
      </c>
      <c r="O455" s="64" t="s">
        <v>1696</v>
      </c>
      <c r="Q455" s="42"/>
    </row>
    <row r="456" spans="1:17" ht="34.15" customHeight="1">
      <c r="A456" s="64">
        <v>455</v>
      </c>
      <c r="B456" s="77" t="s">
        <v>1374</v>
      </c>
      <c r="C456" s="64" t="s">
        <v>1870</v>
      </c>
      <c r="D456" s="77" t="s">
        <v>1872</v>
      </c>
      <c r="E456" s="77" t="s">
        <v>750</v>
      </c>
      <c r="F456" s="166" t="str">
        <f>VLOOKUP(MP_registro[[#This Row],[TAG]],'DB-EQUIPOS GEN'!$C$11:$H$833,2,0)</f>
        <v>Brix de masa B - Celda 1</v>
      </c>
      <c r="G456" s="168" t="str">
        <f>VLOOKUP(MP_registro[[#This Row],[TAG]],'DB-EQUIPOS GEN'!$C$11:$H$833,3,0)</f>
        <v>PRODUCCION</v>
      </c>
      <c r="H456" s="168" t="str">
        <f>VLOOKUP(MP_registro[[#This Row],[TAG]],'DB-EQUIPOS GEN'!$C$11:$H$833,4,0)</f>
        <v>CRISTALIZACION POR COCCION</v>
      </c>
      <c r="I456" s="168" t="str">
        <f>VLOOKUP(MP_registro[[#This Row],[TAG]],'DB-EQUIPOS GEN'!$C$11:$H$833,5,0)</f>
        <v xml:space="preserve">TACHO CONTINUO B </v>
      </c>
      <c r="J456" s="168" t="str">
        <f>VLOOKUP(MP_registro[[#This Row],[TAG]],'DB-EQUIPOS GEN'!$C$11:$H$833,6,0)</f>
        <v xml:space="preserve"> 0335HX230</v>
      </c>
      <c r="K456" s="68">
        <v>44743</v>
      </c>
      <c r="L456" s="65" t="s">
        <v>247</v>
      </c>
      <c r="M45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456" s="144" t="s">
        <v>1695</v>
      </c>
      <c r="O456" s="64" t="s">
        <v>1696</v>
      </c>
      <c r="Q456" s="42"/>
    </row>
    <row r="457" spans="1:17" ht="34.15" customHeight="1">
      <c r="A457" s="65">
        <v>456</v>
      </c>
      <c r="B457" s="77" t="s">
        <v>1374</v>
      </c>
      <c r="C457" s="64" t="s">
        <v>1870</v>
      </c>
      <c r="D457" s="77" t="s">
        <v>1873</v>
      </c>
      <c r="E457" s="77" t="s">
        <v>752</v>
      </c>
      <c r="F457" s="166" t="str">
        <f>VLOOKUP(MP_registro[[#This Row],[TAG]],'DB-EQUIPOS GEN'!$C$11:$H$833,2,0)</f>
        <v>Brix de masa B - Celda 2</v>
      </c>
      <c r="G457" s="168" t="str">
        <f>VLOOKUP(MP_registro[[#This Row],[TAG]],'DB-EQUIPOS GEN'!$C$11:$H$833,3,0)</f>
        <v>PRODUCCION</v>
      </c>
      <c r="H457" s="168" t="str">
        <f>VLOOKUP(MP_registro[[#This Row],[TAG]],'DB-EQUIPOS GEN'!$C$11:$H$833,4,0)</f>
        <v>CRISTALIZACION POR COCCION</v>
      </c>
      <c r="I457" s="168" t="str">
        <f>VLOOKUP(MP_registro[[#This Row],[TAG]],'DB-EQUIPOS GEN'!$C$11:$H$833,5,0)</f>
        <v xml:space="preserve">TACHO CONTINUO B </v>
      </c>
      <c r="J457" s="168" t="str">
        <f>VLOOKUP(MP_registro[[#This Row],[TAG]],'DB-EQUIPOS GEN'!$C$11:$H$833,6,0)</f>
        <v xml:space="preserve"> 0335HX230</v>
      </c>
      <c r="K457" s="68">
        <v>44743</v>
      </c>
      <c r="L457" s="65" t="s">
        <v>247</v>
      </c>
      <c r="M45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457" s="144" t="s">
        <v>1695</v>
      </c>
      <c r="O457" s="64" t="s">
        <v>1696</v>
      </c>
      <c r="Q457" s="42"/>
    </row>
    <row r="458" spans="1:17" ht="34.15" customHeight="1">
      <c r="A458" s="64">
        <v>457</v>
      </c>
      <c r="B458" s="77" t="s">
        <v>1374</v>
      </c>
      <c r="C458" s="64" t="s">
        <v>1870</v>
      </c>
      <c r="D458" s="77" t="s">
        <v>1874</v>
      </c>
      <c r="E458" s="77" t="s">
        <v>1644</v>
      </c>
      <c r="F458" s="166" t="str">
        <f>VLOOKUP(MP_registro[[#This Row],[TAG]],'DB-EQUIPOS GEN'!$C$11:$H$833,2,0)</f>
        <v>Explanada de Turbina Triveni</v>
      </c>
      <c r="G458" s="168" t="str">
        <f>VLOOKUP(MP_registro[[#This Row],[TAG]],'DB-EQUIPOS GEN'!$C$11:$H$833,3,0)</f>
        <v>E. ELECTRICA</v>
      </c>
      <c r="H458" s="168" t="str">
        <f>VLOOKUP(MP_registro[[#This Row],[TAG]],'DB-EQUIPOS GEN'!$C$11:$H$833,4,0)</f>
        <v>GENERACIÓN ENERG. ELEC. TURBO GENERADOR</v>
      </c>
      <c r="I458" s="168" t="str">
        <f>VLOOKUP(MP_registro[[#This Row],[TAG]],'DB-EQUIPOS GEN'!$C$11:$H$833,5,0)</f>
        <v>TURBOGENERADOR TRIVENI 23.2 MW</v>
      </c>
      <c r="J458" s="168" t="str">
        <f>VLOOKUP(MP_registro[[#This Row],[TAG]],'DB-EQUIPOS GEN'!$C$11:$H$833,6,0)</f>
        <v>0430TG020</v>
      </c>
      <c r="K458" s="68">
        <v>44743</v>
      </c>
      <c r="L458" s="65" t="s">
        <v>249</v>
      </c>
      <c r="M45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458" s="144" t="s">
        <v>1664</v>
      </c>
      <c r="O458" s="64" t="s">
        <v>1696</v>
      </c>
      <c r="Q458" s="42"/>
    </row>
    <row r="459" spans="1:17" ht="34.15" customHeight="1">
      <c r="A459" s="65">
        <v>458</v>
      </c>
      <c r="B459" s="77" t="s">
        <v>1374</v>
      </c>
      <c r="C459" s="64" t="s">
        <v>1870</v>
      </c>
      <c r="D459" s="77" t="s">
        <v>1875</v>
      </c>
      <c r="E459" s="77" t="s">
        <v>1646</v>
      </c>
      <c r="F459" s="166" t="str">
        <f>VLOOKUP(MP_registro[[#This Row],[TAG]],'DB-EQUIPOS GEN'!$C$11:$H$833,2,0)</f>
        <v>Segundo nivel de Turbina TGM</v>
      </c>
      <c r="G459" s="168" t="str">
        <f>VLOOKUP(MP_registro[[#This Row],[TAG]],'DB-EQUIPOS GEN'!$C$11:$H$833,3,0)</f>
        <v>E. ELECTRICA</v>
      </c>
      <c r="H459" s="168" t="str">
        <f>VLOOKUP(MP_registro[[#This Row],[TAG]],'DB-EQUIPOS GEN'!$C$11:$H$833,4,0)</f>
        <v>SISTEMA DE ENFRIAMIENTO</v>
      </c>
      <c r="I459" s="168" t="str">
        <f>VLOOKUP(MP_registro[[#This Row],[TAG]],'DB-EQUIPOS GEN'!$C$11:$H$833,5,0)</f>
        <v>TORRE DE ENFRIAMIENTO MARLEY - TG TGM</v>
      </c>
      <c r="J459" s="168" t="str">
        <f>VLOOKUP(MP_registro[[#This Row],[TAG]],'DB-EQUIPOS GEN'!$C$11:$H$833,6,0)</f>
        <v>0430CT050</v>
      </c>
      <c r="K459" s="68">
        <v>44743</v>
      </c>
      <c r="L459" s="65" t="s">
        <v>249</v>
      </c>
      <c r="M45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459" s="144" t="s">
        <v>1664</v>
      </c>
      <c r="O459" s="64" t="s">
        <v>1696</v>
      </c>
      <c r="Q459" s="42"/>
    </row>
    <row r="460" spans="1:17" ht="34.15" customHeight="1">
      <c r="A460" s="64">
        <v>459</v>
      </c>
      <c r="B460" s="77" t="s">
        <v>1374</v>
      </c>
      <c r="C460" s="64" t="s">
        <v>1870</v>
      </c>
      <c r="D460" s="77" t="s">
        <v>1876</v>
      </c>
      <c r="E460" s="77" t="s">
        <v>1647</v>
      </c>
      <c r="F460" s="166" t="str">
        <f>VLOOKUP(MP_registro[[#This Row],[TAG]],'DB-EQUIPOS GEN'!$C$11:$H$833,2,0)</f>
        <v>Explanada frontal de Turbina Triveni</v>
      </c>
      <c r="G460" s="168" t="str">
        <f>VLOOKUP(MP_registro[[#This Row],[TAG]],'DB-EQUIPOS GEN'!$C$11:$H$833,3,0)</f>
        <v>E. ELECTRICA</v>
      </c>
      <c r="H460" s="168" t="str">
        <f>VLOOKUP(MP_registro[[#This Row],[TAG]],'DB-EQUIPOS GEN'!$C$11:$H$833,4,0)</f>
        <v>GENERACIÓN ENERG. ELEC. TURBO GENERADOR</v>
      </c>
      <c r="I460" s="168" t="str">
        <f>VLOOKUP(MP_registro[[#This Row],[TAG]],'DB-EQUIPOS GEN'!$C$11:$H$833,5,0)</f>
        <v>TURBOGENERADOR TRIVENI 23.2 MW</v>
      </c>
      <c r="J460" s="168" t="str">
        <f>VLOOKUP(MP_registro[[#This Row],[TAG]],'DB-EQUIPOS GEN'!$C$11:$H$833,6,0)</f>
        <v>0430TG020</v>
      </c>
      <c r="K460" s="68">
        <v>44743</v>
      </c>
      <c r="L460" s="65" t="s">
        <v>249</v>
      </c>
      <c r="M46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460" s="144" t="s">
        <v>1664</v>
      </c>
      <c r="O460" s="64" t="s">
        <v>1696</v>
      </c>
      <c r="Q460" s="42"/>
    </row>
    <row r="461" spans="1:17" ht="34.15" customHeight="1">
      <c r="A461" s="65">
        <v>460</v>
      </c>
      <c r="B461" s="77" t="s">
        <v>1374</v>
      </c>
      <c r="C461" s="64" t="s">
        <v>1870</v>
      </c>
      <c r="D461" s="77" t="s">
        <v>1877</v>
      </c>
      <c r="E461" s="77" t="s">
        <v>1650</v>
      </c>
      <c r="F461" s="166" t="str">
        <f>VLOOKUP(MP_registro[[#This Row],[TAG]],'DB-EQUIPOS GEN'!$C$11:$H$833,2,0)</f>
        <v>Faja 1003 - Conductor distribuidor de bagazo</v>
      </c>
      <c r="G461" s="168" t="str">
        <f>VLOOKUP(MP_registro[[#This Row],[TAG]],'DB-EQUIPOS GEN'!$C$11:$H$833,3,0)</f>
        <v>E. TERMICA</v>
      </c>
      <c r="H461" s="168" t="str">
        <f>VLOOKUP(MP_registro[[#This Row],[TAG]],'DB-EQUIPOS GEN'!$C$11:$H$833,4,0)</f>
        <v>TRANSPORTE DE BAGAZO</v>
      </c>
      <c r="I461" s="168" t="str">
        <f>VLOOKUP(MP_registro[[#This Row],[TAG]],'DB-EQUIPOS GEN'!$C$11:$H$833,5,0)</f>
        <v>TRANSPORTADOR DE BAGAZO 1003</v>
      </c>
      <c r="J461" s="168" t="str">
        <f>VLOOKUP(MP_registro[[#This Row],[TAG]],'DB-EQUIPOS GEN'!$C$11:$H$833,6,0)</f>
        <v>0805CV060</v>
      </c>
      <c r="K461" s="68">
        <v>44743</v>
      </c>
      <c r="L461" s="65" t="s">
        <v>249</v>
      </c>
      <c r="M46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461" s="144" t="s">
        <v>1664</v>
      </c>
      <c r="O461" s="64" t="s">
        <v>1696</v>
      </c>
      <c r="Q461" s="42"/>
    </row>
    <row r="462" spans="1:17" ht="34.15" customHeight="1">
      <c r="A462" s="64">
        <v>461</v>
      </c>
      <c r="B462" s="77" t="s">
        <v>1374</v>
      </c>
      <c r="C462" s="64" t="s">
        <v>1870</v>
      </c>
      <c r="D462" s="77" t="s">
        <v>1878</v>
      </c>
      <c r="E462" s="77" t="s">
        <v>1654</v>
      </c>
      <c r="F462" s="166" t="str">
        <f>VLOOKUP(MP_registro[[#This Row],[TAG]],'DB-EQUIPOS GEN'!$C$11:$H$833,2,0)</f>
        <v>Vista global de sala turbina TGM</v>
      </c>
      <c r="G462" s="168" t="str">
        <f>VLOOKUP(MP_registro[[#This Row],[TAG]],'DB-EQUIPOS GEN'!$C$11:$H$833,3,0)</f>
        <v>E. ELECTRICA</v>
      </c>
      <c r="H462" s="168" t="str">
        <f>VLOOKUP(MP_registro[[#This Row],[TAG]],'DB-EQUIPOS GEN'!$C$11:$H$833,4,0)</f>
        <v>SISTEMA DE ENFRIAMIENTO</v>
      </c>
      <c r="I462" s="168" t="str">
        <f>VLOOKUP(MP_registro[[#This Row],[TAG]],'DB-EQUIPOS GEN'!$C$11:$H$833,5,0)</f>
        <v>TORRE DE ENFRIAMIENTO MARLEY - TG TGM</v>
      </c>
      <c r="J462" s="168" t="str">
        <f>VLOOKUP(MP_registro[[#This Row],[TAG]],'DB-EQUIPOS GEN'!$C$11:$H$833,6,0)</f>
        <v>0430CT050</v>
      </c>
      <c r="K462" s="68">
        <v>44743</v>
      </c>
      <c r="L462" s="65" t="s">
        <v>247</v>
      </c>
      <c r="M46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462" s="144" t="s">
        <v>13</v>
      </c>
      <c r="O462" s="64" t="s">
        <v>1696</v>
      </c>
      <c r="Q462" s="42"/>
    </row>
    <row r="463" spans="1:17" ht="34.15" customHeight="1">
      <c r="A463" s="65">
        <v>462</v>
      </c>
      <c r="B463" s="77" t="s">
        <v>1374</v>
      </c>
      <c r="C463" s="64" t="s">
        <v>1870</v>
      </c>
      <c r="D463" s="77" t="s">
        <v>1879</v>
      </c>
      <c r="E463" s="77" t="s">
        <v>1054</v>
      </c>
      <c r="F463" s="166" t="str">
        <f>VLOOKUP(MP_registro[[#This Row],[TAG]],'DB-EQUIPOS GEN'!$C$11:$H$833,2,0)</f>
        <v>Vañvulas de limpieza de parrilla 2</v>
      </c>
      <c r="G463" s="168" t="str">
        <f>VLOOKUP(MP_registro[[#This Row],[TAG]],'DB-EQUIPOS GEN'!$C$11:$H$833,3,0)</f>
        <v>E. TERMICA</v>
      </c>
      <c r="H463" s="168" t="str">
        <f>VLOOKUP(MP_registro[[#This Row],[TAG]],'DB-EQUIPOS GEN'!$C$11:$H$833,4,0)</f>
        <v>GENERACION DE VAPOR</v>
      </c>
      <c r="I463" s="168" t="str">
        <f>VLOOKUP(MP_registro[[#This Row],[TAG]],'DB-EQUIPOS GEN'!$C$11:$H$833,5,0)</f>
        <v>VALVULAS LIMPIEZA PARRILLAS</v>
      </c>
      <c r="J463" s="168" t="str">
        <f>VLOOKUP(MP_registro[[#This Row],[TAG]],'DB-EQUIPOS GEN'!$C$11:$H$833,6,0)</f>
        <v>0405CV010</v>
      </c>
      <c r="K463" s="68">
        <v>44744</v>
      </c>
      <c r="L463" s="65" t="s">
        <v>249</v>
      </c>
      <c r="M46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463" s="144" t="s">
        <v>1664</v>
      </c>
      <c r="O463" s="64" t="s">
        <v>1696</v>
      </c>
      <c r="Q463" s="42"/>
    </row>
    <row r="464" spans="1:17" ht="34.15" customHeight="1">
      <c r="A464" s="64">
        <v>463</v>
      </c>
      <c r="B464" s="77" t="s">
        <v>1374</v>
      </c>
      <c r="C464" s="64" t="s">
        <v>1870</v>
      </c>
      <c r="D464" s="77" t="s">
        <v>1880</v>
      </c>
      <c r="E464" s="77" t="s">
        <v>1643</v>
      </c>
      <c r="F464" s="166" t="str">
        <f>VLOOKUP(MP_registro[[#This Row],[TAG]],'DB-EQUIPOS GEN'!$C$11:$H$833,2,0)</f>
        <v>Nivelador de cama de bagazo en difusor</v>
      </c>
      <c r="G464" s="168" t="str">
        <f>VLOOKUP(MP_registro[[#This Row],[TAG]],'DB-EQUIPOS GEN'!$C$11:$H$833,3,0)</f>
        <v>EXTRACCION</v>
      </c>
      <c r="H464" s="168" t="str">
        <f>VLOOKUP(MP_registro[[#This Row],[TAG]],'DB-EQUIPOS GEN'!$C$11:$H$833,4,0)</f>
        <v>DIFUSOR</v>
      </c>
      <c r="I464" s="168" t="str">
        <f>VLOOKUP(MP_registro[[#This Row],[TAG]],'DB-EQUIPOS GEN'!$C$11:$H$833,5,0)</f>
        <v>CONDUCTOR TRANSVERSAL</v>
      </c>
      <c r="J464" s="168" t="str">
        <f>VLOOKUP(MP_registro[[#This Row],[TAG]],'DB-EQUIPOS GEN'!$C$11:$H$833,6,0)</f>
        <v>0205CV190</v>
      </c>
      <c r="K464" s="68">
        <v>44744</v>
      </c>
      <c r="L464" s="65" t="s">
        <v>249</v>
      </c>
      <c r="M46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464" s="144" t="s">
        <v>1664</v>
      </c>
      <c r="O464" s="64" t="s">
        <v>1696</v>
      </c>
      <c r="Q464" s="42"/>
    </row>
    <row r="465" spans="1:17" ht="34.15" customHeight="1">
      <c r="A465" s="65">
        <v>464</v>
      </c>
      <c r="B465" s="77" t="s">
        <v>1374</v>
      </c>
      <c r="C465" s="64" t="s">
        <v>1870</v>
      </c>
      <c r="D465" s="77" t="s">
        <v>1881</v>
      </c>
      <c r="E465" s="77" t="s">
        <v>1645</v>
      </c>
      <c r="F465" s="166" t="str">
        <f>VLOOKUP(MP_registro[[#This Row],[TAG]],'DB-EQUIPOS GEN'!$C$11:$H$833,2,0)</f>
        <v>Tamiz rotativo</v>
      </c>
      <c r="G465" s="168" t="str">
        <f>VLOOKUP(MP_registro[[#This Row],[TAG]],'DB-EQUIPOS GEN'!$C$11:$H$833,3,0)</f>
        <v>EXTRACCION</v>
      </c>
      <c r="H465" s="168" t="str">
        <f>VLOOKUP(MP_registro[[#This Row],[TAG]],'DB-EQUIPOS GEN'!$C$11:$H$833,4,0)</f>
        <v>DIFUSOR</v>
      </c>
      <c r="I465" s="168" t="str">
        <f>VLOOKUP(MP_registro[[#This Row],[TAG]],'DB-EQUIPOS GEN'!$C$11:$H$833,5,0)</f>
        <v>TAMIZ ROTATIVO</v>
      </c>
      <c r="J465" s="168" t="str">
        <f>VLOOKUP(MP_registro[[#This Row],[TAG]],'DB-EQUIPOS GEN'!$C$11:$H$833,6,0)</f>
        <v>0305FL010</v>
      </c>
      <c r="K465" s="68">
        <v>44744</v>
      </c>
      <c r="L465" s="65" t="s">
        <v>249</v>
      </c>
      <c r="M465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465" s="144" t="s">
        <v>1664</v>
      </c>
      <c r="O465" s="64" t="s">
        <v>1696</v>
      </c>
      <c r="Q465" s="42"/>
    </row>
    <row r="466" spans="1:17" ht="34.15" customHeight="1">
      <c r="A466" s="64">
        <v>465</v>
      </c>
      <c r="B466" s="77" t="s">
        <v>1374</v>
      </c>
      <c r="C466" s="64" t="s">
        <v>1870</v>
      </c>
      <c r="D466" s="77" t="s">
        <v>1882</v>
      </c>
      <c r="E466" s="77" t="s">
        <v>1055</v>
      </c>
      <c r="F466" s="166" t="str">
        <f>VLOOKUP(MP_registro[[#This Row],[TAG]],'DB-EQUIPOS GEN'!$C$11:$H$833,2,0)</f>
        <v>Vañvulas de limpieza de parrilla 3</v>
      </c>
      <c r="G466" s="168" t="str">
        <f>VLOOKUP(MP_registro[[#This Row],[TAG]],'DB-EQUIPOS GEN'!$C$11:$H$833,3,0)</f>
        <v>E. TERMICA</v>
      </c>
      <c r="H466" s="168" t="str">
        <f>VLOOKUP(MP_registro[[#This Row],[TAG]],'DB-EQUIPOS GEN'!$C$11:$H$833,4,0)</f>
        <v>GENERACION DE VAPOR</v>
      </c>
      <c r="I466" s="168" t="str">
        <f>VLOOKUP(MP_registro[[#This Row],[TAG]],'DB-EQUIPOS GEN'!$C$11:$H$833,5,0)</f>
        <v>VALVULAS LIMPIEZA PARRILLAS</v>
      </c>
      <c r="J466" s="168" t="str">
        <f>VLOOKUP(MP_registro[[#This Row],[TAG]],'DB-EQUIPOS GEN'!$C$11:$H$833,6,0)</f>
        <v>0405CV010</v>
      </c>
      <c r="K466" s="68">
        <v>44745</v>
      </c>
      <c r="L466" s="65" t="s">
        <v>249</v>
      </c>
      <c r="M46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466" s="144" t="s">
        <v>1664</v>
      </c>
      <c r="O466" s="64" t="s">
        <v>1696</v>
      </c>
      <c r="Q466" s="42"/>
    </row>
    <row r="467" spans="1:17" ht="34.15" customHeight="1">
      <c r="A467" s="65">
        <v>466</v>
      </c>
      <c r="B467" s="77" t="s">
        <v>1374</v>
      </c>
      <c r="C467" s="64" t="s">
        <v>1870</v>
      </c>
      <c r="D467" s="77" t="s">
        <v>1883</v>
      </c>
      <c r="E467" s="155" t="s">
        <v>1694</v>
      </c>
      <c r="F467" s="166" t="str">
        <f>VLOOKUP(MP_registro[[#This Row],[TAG]],'DB-EQUIPOS GEN'!$C$11:$H$833,2,0)</f>
        <v>Aire Instrumentacion p/ Caldera</v>
      </c>
      <c r="G467" s="168" t="str">
        <f>VLOOKUP(MP_registro[[#This Row],[TAG]],'DB-EQUIPOS GEN'!$C$11:$H$833,3,0)</f>
        <v>E. ELECTRICA</v>
      </c>
      <c r="H467" s="168" t="str">
        <f>VLOOKUP(MP_registro[[#This Row],[TAG]],'DB-EQUIPOS GEN'!$C$11:$H$833,4,0)</f>
        <v>GENERACION ENERG. ELEC. TURBO GENERADOR</v>
      </c>
      <c r="I467" s="168" t="str">
        <f>VLOOKUP(MP_registro[[#This Row],[TAG]],'DB-EQUIPOS GEN'!$C$11:$H$833,5,0)</f>
        <v/>
      </c>
      <c r="J467" s="168" t="str">
        <f>VLOOKUP(MP_registro[[#This Row],[TAG]],'DB-EQUIPOS GEN'!$C$11:$H$833,6,0)</f>
        <v/>
      </c>
      <c r="K467" s="68">
        <v>44745</v>
      </c>
      <c r="L467" s="65" t="s">
        <v>249</v>
      </c>
      <c r="M467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467" s="144" t="s">
        <v>1664</v>
      </c>
      <c r="O467" s="64" t="s">
        <v>1696</v>
      </c>
      <c r="Q467" s="42"/>
    </row>
    <row r="468" spans="1:17" ht="34.15" customHeight="1">
      <c r="A468" s="64">
        <v>467</v>
      </c>
      <c r="B468" s="77" t="s">
        <v>1374</v>
      </c>
      <c r="C468" s="64" t="s">
        <v>1870</v>
      </c>
      <c r="D468" s="77" t="s">
        <v>1884</v>
      </c>
      <c r="E468" s="164" t="s">
        <v>2416</v>
      </c>
      <c r="F468" s="166" t="str">
        <f>VLOOKUP(MP_registro[[#This Row],[TAG]],'DB-EQUIPOS GEN'!$C$11:$H$833,2,0)</f>
        <v>Vista Conductor Auxiliar - Superior</v>
      </c>
      <c r="G468" s="168" t="str">
        <f>VLOOKUP(MP_registro[[#This Row],[TAG]],'DB-EQUIPOS GEN'!$C$11:$H$833,3,0)</f>
        <v>EXTRACCION</v>
      </c>
      <c r="H468" s="168" t="str">
        <f>VLOOKUP(MP_registro[[#This Row],[TAG]],'DB-EQUIPOS GEN'!$C$11:$H$833,4,0)</f>
        <v>PREPARACIÓN DE CAÑA</v>
      </c>
      <c r="I468" s="168" t="str">
        <f>VLOOKUP(MP_registro[[#This Row],[TAG]],'DB-EQUIPOS GEN'!$C$11:$H$833,5,0)</f>
        <v>CONDUCTOR AUXILIAR DE CAÑA</v>
      </c>
      <c r="J468" s="168" t="str">
        <f>VLOOKUP(MP_registro[[#This Row],[TAG]],'DB-EQUIPOS GEN'!$C$11:$H$833,6,0)</f>
        <v>0115CV010</v>
      </c>
      <c r="K468" s="68">
        <v>44745</v>
      </c>
      <c r="L468" s="65" t="s">
        <v>249</v>
      </c>
      <c r="M46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468" s="144" t="s">
        <v>1664</v>
      </c>
      <c r="O468" s="64" t="s">
        <v>1696</v>
      </c>
      <c r="Q468" s="42"/>
    </row>
    <row r="469" spans="1:17" ht="34.15" customHeight="1">
      <c r="A469" s="65">
        <v>468</v>
      </c>
      <c r="B469" s="77" t="s">
        <v>1374</v>
      </c>
      <c r="C469" s="64" t="s">
        <v>1870</v>
      </c>
      <c r="D469" s="77" t="s">
        <v>1885</v>
      </c>
      <c r="E469" s="164" t="s">
        <v>2406</v>
      </c>
      <c r="F469" s="166" t="str">
        <f>VLOOKUP(MP_registro[[#This Row],[TAG]],'DB-EQUIPOS GEN'!$C$11:$H$833,2,0)</f>
        <v>Vista Mesa de Caña - Descarga de Tetras</v>
      </c>
      <c r="G469" s="168" t="str">
        <f>VLOOKUP(MP_registro[[#This Row],[TAG]],'DB-EQUIPOS GEN'!$C$11:$H$833,3,0)</f>
        <v>EXTRACCION</v>
      </c>
      <c r="H469" s="168" t="str">
        <f>VLOOKUP(MP_registro[[#This Row],[TAG]],'DB-EQUIPOS GEN'!$C$11:$H$833,4,0)</f>
        <v>RECEPCIÓN DE CAÑA</v>
      </c>
      <c r="I469" s="168" t="str">
        <f>VLOOKUP(MP_registro[[#This Row],[TAG]],'DB-EQUIPOS GEN'!$C$11:$H$833,5,0)</f>
        <v>MESA DE CAÑA</v>
      </c>
      <c r="J469" s="168" t="str">
        <f>VLOOKUP(MP_registro[[#This Row],[TAG]],'DB-EQUIPOS GEN'!$C$11:$H$833,6,0)</f>
        <v>0110FE019</v>
      </c>
      <c r="K469" s="68">
        <v>44745</v>
      </c>
      <c r="L469" s="65" t="s">
        <v>249</v>
      </c>
      <c r="M46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469" s="144" t="s">
        <v>1664</v>
      </c>
      <c r="O469" s="64" t="s">
        <v>1696</v>
      </c>
      <c r="Q469" s="42"/>
    </row>
    <row r="470" spans="1:17" ht="34.15" customHeight="1">
      <c r="A470" s="64">
        <v>469</v>
      </c>
      <c r="B470" s="77" t="s">
        <v>1374</v>
      </c>
      <c r="C470" s="64" t="s">
        <v>1870</v>
      </c>
      <c r="D470" s="77" t="s">
        <v>1886</v>
      </c>
      <c r="E470" s="77" t="s">
        <v>1056</v>
      </c>
      <c r="F470" s="166" t="str">
        <f>VLOOKUP(MP_registro[[#This Row],[TAG]],'DB-EQUIPOS GEN'!$C$11:$H$833,2,0)</f>
        <v>Vañvulas de limpieza de parrilla 4</v>
      </c>
      <c r="G470" s="168" t="str">
        <f>VLOOKUP(MP_registro[[#This Row],[TAG]],'DB-EQUIPOS GEN'!$C$11:$H$833,3,0)</f>
        <v>E. TERMICA</v>
      </c>
      <c r="H470" s="168" t="str">
        <f>VLOOKUP(MP_registro[[#This Row],[TAG]],'DB-EQUIPOS GEN'!$C$11:$H$833,4,0)</f>
        <v>GENERACION DE VAPOR</v>
      </c>
      <c r="I470" s="168" t="str">
        <f>VLOOKUP(MP_registro[[#This Row],[TAG]],'DB-EQUIPOS GEN'!$C$11:$H$833,5,0)</f>
        <v>VALVULAS LIMPIEZA PARRILLAS</v>
      </c>
      <c r="J470" s="168" t="str">
        <f>VLOOKUP(MP_registro[[#This Row],[TAG]],'DB-EQUIPOS GEN'!$C$11:$H$833,6,0)</f>
        <v>0405CV010</v>
      </c>
      <c r="K470" s="68">
        <v>44746</v>
      </c>
      <c r="L470" s="65" t="s">
        <v>249</v>
      </c>
      <c r="M47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470" s="144" t="s">
        <v>1664</v>
      </c>
      <c r="O470" s="64" t="s">
        <v>1696</v>
      </c>
      <c r="Q470" s="42"/>
    </row>
    <row r="471" spans="1:17" ht="34.15" customHeight="1">
      <c r="A471" s="65">
        <v>470</v>
      </c>
      <c r="B471" s="77" t="s">
        <v>1374</v>
      </c>
      <c r="C471" s="64" t="s">
        <v>1870</v>
      </c>
      <c r="D471" s="77" t="s">
        <v>1887</v>
      </c>
      <c r="E471" s="77" t="s">
        <v>1640</v>
      </c>
      <c r="F471" s="166" t="str">
        <f>VLOOKUP(MP_registro[[#This Row],[TAG]],'DB-EQUIPOS GEN'!$C$11:$H$833,2,0)</f>
        <v>Conductor de alimentación a difusor y retorno</v>
      </c>
      <c r="G471" s="168" t="str">
        <f>VLOOKUP(MP_registro[[#This Row],[TAG]],'DB-EQUIPOS GEN'!$C$11:$H$833,3,0)</f>
        <v>EXTRACCION</v>
      </c>
      <c r="H471" s="168" t="str">
        <f>VLOOKUP(MP_registro[[#This Row],[TAG]],'DB-EQUIPOS GEN'!$C$11:$H$833,4,0)</f>
        <v>PREPARACIÓN DE CAÑA</v>
      </c>
      <c r="I471" s="168" t="str">
        <f>VLOOKUP(MP_registro[[#This Row],[TAG]],'DB-EQUIPOS GEN'!$C$11:$H$833,5,0)</f>
        <v>CONDUCTOR DE RETORNO</v>
      </c>
      <c r="J471" s="168" t="str">
        <f>VLOOKUP(MP_registro[[#This Row],[TAG]],'DB-EQUIPOS GEN'!$C$11:$H$833,6,0)</f>
        <v>0115CV090</v>
      </c>
      <c r="K471" s="68">
        <v>44746</v>
      </c>
      <c r="L471" s="65" t="s">
        <v>247</v>
      </c>
      <c r="M47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471" s="144" t="s">
        <v>1664</v>
      </c>
      <c r="O471" s="64" t="s">
        <v>1696</v>
      </c>
      <c r="Q471" s="42"/>
    </row>
    <row r="472" spans="1:17" ht="34.15" customHeight="1">
      <c r="A472" s="64">
        <v>471</v>
      </c>
      <c r="B472" s="77" t="s">
        <v>1374</v>
      </c>
      <c r="C472" s="64" t="s">
        <v>1870</v>
      </c>
      <c r="D472" s="77" t="s">
        <v>1888</v>
      </c>
      <c r="E472" s="77" t="s">
        <v>1641</v>
      </c>
      <c r="F472" s="166" t="str">
        <f>VLOOKUP(MP_registro[[#This Row],[TAG]],'DB-EQUIPOS GEN'!$C$11:$H$833,2,0)</f>
        <v>Mesa de caña</v>
      </c>
      <c r="G472" s="168" t="str">
        <f>VLOOKUP(MP_registro[[#This Row],[TAG]],'DB-EQUIPOS GEN'!$C$11:$H$833,3,0)</f>
        <v>EXTRACCION</v>
      </c>
      <c r="H472" s="168" t="str">
        <f>VLOOKUP(MP_registro[[#This Row],[TAG]],'DB-EQUIPOS GEN'!$C$11:$H$833,4,0)</f>
        <v>RECEPCIÓN DE CAÑA</v>
      </c>
      <c r="I472" s="168" t="str">
        <f>VLOOKUP(MP_registro[[#This Row],[TAG]],'DB-EQUIPOS GEN'!$C$11:$H$833,5,0)</f>
        <v>MESA DE CAÑA</v>
      </c>
      <c r="J472" s="168" t="str">
        <f>VLOOKUP(MP_registro[[#This Row],[TAG]],'DB-EQUIPOS GEN'!$C$11:$H$833,6,0)</f>
        <v>0110FE019</v>
      </c>
      <c r="K472" s="68">
        <v>44746</v>
      </c>
      <c r="L472" s="65" t="s">
        <v>247</v>
      </c>
      <c r="M47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472" s="144" t="s">
        <v>1664</v>
      </c>
      <c r="O472" s="64" t="s">
        <v>1696</v>
      </c>
      <c r="Q472" s="42"/>
    </row>
    <row r="473" spans="1:17" ht="34.15" customHeight="1">
      <c r="A473" s="65">
        <v>472</v>
      </c>
      <c r="B473" s="77" t="s">
        <v>1374</v>
      </c>
      <c r="C473" s="64" t="s">
        <v>1870</v>
      </c>
      <c r="D473" s="77" t="s">
        <v>1889</v>
      </c>
      <c r="E473" s="77" t="s">
        <v>1653</v>
      </c>
      <c r="F473" s="166" t="str">
        <f>VLOOKUP(MP_registro[[#This Row],[TAG]],'DB-EQUIPOS GEN'!$C$11:$H$833,2,0)</f>
        <v>Operación del desviador de bagazo</v>
      </c>
      <c r="G473" s="168" t="str">
        <f>VLOOKUP(MP_registro[[#This Row],[TAG]],'DB-EQUIPOS GEN'!$C$11:$H$833,3,0)</f>
        <v>E. TERMICA</v>
      </c>
      <c r="H473" s="168" t="str">
        <f>VLOOKUP(MP_registro[[#This Row],[TAG]],'DB-EQUIPOS GEN'!$C$11:$H$833,4,0)</f>
        <v>TRANSPORTE DE BAGAZO</v>
      </c>
      <c r="I473" s="168" t="str">
        <f>VLOOKUP(MP_registro[[#This Row],[TAG]],'DB-EQUIPOS GEN'!$C$11:$H$833,5,0)</f>
        <v>FAJA TRANSPORTADORA 1004</v>
      </c>
      <c r="J473" s="168" t="str">
        <f>VLOOKUP(MP_registro[[#This Row],[TAG]],'DB-EQUIPOS GEN'!$C$11:$H$833,6,0)</f>
        <v>0805CV070</v>
      </c>
      <c r="K473" s="68">
        <v>44746</v>
      </c>
      <c r="L473" s="65" t="s">
        <v>247</v>
      </c>
      <c r="M473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473" s="144" t="s">
        <v>1664</v>
      </c>
      <c r="O473" s="64" t="s">
        <v>1696</v>
      </c>
      <c r="Q473" s="42"/>
    </row>
    <row r="474" spans="1:17" ht="34.15" customHeight="1">
      <c r="A474" s="64">
        <v>473</v>
      </c>
      <c r="B474" s="77" t="s">
        <v>1374</v>
      </c>
      <c r="C474" s="64" t="s">
        <v>1870</v>
      </c>
      <c r="D474" s="77" t="s">
        <v>1890</v>
      </c>
      <c r="E474" s="77" t="s">
        <v>1057</v>
      </c>
      <c r="F474" s="166" t="str">
        <f>VLOOKUP(MP_registro[[#This Row],[TAG]],'DB-EQUIPOS GEN'!$C$11:$H$833,2,0)</f>
        <v>Vañvulas de limpieza de parrilla 5</v>
      </c>
      <c r="G474" s="168" t="str">
        <f>VLOOKUP(MP_registro[[#This Row],[TAG]],'DB-EQUIPOS GEN'!$C$11:$H$833,3,0)</f>
        <v>E. TERMICA</v>
      </c>
      <c r="H474" s="168" t="str">
        <f>VLOOKUP(MP_registro[[#This Row],[TAG]],'DB-EQUIPOS GEN'!$C$11:$H$833,4,0)</f>
        <v>GENERACION DE VAPOR</v>
      </c>
      <c r="I474" s="168" t="str">
        <f>VLOOKUP(MP_registro[[#This Row],[TAG]],'DB-EQUIPOS GEN'!$C$11:$H$833,5,0)</f>
        <v>VALVULAS LIMPIEZA PARRILLAS</v>
      </c>
      <c r="J474" s="168" t="str">
        <f>VLOOKUP(MP_registro[[#This Row],[TAG]],'DB-EQUIPOS GEN'!$C$11:$H$833,6,0)</f>
        <v>0405CV010</v>
      </c>
      <c r="K474" s="68">
        <v>44747</v>
      </c>
      <c r="L474" s="65" t="s">
        <v>249</v>
      </c>
      <c r="M47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474" s="144" t="s">
        <v>1664</v>
      </c>
      <c r="O474" s="64" t="s">
        <v>1696</v>
      </c>
      <c r="Q474" s="42"/>
    </row>
    <row r="475" spans="1:17" ht="34.15" customHeight="1">
      <c r="A475" s="65">
        <v>474</v>
      </c>
      <c r="B475" s="77" t="s">
        <v>1374</v>
      </c>
      <c r="C475" s="64" t="s">
        <v>1870</v>
      </c>
      <c r="D475" s="77" t="s">
        <v>1891</v>
      </c>
      <c r="E475" s="77" t="s">
        <v>1334</v>
      </c>
      <c r="F475" s="166" t="str">
        <f>VLOOKUP(MP_registro[[#This Row],[TAG]],'DB-EQUIPOS GEN'!$C$11:$H$833,2,0)</f>
        <v>Tablero de controladores de red Profibus DP</v>
      </c>
      <c r="G475" s="168" t="str">
        <f>VLOOKUP(MP_registro[[#This Row],[TAG]],'DB-EQUIPOS GEN'!$C$11:$H$833,3,0)</f>
        <v>E. ELECTRICA</v>
      </c>
      <c r="H475" s="168" t="str">
        <f>VLOOKUP(MP_registro[[#This Row],[TAG]],'DB-EQUIPOS GEN'!$C$11:$H$833,4,0)</f>
        <v>SISTEMA DE CONTROL DISTRIBUIDO</v>
      </c>
      <c r="I475" s="168" t="str">
        <f>VLOOKUP(MP_registro[[#This Row],[TAG]],'DB-EQUIPOS GEN'!$C$11:$H$833,5,0)</f>
        <v>SISTEMA DE CONTROL DISTRIBUIDO</v>
      </c>
      <c r="J475" s="168" t="str">
        <f>VLOOKUP(MP_registro[[#This Row],[TAG]],'DB-EQUIPOS GEN'!$C$11:$H$833,6,0)</f>
        <v>DCS</v>
      </c>
      <c r="K475" s="68">
        <v>44747</v>
      </c>
      <c r="L475" s="65" t="s">
        <v>248</v>
      </c>
      <c r="M475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475" s="144" t="s">
        <v>1664</v>
      </c>
      <c r="O475" s="64" t="s">
        <v>1696</v>
      </c>
      <c r="Q475" s="42"/>
    </row>
    <row r="476" spans="1:17" ht="34.15" customHeight="1">
      <c r="A476" s="64">
        <v>475</v>
      </c>
      <c r="B476" s="77" t="s">
        <v>1374</v>
      </c>
      <c r="C476" s="64" t="s">
        <v>1870</v>
      </c>
      <c r="D476" s="77" t="s">
        <v>1892</v>
      </c>
      <c r="E476" s="77" t="s">
        <v>1659</v>
      </c>
      <c r="F476" s="166" t="str">
        <f>VLOOKUP(MP_registro[[#This Row],[TAG]],'DB-EQUIPOS GEN'!$C$11:$H$833,2,0)</f>
        <v>Vista global de tanques de jarabe 1,2 y 3</v>
      </c>
      <c r="G476" s="168" t="str">
        <f>VLOOKUP(MP_registro[[#This Row],[TAG]],'DB-EQUIPOS GEN'!$C$11:$H$833,3,0)</f>
        <v>PRODUCCION</v>
      </c>
      <c r="H476" s="168" t="str">
        <f>VLOOKUP(MP_registro[[#This Row],[TAG]],'DB-EQUIPOS GEN'!$C$11:$H$833,4,0)</f>
        <v>CRISTALIZACIÓN POR COCCIÓN</v>
      </c>
      <c r="I476" s="168" t="str">
        <f>VLOOKUP(MP_registro[[#This Row],[TAG]],'DB-EQUIPOS GEN'!$C$11:$H$833,5,0)</f>
        <v>TANQUE DE JARABE 1</v>
      </c>
      <c r="J476" s="168" t="str">
        <f>VLOOKUP(MP_registro[[#This Row],[TAG]],'DB-EQUIPOS GEN'!$C$11:$H$833,6,0)</f>
        <v>0335TK010</v>
      </c>
      <c r="K476" s="68">
        <v>44747</v>
      </c>
      <c r="L476" s="65" t="s">
        <v>247</v>
      </c>
      <c r="M47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476" s="144" t="s">
        <v>1664</v>
      </c>
      <c r="O476" s="64" t="s">
        <v>1696</v>
      </c>
      <c r="Q476" s="42"/>
    </row>
    <row r="477" spans="1:17" ht="34.15" customHeight="1">
      <c r="A477" s="65">
        <v>476</v>
      </c>
      <c r="B477" s="77" t="s">
        <v>1374</v>
      </c>
      <c r="C477" s="64" t="s">
        <v>1870</v>
      </c>
      <c r="D477" s="77" t="s">
        <v>1893</v>
      </c>
      <c r="E477" s="77" t="s">
        <v>1660</v>
      </c>
      <c r="F477" s="166" t="str">
        <f>VLOOKUP(MP_registro[[#This Row],[TAG]],'DB-EQUIPOS GEN'!$C$11:$H$833,2,0)</f>
        <v>Vista global de tacho continuo A.</v>
      </c>
      <c r="G477" s="168" t="str">
        <f>VLOOKUP(MP_registro[[#This Row],[TAG]],'DB-EQUIPOS GEN'!$C$11:$H$833,3,0)</f>
        <v>PRODUCCION</v>
      </c>
      <c r="H477" s="168" t="str">
        <f>VLOOKUP(MP_registro[[#This Row],[TAG]],'DB-EQUIPOS GEN'!$C$11:$H$833,4,0)</f>
        <v>CRISTALIZACIÓN POR COCCIÓN</v>
      </c>
      <c r="I477" s="168" t="str">
        <f>VLOOKUP(MP_registro[[#This Row],[TAG]],'DB-EQUIPOS GEN'!$C$11:$H$833,5,0)</f>
        <v>TACHO CONTINUO - A</v>
      </c>
      <c r="J477" s="168" t="str">
        <f>VLOOKUP(MP_registro[[#This Row],[TAG]],'DB-EQUIPOS GEN'!$C$11:$H$833,6,0)</f>
        <v>0335HX200</v>
      </c>
      <c r="K477" s="68">
        <v>44747</v>
      </c>
      <c r="L477" s="65" t="s">
        <v>247</v>
      </c>
      <c r="M47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477" s="144" t="s">
        <v>1664</v>
      </c>
      <c r="O477" s="64" t="s">
        <v>1696</v>
      </c>
      <c r="Q477" s="42"/>
    </row>
    <row r="478" spans="1:17" ht="34.15" customHeight="1">
      <c r="A478" s="64">
        <v>477</v>
      </c>
      <c r="B478" s="77" t="s">
        <v>1374</v>
      </c>
      <c r="C478" s="64" t="s">
        <v>1870</v>
      </c>
      <c r="D478" s="77" t="s">
        <v>1894</v>
      </c>
      <c r="E478" s="77" t="s">
        <v>1649</v>
      </c>
      <c r="F478" s="166" t="str">
        <f>VLOOKUP(MP_registro[[#This Row],[TAG]],'DB-EQUIPOS GEN'!$C$11:$H$833,2,0)</f>
        <v>Chute alimentadores de bagazo</v>
      </c>
      <c r="G478" s="168" t="str">
        <f>VLOOKUP(MP_registro[[#This Row],[TAG]],'DB-EQUIPOS GEN'!$C$11:$H$833,3,0)</f>
        <v>E. TERMICA</v>
      </c>
      <c r="H478" s="168" t="str">
        <f>VLOOKUP(MP_registro[[#This Row],[TAG]],'DB-EQUIPOS GEN'!$C$11:$H$833,4,0)</f>
        <v>TRANSPORTE DE BAGAZO</v>
      </c>
      <c r="I478" s="168" t="str">
        <f>VLOOKUP(MP_registro[[#This Row],[TAG]],'DB-EQUIPOS GEN'!$C$11:$H$833,5,0)</f>
        <v>ALIMENTADOR DE BAGAZO 1</v>
      </c>
      <c r="J478" s="168" t="str">
        <f>VLOOKUP(MP_registro[[#This Row],[TAG]],'DB-EQUIPOS GEN'!$C$11:$H$833,6,0)</f>
        <v>0405RV240</v>
      </c>
      <c r="K478" s="68">
        <v>44747</v>
      </c>
      <c r="L478" s="65" t="s">
        <v>247</v>
      </c>
      <c r="M47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478" s="144" t="s">
        <v>13</v>
      </c>
      <c r="O478" s="64" t="s">
        <v>1696</v>
      </c>
      <c r="Q478" s="42"/>
    </row>
    <row r="479" spans="1:17" ht="34.15" customHeight="1">
      <c r="A479" s="65">
        <v>478</v>
      </c>
      <c r="B479" s="77" t="s">
        <v>1374</v>
      </c>
      <c r="C479" s="64" t="s">
        <v>1870</v>
      </c>
      <c r="D479" s="77" t="s">
        <v>1895</v>
      </c>
      <c r="E479" s="77" t="s">
        <v>1655</v>
      </c>
      <c r="F479" s="166" t="str">
        <f>VLOOKUP(MP_registro[[#This Row],[TAG]],'DB-EQUIPOS GEN'!$C$11:$H$833,2,0)</f>
        <v>Vista global de planta de osmosis</v>
      </c>
      <c r="G479" s="168" t="str">
        <f>VLOOKUP(MP_registro[[#This Row],[TAG]],'DB-EQUIPOS GEN'!$C$11:$H$833,3,0)</f>
        <v>E. TERMICA</v>
      </c>
      <c r="H479" s="168" t="str">
        <f>VLOOKUP(MP_registro[[#This Row],[TAG]],'DB-EQUIPOS GEN'!$C$11:$H$833,4,0)</f>
        <v>PLANTA TRATAMIENTO OSMOSIS INVERSA</v>
      </c>
      <c r="I479" s="168" t="str">
        <f>VLOOKUP(MP_registro[[#This Row],[TAG]],'DB-EQUIPOS GEN'!$C$11:$H$833,5,0)</f>
        <v>PLANTA DE OSMOSIS INVERSA</v>
      </c>
      <c r="J479" s="168" t="str">
        <f>VLOOKUP(MP_registro[[#This Row],[TAG]],'DB-EQUIPOS GEN'!$C$11:$H$833,6,0)</f>
        <v>0425OI101</v>
      </c>
      <c r="K479" s="68">
        <v>44747</v>
      </c>
      <c r="L479" s="65" t="s">
        <v>247</v>
      </c>
      <c r="M47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479" s="144" t="s">
        <v>1695</v>
      </c>
      <c r="O479" s="64" t="s">
        <v>1696</v>
      </c>
      <c r="Q479" s="42"/>
    </row>
    <row r="480" spans="1:17" ht="34.15" customHeight="1">
      <c r="A480" s="64">
        <v>479</v>
      </c>
      <c r="B480" s="77" t="s">
        <v>1374</v>
      </c>
      <c r="C480" s="64" t="s">
        <v>1870</v>
      </c>
      <c r="D480" s="77" t="s">
        <v>1896</v>
      </c>
      <c r="E480" s="155" t="s">
        <v>1923</v>
      </c>
      <c r="F480" s="166" t="str">
        <f>VLOOKUP(MP_registro[[#This Row],[TAG]],'DB-EQUIPOS GEN'!$C$11:$H$833,2,0)</f>
        <v>Nivel del jugo prensado</v>
      </c>
      <c r="G480" s="168" t="str">
        <f>VLOOKUP(MP_registro[[#This Row],[TAG]],'DB-EQUIPOS GEN'!$C$11:$H$833,3,0)</f>
        <v>EXTRACCION</v>
      </c>
      <c r="H480" s="168" t="str">
        <f>VLOOKUP(MP_registro[[#This Row],[TAG]],'DB-EQUIPOS GEN'!$C$11:$H$833,4,0)</f>
        <v>MOLINOS</v>
      </c>
      <c r="I480" s="168" t="str">
        <f>VLOOKUP(MP_registro[[#This Row],[TAG]],'DB-EQUIPOS GEN'!$C$11:$H$833,5,0)</f>
        <v>TANQUE - JUGO PRENSADO</v>
      </c>
      <c r="J480" s="168" t="str">
        <f>VLOOKUP(MP_registro[[#This Row],[TAG]],'DB-EQUIPOS GEN'!$C$11:$H$833,6,0)</f>
        <v>0210TK130</v>
      </c>
      <c r="K480" s="68">
        <v>44748</v>
      </c>
      <c r="L480" s="65" t="s">
        <v>249</v>
      </c>
      <c r="M48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480" s="144" t="s">
        <v>1664</v>
      </c>
      <c r="O480" s="64" t="s">
        <v>1696</v>
      </c>
      <c r="Q480" s="42"/>
    </row>
    <row r="481" spans="1:17" ht="34.15" customHeight="1">
      <c r="A481" s="65">
        <v>480</v>
      </c>
      <c r="B481" s="77" t="s">
        <v>1374</v>
      </c>
      <c r="C481" s="64" t="s">
        <v>1870</v>
      </c>
      <c r="D481" s="77" t="s">
        <v>1897</v>
      </c>
      <c r="E481" s="77" t="s">
        <v>565</v>
      </c>
      <c r="F481" s="166" t="str">
        <f>VLOOKUP(MP_registro[[#This Row],[TAG]],'DB-EQUIPOS GEN'!$C$11:$H$833,2,0)</f>
        <v>Temperatura vapor principal</v>
      </c>
      <c r="G481" s="168" t="str">
        <f>VLOOKUP(MP_registro[[#This Row],[TAG]],'DB-EQUIPOS GEN'!$C$11:$H$833,3,0)</f>
        <v>E. TERMICA</v>
      </c>
      <c r="H481" s="168" t="str">
        <f>VLOOKUP(MP_registro[[#This Row],[TAG]],'DB-EQUIPOS GEN'!$C$11:$H$833,4,0)</f>
        <v>GENERACION DE VAPOR</v>
      </c>
      <c r="I481" s="168" t="str">
        <f>VLOOKUP(MP_registro[[#This Row],[TAG]],'DB-EQUIPOS GEN'!$C$11:$H$833,5,0)</f>
        <v>CALDERA</v>
      </c>
      <c r="J481" s="168" t="str">
        <f>VLOOKUP(MP_registro[[#This Row],[TAG]],'DB-EQUIPOS GEN'!$C$11:$H$833,6,0)</f>
        <v>0405BR010</v>
      </c>
      <c r="K481" s="68">
        <v>44748</v>
      </c>
      <c r="L481" s="65" t="s">
        <v>249</v>
      </c>
      <c r="M48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481" s="144" t="s">
        <v>1664</v>
      </c>
      <c r="O481" s="64" t="s">
        <v>1696</v>
      </c>
      <c r="Q481" s="42"/>
    </row>
    <row r="482" spans="1:17" ht="34.15" customHeight="1">
      <c r="A482" s="64">
        <v>481</v>
      </c>
      <c r="B482" s="77" t="s">
        <v>1374</v>
      </c>
      <c r="C482" s="64" t="s">
        <v>1870</v>
      </c>
      <c r="D482" s="77" t="s">
        <v>1898</v>
      </c>
      <c r="E482" s="77" t="s">
        <v>1656</v>
      </c>
      <c r="F482" s="166" t="str">
        <f>VLOOKUP(MP_registro[[#This Row],[TAG]],'DB-EQUIPOS GEN'!$C$11:$H$833,2,0)</f>
        <v>Descarga de centrifugas continuas</v>
      </c>
      <c r="G482" s="168" t="str">
        <f>VLOOKUP(MP_registro[[#This Row],[TAG]],'DB-EQUIPOS GEN'!$C$11:$H$833,3,0)</f>
        <v>PRODUCCION</v>
      </c>
      <c r="H482" s="168" t="str">
        <f>VLOOKUP(MP_registro[[#This Row],[TAG]],'DB-EQUIPOS GEN'!$C$11:$H$833,4,0)</f>
        <v>CENTRIFUGACIÓN DE AZÚCAR</v>
      </c>
      <c r="I482" s="168" t="str">
        <f>VLOOKUP(MP_registro[[#This Row],[TAG]],'DB-EQUIPOS GEN'!$C$11:$H$833,5,0)</f>
        <v>CENTRIFUGA CONTINUA 1 - C (FRANCIA)</v>
      </c>
      <c r="J482" s="168" t="str">
        <f>VLOOKUP(MP_registro[[#This Row],[TAG]],'DB-EQUIPOS GEN'!$C$11:$H$833,6,0)</f>
        <v>0345SQ160</v>
      </c>
      <c r="K482" s="68">
        <v>44748</v>
      </c>
      <c r="L482" s="65" t="s">
        <v>247</v>
      </c>
      <c r="M48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482" s="144" t="s">
        <v>1664</v>
      </c>
      <c r="O482" s="64" t="s">
        <v>1696</v>
      </c>
      <c r="Q482" s="42"/>
    </row>
    <row r="483" spans="1:17" ht="34.15" customHeight="1">
      <c r="A483" s="65">
        <v>482</v>
      </c>
      <c r="B483" s="77" t="s">
        <v>1374</v>
      </c>
      <c r="C483" s="64" t="s">
        <v>1870</v>
      </c>
      <c r="D483" s="77" t="s">
        <v>1899</v>
      </c>
      <c r="E483" s="77" t="s">
        <v>1657</v>
      </c>
      <c r="F483" s="166" t="str">
        <f>VLOOKUP(MP_registro[[#This Row],[TAG]],'DB-EQUIPOS GEN'!$C$11:$H$833,2,0)</f>
        <v>Pug mill B, Cabezal C de centrifugas continuas</v>
      </c>
      <c r="G483" s="168" t="str">
        <f>VLOOKUP(MP_registro[[#This Row],[TAG]],'DB-EQUIPOS GEN'!$C$11:$H$833,3,0)</f>
        <v>PRODUCCION</v>
      </c>
      <c r="H483" s="168" t="str">
        <f>VLOOKUP(MP_registro[[#This Row],[TAG]],'DB-EQUIPOS GEN'!$C$11:$H$833,4,0)</f>
        <v>CENTRIFUGACIÓN DE AZÚCAR</v>
      </c>
      <c r="I483" s="168" t="str">
        <f>VLOOKUP(MP_registro[[#This Row],[TAG]],'DB-EQUIPOS GEN'!$C$11:$H$833,5,0)</f>
        <v>PUG MILL - B</v>
      </c>
      <c r="J483" s="168" t="str">
        <f>VLOOKUP(MP_registro[[#This Row],[TAG]],'DB-EQUIPOS GEN'!$C$11:$H$833,6,0)</f>
        <v>0345MM020</v>
      </c>
      <c r="K483" s="68">
        <v>44748</v>
      </c>
      <c r="L483" s="65" t="s">
        <v>247</v>
      </c>
      <c r="M483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483" s="144" t="s">
        <v>1664</v>
      </c>
      <c r="O483" s="64" t="s">
        <v>1696</v>
      </c>
      <c r="Q483" s="42"/>
    </row>
    <row r="484" spans="1:17" ht="34.15" customHeight="1">
      <c r="A484" s="64">
        <v>483</v>
      </c>
      <c r="B484" s="77" t="s">
        <v>1374</v>
      </c>
      <c r="C484" s="64" t="s">
        <v>1870</v>
      </c>
      <c r="D484" s="77" t="s">
        <v>1900</v>
      </c>
      <c r="E484" s="77" t="s">
        <v>1658</v>
      </c>
      <c r="F484" s="166" t="str">
        <f>VLOOKUP(MP_registro[[#This Row],[TAG]],'DB-EQUIPOS GEN'!$C$11:$H$833,2,0)</f>
        <v>Pug mill A - Centrifugas batch</v>
      </c>
      <c r="G484" s="168" t="str">
        <f>VLOOKUP(MP_registro[[#This Row],[TAG]],'DB-EQUIPOS GEN'!$C$11:$H$833,3,0)</f>
        <v>PRODUCCION</v>
      </c>
      <c r="H484" s="168" t="str">
        <f>VLOOKUP(MP_registro[[#This Row],[TAG]],'DB-EQUIPOS GEN'!$C$11:$H$833,4,0)</f>
        <v>CENTRIFUGACIÓN DE AZÚCAR</v>
      </c>
      <c r="I484" s="168" t="str">
        <f>VLOOKUP(MP_registro[[#This Row],[TAG]],'DB-EQUIPOS GEN'!$C$11:$H$833,5,0)</f>
        <v>PUG MILL - A</v>
      </c>
      <c r="J484" s="168" t="str">
        <f>VLOOKUP(MP_registro[[#This Row],[TAG]],'DB-EQUIPOS GEN'!$C$11:$H$833,6,0)</f>
        <v>0345MM010</v>
      </c>
      <c r="K484" s="68">
        <v>44748</v>
      </c>
      <c r="L484" s="65" t="s">
        <v>247</v>
      </c>
      <c r="M48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484" s="144" t="s">
        <v>1664</v>
      </c>
      <c r="O484" s="64" t="s">
        <v>1696</v>
      </c>
      <c r="Q484" s="42"/>
    </row>
    <row r="485" spans="1:17" ht="34.15" customHeight="1">
      <c r="A485" s="65">
        <v>484</v>
      </c>
      <c r="B485" s="77" t="s">
        <v>1374</v>
      </c>
      <c r="C485" s="64" t="s">
        <v>1870</v>
      </c>
      <c r="D485" s="77" t="s">
        <v>1901</v>
      </c>
      <c r="E485" s="77" t="s">
        <v>1661</v>
      </c>
      <c r="F485" s="166" t="str">
        <f>VLOOKUP(MP_registro[[#This Row],[TAG]],'DB-EQUIPOS GEN'!$C$11:$H$833,2,0)</f>
        <v xml:space="preserve">Faja de azucar seca a Silo </v>
      </c>
      <c r="G485" s="168" t="str">
        <f>VLOOKUP(MP_registro[[#This Row],[TAG]],'DB-EQUIPOS GEN'!$C$11:$H$833,3,0)</f>
        <v>PRODUCCION</v>
      </c>
      <c r="H485" s="168" t="str">
        <f>VLOOKUP(MP_registro[[#This Row],[TAG]],'DB-EQUIPOS GEN'!$C$11:$H$833,4,0)</f>
        <v>ENVASADO DE AZÚCAR RUBIA</v>
      </c>
      <c r="I485" s="168" t="str">
        <f>VLOOKUP(MP_registro[[#This Row],[TAG]],'DB-EQUIPOS GEN'!$C$11:$H$833,5,0)</f>
        <v>SILO DE AZUCAR 1</v>
      </c>
      <c r="J485" s="168" t="str">
        <f>VLOOKUP(MP_registro[[#This Row],[TAG]],'DB-EQUIPOS GEN'!$C$11:$H$833,6,0)</f>
        <v>0355BI090</v>
      </c>
      <c r="K485" s="68">
        <v>44748</v>
      </c>
      <c r="L485" s="65" t="s">
        <v>247</v>
      </c>
      <c r="M485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485" s="144" t="s">
        <v>1695</v>
      </c>
      <c r="O485" s="64" t="s">
        <v>1696</v>
      </c>
      <c r="Q485" s="42"/>
    </row>
    <row r="486" spans="1:17" ht="34.15" customHeight="1">
      <c r="A486" s="64">
        <v>485</v>
      </c>
      <c r="B486" s="77" t="s">
        <v>1374</v>
      </c>
      <c r="C486" s="64" t="s">
        <v>1870</v>
      </c>
      <c r="D486" s="77" t="s">
        <v>1902</v>
      </c>
      <c r="E486" s="77" t="s">
        <v>1648</v>
      </c>
      <c r="F486" s="166" t="str">
        <f>VLOOKUP(MP_registro[[#This Row],[TAG]],'DB-EQUIPOS GEN'!$C$11:$H$833,2,0)</f>
        <v>Nivel de agua en domo</v>
      </c>
      <c r="G486" s="168" t="str">
        <f>VLOOKUP(MP_registro[[#This Row],[TAG]],'DB-EQUIPOS GEN'!$C$11:$H$833,3,0)</f>
        <v>E. TERMICA</v>
      </c>
      <c r="H486" s="168" t="str">
        <f>VLOOKUP(MP_registro[[#This Row],[TAG]],'DB-EQUIPOS GEN'!$C$11:$H$833,4,0)</f>
        <v>GENERACIÓN DE VAPOR</v>
      </c>
      <c r="I486" s="168" t="str">
        <f>VLOOKUP(MP_registro[[#This Row],[TAG]],'DB-EQUIPOS GEN'!$C$11:$H$833,5,0)</f>
        <v>DOMO SUPERIOR</v>
      </c>
      <c r="J486" s="168" t="str">
        <f>VLOOKUP(MP_registro[[#This Row],[TAG]],'DB-EQUIPOS GEN'!$C$11:$H$833,6,0)</f>
        <v>0405DO020</v>
      </c>
      <c r="K486" s="68">
        <v>44748</v>
      </c>
      <c r="L486" s="65" t="s">
        <v>247</v>
      </c>
      <c r="M48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486" s="144" t="s">
        <v>13</v>
      </c>
      <c r="O486" s="64" t="s">
        <v>1696</v>
      </c>
      <c r="Q486" s="42"/>
    </row>
    <row r="487" spans="1:17" ht="34.15" customHeight="1">
      <c r="A487" s="65">
        <v>486</v>
      </c>
      <c r="B487" s="77" t="s">
        <v>1374</v>
      </c>
      <c r="C487" s="64" t="s">
        <v>1870</v>
      </c>
      <c r="D487" s="77" t="s">
        <v>1903</v>
      </c>
      <c r="E487" s="77" t="s">
        <v>254</v>
      </c>
      <c r="F487" s="166" t="str">
        <f>VLOOKUP(MP_registro[[#This Row],[TAG]],'DB-EQUIPOS GEN'!$C$11:$H$833,2,0)</f>
        <v>Tablero de periferia en Asset Caldera</v>
      </c>
      <c r="G487" s="168" t="str">
        <f>VLOOKUP(MP_registro[[#This Row],[TAG]],'DB-EQUIPOS GEN'!$C$11:$H$833,3,0)</f>
        <v>E. TERMICA</v>
      </c>
      <c r="H487" s="168" t="str">
        <f>VLOOKUP(MP_registro[[#This Row],[TAG]],'DB-EQUIPOS GEN'!$C$11:$H$833,4,0)</f>
        <v>GENERACION DE VAPOR</v>
      </c>
      <c r="I487" s="168" t="str">
        <f>VLOOKUP(MP_registro[[#This Row],[TAG]],'DB-EQUIPOS GEN'!$C$11:$H$833,5,0)</f>
        <v>CALDERA</v>
      </c>
      <c r="J487" s="168" t="str">
        <f>VLOOKUP(MP_registro[[#This Row],[TAG]],'DB-EQUIPOS GEN'!$C$11:$H$833,6,0)</f>
        <v>0405BR010</v>
      </c>
      <c r="K487" s="68">
        <v>44749</v>
      </c>
      <c r="L487" s="65" t="s">
        <v>248</v>
      </c>
      <c r="M487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487" s="144" t="s">
        <v>1664</v>
      </c>
      <c r="O487" s="64" t="s">
        <v>1696</v>
      </c>
      <c r="Q487" s="42"/>
    </row>
    <row r="488" spans="1:17" ht="34.15" customHeight="1">
      <c r="A488" s="64">
        <v>487</v>
      </c>
      <c r="B488" s="77" t="s">
        <v>1374</v>
      </c>
      <c r="C488" s="64" t="s">
        <v>1870</v>
      </c>
      <c r="D488" s="77" t="s">
        <v>1904</v>
      </c>
      <c r="E488" s="165" t="s">
        <v>2407</v>
      </c>
      <c r="F488" s="166" t="str">
        <f>VLOOKUP(MP_registro[[#This Row],[TAG]],'DB-EQUIPOS GEN'!$C$11:$H$833,2,0)</f>
        <v>Vista Molino Secador - Conductor Intermedio</v>
      </c>
      <c r="G488" s="168" t="str">
        <f>VLOOKUP(MP_registro[[#This Row],[TAG]],'DB-EQUIPOS GEN'!$C$11:$H$833,3,0)</f>
        <v>EXTRACCION</v>
      </c>
      <c r="H488" s="168" t="str">
        <f>VLOOKUP(MP_registro[[#This Row],[TAG]],'DB-EQUIPOS GEN'!$C$11:$H$833,4,0)</f>
        <v>MOLINOS</v>
      </c>
      <c r="I488" s="168" t="str">
        <f>VLOOKUP(MP_registro[[#This Row],[TAG]],'DB-EQUIPOS GEN'!$C$11:$H$833,5,0)</f>
        <v>CONDUCTOR INTERMEDIO - MOLINO SECADOR</v>
      </c>
      <c r="J488" s="168" t="str">
        <f>VLOOKUP(MP_registro[[#This Row],[TAG]],'DB-EQUIPOS GEN'!$C$11:$H$833,6,0)</f>
        <v>0210CV070</v>
      </c>
      <c r="K488" s="68">
        <v>44749</v>
      </c>
      <c r="L488" s="65" t="s">
        <v>249</v>
      </c>
      <c r="M48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488" s="144" t="s">
        <v>1664</v>
      </c>
      <c r="O488" s="64" t="s">
        <v>1696</v>
      </c>
      <c r="Q488" s="42"/>
    </row>
    <row r="489" spans="1:17" ht="34.15" customHeight="1">
      <c r="A489" s="65">
        <v>488</v>
      </c>
      <c r="B489" s="77" t="s">
        <v>1374</v>
      </c>
      <c r="C489" s="64" t="s">
        <v>1870</v>
      </c>
      <c r="D489" s="77" t="s">
        <v>1905</v>
      </c>
      <c r="E489" s="77" t="s">
        <v>1642</v>
      </c>
      <c r="F489" s="166" t="str">
        <f>VLOOKUP(MP_registro[[#This Row],[TAG]],'DB-EQUIPOS GEN'!$C$11:$H$833,2,0)</f>
        <v>Salida de bagazo de molino secador</v>
      </c>
      <c r="G489" s="168" t="str">
        <f>VLOOKUP(MP_registro[[#This Row],[TAG]],'DB-EQUIPOS GEN'!$C$11:$H$833,3,0)</f>
        <v>EXTRACCION</v>
      </c>
      <c r="H489" s="168" t="str">
        <f>VLOOKUP(MP_registro[[#This Row],[TAG]],'DB-EQUIPOS GEN'!$C$11:$H$833,4,0)</f>
        <v>MOLINOS</v>
      </c>
      <c r="I489" s="168" t="str">
        <f>VLOOKUP(MP_registro[[#This Row],[TAG]],'DB-EQUIPOS GEN'!$C$11:$H$833,5,0)</f>
        <v>MOLINO SECADOR</v>
      </c>
      <c r="J489" s="168" t="str">
        <f>VLOOKUP(MP_registro[[#This Row],[TAG]],'DB-EQUIPOS GEN'!$C$11:$H$833,6,0)</f>
        <v>0210MM090</v>
      </c>
      <c r="K489" s="68">
        <v>44749</v>
      </c>
      <c r="L489" s="65" t="s">
        <v>249</v>
      </c>
      <c r="M48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489" s="144" t="s">
        <v>1664</v>
      </c>
      <c r="O489" s="64" t="s">
        <v>1696</v>
      </c>
      <c r="Q489" s="42"/>
    </row>
    <row r="490" spans="1:17" ht="34.15" customHeight="1">
      <c r="A490" s="64">
        <v>489</v>
      </c>
      <c r="B490" s="77" t="s">
        <v>1374</v>
      </c>
      <c r="C490" s="64" t="s">
        <v>1870</v>
      </c>
      <c r="D490" s="77" t="s">
        <v>1906</v>
      </c>
      <c r="E490" s="77" t="s">
        <v>1651</v>
      </c>
      <c r="F490" s="166" t="str">
        <f>VLOOKUP(MP_registro[[#This Row],[TAG]],'DB-EQUIPOS GEN'!$C$11:$H$833,2,0)</f>
        <v>Faja 1008 - Tolva de retorno de bagazo</v>
      </c>
      <c r="G490" s="168" t="str">
        <f>VLOOKUP(MP_registro[[#This Row],[TAG]],'DB-EQUIPOS GEN'!$C$11:$H$833,3,0)</f>
        <v>E. TERMICA</v>
      </c>
      <c r="H490" s="168" t="str">
        <f>VLOOKUP(MP_registro[[#This Row],[TAG]],'DB-EQUIPOS GEN'!$C$11:$H$833,4,0)</f>
        <v>TRANSPORTE DE BAGAZO</v>
      </c>
      <c r="I490" s="168" t="str">
        <f>VLOOKUP(MP_registro[[#This Row],[TAG]],'DB-EQUIPOS GEN'!$C$11:$H$833,5,0)</f>
        <v>FAJA TRANSPORTADORA 1008</v>
      </c>
      <c r="J490" s="168" t="str">
        <f>VLOOKUP(MP_registro[[#This Row],[TAG]],'DB-EQUIPOS GEN'!$C$11:$H$833,6,0)</f>
        <v>0805CV100</v>
      </c>
      <c r="K490" s="68">
        <v>44749</v>
      </c>
      <c r="L490" s="65" t="s">
        <v>245</v>
      </c>
      <c r="M49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490" s="144" t="s">
        <v>1664</v>
      </c>
      <c r="O490" s="64" t="s">
        <v>1696</v>
      </c>
      <c r="Q490" s="42"/>
    </row>
    <row r="491" spans="1:17" ht="34.15" customHeight="1">
      <c r="A491" s="65">
        <v>490</v>
      </c>
      <c r="B491" s="77" t="s">
        <v>1374</v>
      </c>
      <c r="C491" s="64" t="s">
        <v>1870</v>
      </c>
      <c r="D491" s="77" t="s">
        <v>1907</v>
      </c>
      <c r="E491" s="77" t="s">
        <v>1652</v>
      </c>
      <c r="F491" s="166" t="str">
        <f>VLOOKUP(MP_registro[[#This Row],[TAG]],'DB-EQUIPOS GEN'!$C$11:$H$833,2,0)</f>
        <v>Faja 1006A - Patio de Bagazo</v>
      </c>
      <c r="G491" s="168" t="str">
        <f>VLOOKUP(MP_registro[[#This Row],[TAG]],'DB-EQUIPOS GEN'!$C$11:$H$833,3,0)</f>
        <v>E. TERMICA</v>
      </c>
      <c r="H491" s="168" t="str">
        <f>VLOOKUP(MP_registro[[#This Row],[TAG]],'DB-EQUIPOS GEN'!$C$11:$H$833,4,0)</f>
        <v>TRANSPORTE DE BAGAZO</v>
      </c>
      <c r="I491" s="168" t="str">
        <f>VLOOKUP(MP_registro[[#This Row],[TAG]],'DB-EQUIPOS GEN'!$C$11:$H$833,5,0)</f>
        <v>FAJA TRANSPORTADORA 1006 A</v>
      </c>
      <c r="J491" s="168" t="str">
        <f>VLOOKUP(MP_registro[[#This Row],[TAG]],'DB-EQUIPOS GEN'!$C$11:$H$833,6,0)</f>
        <v>0805CV080</v>
      </c>
      <c r="K491" s="68">
        <v>44749</v>
      </c>
      <c r="L491" s="65" t="s">
        <v>245</v>
      </c>
      <c r="M49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491" s="144" t="s">
        <v>1664</v>
      </c>
      <c r="O491" s="64" t="s">
        <v>1696</v>
      </c>
      <c r="Q491" s="42"/>
    </row>
    <row r="492" spans="1:17" ht="34.15" customHeight="1">
      <c r="A492" s="64">
        <v>491</v>
      </c>
      <c r="B492" s="77" t="s">
        <v>1374</v>
      </c>
      <c r="C492" s="64" t="s">
        <v>1870</v>
      </c>
      <c r="D492" s="77" t="s">
        <v>1908</v>
      </c>
      <c r="E492" s="77" t="s">
        <v>338</v>
      </c>
      <c r="F492" s="166" t="str">
        <f>VLOOKUP(MP_registro[[#This Row],[TAG]],'DB-EQUIPOS GEN'!$C$11:$H$833,2,0)</f>
        <v>Flotacion de masa lado motor</v>
      </c>
      <c r="G492" s="168" t="str">
        <f>VLOOKUP(MP_registro[[#This Row],[TAG]],'DB-EQUIPOS GEN'!$C$11:$H$833,3,0)</f>
        <v>EXTRACCION</v>
      </c>
      <c r="H492" s="168" t="str">
        <f>VLOOKUP(MP_registro[[#This Row],[TAG]],'DB-EQUIPOS GEN'!$C$11:$H$833,4,0)</f>
        <v>MOLINOS</v>
      </c>
      <c r="I492" s="168" t="str">
        <f>VLOOKUP(MP_registro[[#This Row],[TAG]],'DB-EQUIPOS GEN'!$C$11:$H$833,5,0)</f>
        <v xml:space="preserve">MOLINO SECADOR </v>
      </c>
      <c r="J492" s="168" t="str">
        <f>VLOOKUP(MP_registro[[#This Row],[TAG]],'DB-EQUIPOS GEN'!$C$11:$H$833,6,0)</f>
        <v>0210MM090</v>
      </c>
      <c r="K492" s="68">
        <v>44750</v>
      </c>
      <c r="L492" s="65" t="s">
        <v>245</v>
      </c>
      <c r="M492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492" s="144" t="s">
        <v>1664</v>
      </c>
      <c r="O492" s="64" t="s">
        <v>1696</v>
      </c>
      <c r="Q492" s="42"/>
    </row>
    <row r="493" spans="1:17" ht="34.15" customHeight="1">
      <c r="A493" s="65">
        <v>492</v>
      </c>
      <c r="B493" s="77" t="s">
        <v>1374</v>
      </c>
      <c r="C493" s="64" t="s">
        <v>1870</v>
      </c>
      <c r="D493" s="77" t="s">
        <v>1909</v>
      </c>
      <c r="E493" s="77" t="s">
        <v>1061</v>
      </c>
      <c r="F493" s="166" t="str">
        <f>VLOOKUP(MP_registro[[#This Row],[TAG]],'DB-EQUIPOS GEN'!$C$11:$H$833,2,0)</f>
        <v>Valvula reductora 1</v>
      </c>
      <c r="G493" s="168" t="str">
        <f>VLOOKUP(MP_registro[[#This Row],[TAG]],'DB-EQUIPOS GEN'!$C$11:$H$833,3,0)</f>
        <v>E. TERMICA</v>
      </c>
      <c r="H493" s="168" t="str">
        <f>VLOOKUP(MP_registro[[#This Row],[TAG]],'DB-EQUIPOS GEN'!$C$11:$H$833,4,0)</f>
        <v>DISTRIBUCION DE VAPOR</v>
      </c>
      <c r="I493" s="168" t="str">
        <f>VLOOKUP(MP_registro[[#This Row],[TAG]],'DB-EQUIPOS GEN'!$C$11:$H$833,5,0)</f>
        <v>REDUCTOR DE DESPACHO DE VAPOR 1</v>
      </c>
      <c r="J493" s="168" t="str">
        <f>VLOOKUP(MP_registro[[#This Row],[TAG]],'DB-EQUIPOS GEN'!$C$11:$H$833,6,0)</f>
        <v>0405RE010</v>
      </c>
      <c r="K493" s="68">
        <v>44750</v>
      </c>
      <c r="L493" s="65" t="s">
        <v>245</v>
      </c>
      <c r="M49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493" s="144" t="s">
        <v>1664</v>
      </c>
      <c r="O493" s="64" t="s">
        <v>1696</v>
      </c>
      <c r="Q493" s="42"/>
    </row>
    <row r="494" spans="1:17" ht="34.15" customHeight="1">
      <c r="A494" s="64">
        <v>493</v>
      </c>
      <c r="B494" s="77" t="s">
        <v>1374</v>
      </c>
      <c r="C494" s="64" t="s">
        <v>1870</v>
      </c>
      <c r="D494" s="77" t="s">
        <v>1910</v>
      </c>
      <c r="E494" s="77" t="s">
        <v>1644</v>
      </c>
      <c r="F494" s="166" t="str">
        <f>VLOOKUP(MP_registro[[#This Row],[TAG]],'DB-EQUIPOS GEN'!$C$11:$H$833,2,0)</f>
        <v>Explanada de Turbina Triveni</v>
      </c>
      <c r="G494" s="168" t="str">
        <f>VLOOKUP(MP_registro[[#This Row],[TAG]],'DB-EQUIPOS GEN'!$C$11:$H$833,3,0)</f>
        <v>E. ELECTRICA</v>
      </c>
      <c r="H494" s="168" t="str">
        <f>VLOOKUP(MP_registro[[#This Row],[TAG]],'DB-EQUIPOS GEN'!$C$11:$H$833,4,0)</f>
        <v>GENERACIÓN ENERG. ELEC. TURBO GENERADOR</v>
      </c>
      <c r="I494" s="168" t="str">
        <f>VLOOKUP(MP_registro[[#This Row],[TAG]],'DB-EQUIPOS GEN'!$C$11:$H$833,5,0)</f>
        <v>TURBOGENERADOR TRIVENI 23.2 MW</v>
      </c>
      <c r="J494" s="168" t="str">
        <f>VLOOKUP(MP_registro[[#This Row],[TAG]],'DB-EQUIPOS GEN'!$C$11:$H$833,6,0)</f>
        <v>0430TG020</v>
      </c>
      <c r="K494" s="68">
        <v>44750</v>
      </c>
      <c r="L494" s="65" t="s">
        <v>245</v>
      </c>
      <c r="M49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494" s="144" t="s">
        <v>1664</v>
      </c>
      <c r="O494" s="64" t="s">
        <v>1696</v>
      </c>
      <c r="Q494" s="42"/>
    </row>
    <row r="495" spans="1:17" ht="34.15" customHeight="1">
      <c r="A495" s="65">
        <v>494</v>
      </c>
      <c r="B495" s="77" t="s">
        <v>1374</v>
      </c>
      <c r="C495" s="64" t="s">
        <v>1870</v>
      </c>
      <c r="D495" s="77" t="s">
        <v>1911</v>
      </c>
      <c r="E495" s="77" t="s">
        <v>1646</v>
      </c>
      <c r="F495" s="166" t="str">
        <f>VLOOKUP(MP_registro[[#This Row],[TAG]],'DB-EQUIPOS GEN'!$C$11:$H$833,2,0)</f>
        <v>Segundo nivel de Turbina TGM</v>
      </c>
      <c r="G495" s="168" t="str">
        <f>VLOOKUP(MP_registro[[#This Row],[TAG]],'DB-EQUIPOS GEN'!$C$11:$H$833,3,0)</f>
        <v>E. ELECTRICA</v>
      </c>
      <c r="H495" s="168" t="str">
        <f>VLOOKUP(MP_registro[[#This Row],[TAG]],'DB-EQUIPOS GEN'!$C$11:$H$833,4,0)</f>
        <v>SISTEMA DE ENFRIAMIENTO</v>
      </c>
      <c r="I495" s="168" t="str">
        <f>VLOOKUP(MP_registro[[#This Row],[TAG]],'DB-EQUIPOS GEN'!$C$11:$H$833,5,0)</f>
        <v>TORRE DE ENFRIAMIENTO MARLEY - TG TGM</v>
      </c>
      <c r="J495" s="168" t="str">
        <f>VLOOKUP(MP_registro[[#This Row],[TAG]],'DB-EQUIPOS GEN'!$C$11:$H$833,6,0)</f>
        <v>0430CT050</v>
      </c>
      <c r="K495" s="68">
        <v>44750</v>
      </c>
      <c r="L495" s="65" t="s">
        <v>245</v>
      </c>
      <c r="M49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495" s="144" t="s">
        <v>1664</v>
      </c>
      <c r="O495" s="64" t="s">
        <v>1696</v>
      </c>
      <c r="Q495" s="42"/>
    </row>
    <row r="496" spans="1:17" ht="34.15" customHeight="1">
      <c r="A496" s="64">
        <v>495</v>
      </c>
      <c r="B496" s="77" t="s">
        <v>1374</v>
      </c>
      <c r="C496" s="64" t="s">
        <v>1870</v>
      </c>
      <c r="D496" s="77" t="s">
        <v>1912</v>
      </c>
      <c r="E496" s="77" t="s">
        <v>1647</v>
      </c>
      <c r="F496" s="166" t="str">
        <f>VLOOKUP(MP_registro[[#This Row],[TAG]],'DB-EQUIPOS GEN'!$C$11:$H$833,2,0)</f>
        <v>Explanada frontal de Turbina Triveni</v>
      </c>
      <c r="G496" s="168" t="str">
        <f>VLOOKUP(MP_registro[[#This Row],[TAG]],'DB-EQUIPOS GEN'!$C$11:$H$833,3,0)</f>
        <v>E. ELECTRICA</v>
      </c>
      <c r="H496" s="168" t="str">
        <f>VLOOKUP(MP_registro[[#This Row],[TAG]],'DB-EQUIPOS GEN'!$C$11:$H$833,4,0)</f>
        <v>GENERACIÓN ENERG. ELEC. TURBO GENERADOR</v>
      </c>
      <c r="I496" s="168" t="str">
        <f>VLOOKUP(MP_registro[[#This Row],[TAG]],'DB-EQUIPOS GEN'!$C$11:$H$833,5,0)</f>
        <v>TURBOGENERADOR TRIVENI 23.2 MW</v>
      </c>
      <c r="J496" s="168" t="str">
        <f>VLOOKUP(MP_registro[[#This Row],[TAG]],'DB-EQUIPOS GEN'!$C$11:$H$833,6,0)</f>
        <v>0430TG020</v>
      </c>
      <c r="K496" s="68">
        <v>44750</v>
      </c>
      <c r="L496" s="65" t="s">
        <v>245</v>
      </c>
      <c r="M49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496" s="144" t="s">
        <v>1664</v>
      </c>
      <c r="O496" s="64" t="s">
        <v>1696</v>
      </c>
      <c r="Q496" s="42"/>
    </row>
    <row r="497" spans="1:17" ht="34.15" customHeight="1">
      <c r="A497" s="65">
        <v>496</v>
      </c>
      <c r="B497" s="77" t="s">
        <v>1374</v>
      </c>
      <c r="C497" s="64" t="s">
        <v>1870</v>
      </c>
      <c r="D497" s="77" t="s">
        <v>1913</v>
      </c>
      <c r="E497" s="77" t="s">
        <v>1650</v>
      </c>
      <c r="F497" s="166" t="str">
        <f>VLOOKUP(MP_registro[[#This Row],[TAG]],'DB-EQUIPOS GEN'!$C$11:$H$833,2,0)</f>
        <v>Faja 1003 - Conductor distribuidor de bagazo</v>
      </c>
      <c r="G497" s="168" t="str">
        <f>VLOOKUP(MP_registro[[#This Row],[TAG]],'DB-EQUIPOS GEN'!$C$11:$H$833,3,0)</f>
        <v>E. TERMICA</v>
      </c>
      <c r="H497" s="168" t="str">
        <f>VLOOKUP(MP_registro[[#This Row],[TAG]],'DB-EQUIPOS GEN'!$C$11:$H$833,4,0)</f>
        <v>TRANSPORTE DE BAGAZO</v>
      </c>
      <c r="I497" s="168" t="str">
        <f>VLOOKUP(MP_registro[[#This Row],[TAG]],'DB-EQUIPOS GEN'!$C$11:$H$833,5,0)</f>
        <v>TRANSPORTADOR DE BAGAZO 1003</v>
      </c>
      <c r="J497" s="168" t="str">
        <f>VLOOKUP(MP_registro[[#This Row],[TAG]],'DB-EQUIPOS GEN'!$C$11:$H$833,6,0)</f>
        <v>0805CV060</v>
      </c>
      <c r="K497" s="68">
        <v>44750</v>
      </c>
      <c r="L497" s="65" t="s">
        <v>245</v>
      </c>
      <c r="M49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497" s="144" t="s">
        <v>1664</v>
      </c>
      <c r="O497" s="64" t="s">
        <v>1696</v>
      </c>
      <c r="Q497" s="42"/>
    </row>
    <row r="498" spans="1:17" ht="34.15" customHeight="1">
      <c r="A498" s="64">
        <v>497</v>
      </c>
      <c r="B498" s="77" t="s">
        <v>1374</v>
      </c>
      <c r="C498" s="64" t="s">
        <v>1870</v>
      </c>
      <c r="D498" s="77" t="s">
        <v>1914</v>
      </c>
      <c r="E498" s="77" t="s">
        <v>1654</v>
      </c>
      <c r="F498" s="166" t="str">
        <f>VLOOKUP(MP_registro[[#This Row],[TAG]],'DB-EQUIPOS GEN'!$C$11:$H$833,2,0)</f>
        <v>Vista global de sala turbina TGM</v>
      </c>
      <c r="G498" s="168" t="str">
        <f>VLOOKUP(MP_registro[[#This Row],[TAG]],'DB-EQUIPOS GEN'!$C$11:$H$833,3,0)</f>
        <v>E. ELECTRICA</v>
      </c>
      <c r="H498" s="168" t="str">
        <f>VLOOKUP(MP_registro[[#This Row],[TAG]],'DB-EQUIPOS GEN'!$C$11:$H$833,4,0)</f>
        <v>SISTEMA DE ENFRIAMIENTO</v>
      </c>
      <c r="I498" s="168" t="str">
        <f>VLOOKUP(MP_registro[[#This Row],[TAG]],'DB-EQUIPOS GEN'!$C$11:$H$833,5,0)</f>
        <v>TORRE DE ENFRIAMIENTO MARLEY - TG TGM</v>
      </c>
      <c r="J498" s="168" t="str">
        <f>VLOOKUP(MP_registro[[#This Row],[TAG]],'DB-EQUIPOS GEN'!$C$11:$H$833,6,0)</f>
        <v>0430CT050</v>
      </c>
      <c r="K498" s="68">
        <v>44750</v>
      </c>
      <c r="L498" s="65" t="s">
        <v>245</v>
      </c>
      <c r="M49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498" s="144" t="s">
        <v>13</v>
      </c>
      <c r="O498" s="64" t="s">
        <v>1696</v>
      </c>
      <c r="Q498" s="42"/>
    </row>
    <row r="499" spans="1:17" ht="34.15" customHeight="1">
      <c r="A499" s="65">
        <v>498</v>
      </c>
      <c r="B499" s="77" t="s">
        <v>1374</v>
      </c>
      <c r="C499" s="64" t="s">
        <v>1870</v>
      </c>
      <c r="D499" s="77" t="s">
        <v>1915</v>
      </c>
      <c r="E499" s="77" t="s">
        <v>1178</v>
      </c>
      <c r="F499" s="166" t="str">
        <f>VLOOKUP(MP_registro[[#This Row],[TAG]],'DB-EQUIPOS GEN'!$C$11:$H$833,2,0)</f>
        <v>Valvula control de nivel FFE - 4B</v>
      </c>
      <c r="G499" s="168" t="str">
        <f>VLOOKUP(MP_registro[[#This Row],[TAG]],'DB-EQUIPOS GEN'!$C$11:$H$833,3,0)</f>
        <v>PRODUCCION</v>
      </c>
      <c r="H499" s="168" t="str">
        <f>VLOOKUP(MP_registro[[#This Row],[TAG]],'DB-EQUIPOS GEN'!$C$11:$H$833,4,0)</f>
        <v>EVAPORACION DE JUGO</v>
      </c>
      <c r="I499" s="168" t="str">
        <f>VLOOKUP(MP_registro[[#This Row],[TAG]],'DB-EQUIPOS GEN'!$C$11:$H$833,5,0)</f>
        <v>EVAPORADOR FFE 4B</v>
      </c>
      <c r="J499" s="168" t="str">
        <f>VLOOKUP(MP_registro[[#This Row],[TAG]],'DB-EQUIPOS GEN'!$C$11:$H$833,6,0)</f>
        <v>0320EV070</v>
      </c>
      <c r="K499" s="68">
        <v>44751</v>
      </c>
      <c r="L499" s="65" t="s">
        <v>245</v>
      </c>
      <c r="M49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499" s="144" t="s">
        <v>1664</v>
      </c>
      <c r="O499" s="64" t="s">
        <v>1696</v>
      </c>
      <c r="Q499" s="42"/>
    </row>
    <row r="500" spans="1:17" ht="34.15" customHeight="1">
      <c r="A500" s="64">
        <v>499</v>
      </c>
      <c r="B500" s="77" t="s">
        <v>1374</v>
      </c>
      <c r="C500" s="64" t="s">
        <v>1870</v>
      </c>
      <c r="D500" s="77" t="s">
        <v>1916</v>
      </c>
      <c r="E500" s="155" t="s">
        <v>1750</v>
      </c>
      <c r="F500" s="166" t="str">
        <f>VLOOKUP(MP_registro[[#This Row],[TAG]],'DB-EQUIPOS GEN'!$C$11:$H$833,2,0)</f>
        <v>Aire Instrumentacion p/ Caldera</v>
      </c>
      <c r="G500" s="168" t="str">
        <f>VLOOKUP(MP_registro[[#This Row],[TAG]],'DB-EQUIPOS GEN'!$C$11:$H$833,3,0)</f>
        <v>E. ELECTRICA</v>
      </c>
      <c r="H500" s="168" t="str">
        <f>VLOOKUP(MP_registro[[#This Row],[TAG]],'DB-EQUIPOS GEN'!$C$11:$H$833,4,0)</f>
        <v>GENERACION ENERG. ELEC. TURBO GENERADOR</v>
      </c>
      <c r="I500" s="168" t="str">
        <f>VLOOKUP(MP_registro[[#This Row],[TAG]],'DB-EQUIPOS GEN'!$C$11:$H$833,5,0)</f>
        <v/>
      </c>
      <c r="J500" s="168" t="str">
        <f>VLOOKUP(MP_registro[[#This Row],[TAG]],'DB-EQUIPOS GEN'!$C$11:$H$833,6,0)</f>
        <v/>
      </c>
      <c r="K500" s="68">
        <v>44751</v>
      </c>
      <c r="L500" s="65" t="s">
        <v>245</v>
      </c>
      <c r="M50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00" s="144" t="s">
        <v>1664</v>
      </c>
      <c r="O500" s="64" t="s">
        <v>1696</v>
      </c>
      <c r="Q500" s="42"/>
    </row>
    <row r="501" spans="1:17" ht="34.15" customHeight="1">
      <c r="A501" s="65">
        <v>500</v>
      </c>
      <c r="B501" s="77" t="s">
        <v>1374</v>
      </c>
      <c r="C501" s="64" t="s">
        <v>1870</v>
      </c>
      <c r="D501" s="77" t="s">
        <v>1917</v>
      </c>
      <c r="E501" s="77" t="s">
        <v>1643</v>
      </c>
      <c r="F501" s="166" t="str">
        <f>VLOOKUP(MP_registro[[#This Row],[TAG]],'DB-EQUIPOS GEN'!$C$11:$H$833,2,0)</f>
        <v>Nivelador de cama de bagazo en difusor</v>
      </c>
      <c r="G501" s="168" t="str">
        <f>VLOOKUP(MP_registro[[#This Row],[TAG]],'DB-EQUIPOS GEN'!$C$11:$H$833,3,0)</f>
        <v>EXTRACCION</v>
      </c>
      <c r="H501" s="168" t="str">
        <f>VLOOKUP(MP_registro[[#This Row],[TAG]],'DB-EQUIPOS GEN'!$C$11:$H$833,4,0)</f>
        <v>DIFUSOR</v>
      </c>
      <c r="I501" s="168" t="str">
        <f>VLOOKUP(MP_registro[[#This Row],[TAG]],'DB-EQUIPOS GEN'!$C$11:$H$833,5,0)</f>
        <v>CONDUCTOR TRANSVERSAL</v>
      </c>
      <c r="J501" s="168" t="str">
        <f>VLOOKUP(MP_registro[[#This Row],[TAG]],'DB-EQUIPOS GEN'!$C$11:$H$833,6,0)</f>
        <v>0205CV190</v>
      </c>
      <c r="K501" s="68">
        <v>44751</v>
      </c>
      <c r="L501" s="65" t="s">
        <v>245</v>
      </c>
      <c r="M50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01" s="144" t="s">
        <v>1664</v>
      </c>
      <c r="O501" s="64" t="s">
        <v>1696</v>
      </c>
      <c r="Q501" s="42"/>
    </row>
    <row r="502" spans="1:17" ht="34.15" customHeight="1">
      <c r="A502" s="64">
        <v>501</v>
      </c>
      <c r="B502" s="77" t="s">
        <v>1374</v>
      </c>
      <c r="C502" s="64" t="s">
        <v>1870</v>
      </c>
      <c r="D502" s="77" t="s">
        <v>1918</v>
      </c>
      <c r="E502" s="77" t="s">
        <v>1645</v>
      </c>
      <c r="F502" s="166" t="str">
        <f>VLOOKUP(MP_registro[[#This Row],[TAG]],'DB-EQUIPOS GEN'!$C$11:$H$833,2,0)</f>
        <v>Tamiz rotativo</v>
      </c>
      <c r="G502" s="168" t="str">
        <f>VLOOKUP(MP_registro[[#This Row],[TAG]],'DB-EQUIPOS GEN'!$C$11:$H$833,3,0)</f>
        <v>EXTRACCION</v>
      </c>
      <c r="H502" s="168" t="str">
        <f>VLOOKUP(MP_registro[[#This Row],[TAG]],'DB-EQUIPOS GEN'!$C$11:$H$833,4,0)</f>
        <v>DIFUSOR</v>
      </c>
      <c r="I502" s="168" t="str">
        <f>VLOOKUP(MP_registro[[#This Row],[TAG]],'DB-EQUIPOS GEN'!$C$11:$H$833,5,0)</f>
        <v>TAMIZ ROTATIVO</v>
      </c>
      <c r="J502" s="168" t="str">
        <f>VLOOKUP(MP_registro[[#This Row],[TAG]],'DB-EQUIPOS GEN'!$C$11:$H$833,6,0)</f>
        <v>0305FL010</v>
      </c>
      <c r="K502" s="68">
        <v>44751</v>
      </c>
      <c r="L502" s="65" t="s">
        <v>245</v>
      </c>
      <c r="M502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02" s="144" t="s">
        <v>1664</v>
      </c>
      <c r="O502" s="64" t="s">
        <v>1696</v>
      </c>
      <c r="Q502" s="42"/>
    </row>
    <row r="503" spans="1:17" ht="34.15" customHeight="1">
      <c r="A503" s="65">
        <v>502</v>
      </c>
      <c r="B503" s="77" t="s">
        <v>1374</v>
      </c>
      <c r="C503" s="64" t="s">
        <v>1870</v>
      </c>
      <c r="D503" s="77" t="s">
        <v>1919</v>
      </c>
      <c r="E503" s="77" t="s">
        <v>1179</v>
      </c>
      <c r="F503" s="166" t="str">
        <f>VLOOKUP(MP_registro[[#This Row],[TAG]],'DB-EQUIPOS GEN'!$C$11:$H$833,2,0)</f>
        <v>Valvula control de nivel FFE - 5A</v>
      </c>
      <c r="G503" s="168" t="str">
        <f>VLOOKUP(MP_registro[[#This Row],[TAG]],'DB-EQUIPOS GEN'!$C$11:$H$833,3,0)</f>
        <v>PRODUCCION</v>
      </c>
      <c r="H503" s="168" t="str">
        <f>VLOOKUP(MP_registro[[#This Row],[TAG]],'DB-EQUIPOS GEN'!$C$11:$H$833,4,0)</f>
        <v>EVAPORACION DE JUGO</v>
      </c>
      <c r="I503" s="168" t="str">
        <f>VLOOKUP(MP_registro[[#This Row],[TAG]],'DB-EQUIPOS GEN'!$C$11:$H$833,5,0)</f>
        <v>EVAPORADOR FFE 5A</v>
      </c>
      <c r="J503" s="168" t="str">
        <f>VLOOKUP(MP_registro[[#This Row],[TAG]],'DB-EQUIPOS GEN'!$C$11:$H$833,6,0)</f>
        <v>0320EV060</v>
      </c>
      <c r="K503" s="68">
        <v>44752</v>
      </c>
      <c r="L503" s="65" t="s">
        <v>245</v>
      </c>
      <c r="M50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03" s="144" t="s">
        <v>1664</v>
      </c>
      <c r="O503" s="64" t="s">
        <v>1696</v>
      </c>
      <c r="Q503" s="42"/>
    </row>
    <row r="504" spans="1:17" ht="34.15" customHeight="1">
      <c r="A504" s="64">
        <v>503</v>
      </c>
      <c r="B504" s="77" t="s">
        <v>1374</v>
      </c>
      <c r="C504" s="64" t="s">
        <v>1870</v>
      </c>
      <c r="D504" s="77" t="s">
        <v>1920</v>
      </c>
      <c r="E504" s="77" t="s">
        <v>259</v>
      </c>
      <c r="F504" s="166" t="str">
        <f>VLOOKUP(MP_registro[[#This Row],[TAG]],'DB-EQUIPOS GEN'!$C$11:$H$833,2,0)</f>
        <v>Tablero de periferia en Asset PH &amp; Cpan</v>
      </c>
      <c r="G504" s="168" t="str">
        <f>VLOOKUP(MP_registro[[#This Row],[TAG]],'DB-EQUIPOS GEN'!$C$11:$H$833,3,0)</f>
        <v>PRODUCCION</v>
      </c>
      <c r="H504" s="168" t="str">
        <f>VLOOKUP(MP_registro[[#This Row],[TAG]],'DB-EQUIPOS GEN'!$C$11:$H$833,4,0)</f>
        <v>CRISTALIZACION POR COCCION</v>
      </c>
      <c r="I504" s="168" t="str">
        <f>VLOOKUP(MP_registro[[#This Row],[TAG]],'DB-EQUIPOS GEN'!$C$11:$H$833,5,0)</f>
        <v>TACHO CONTINUO - A</v>
      </c>
      <c r="J504" s="168" t="str">
        <f>VLOOKUP(MP_registro[[#This Row],[TAG]],'DB-EQUIPOS GEN'!$C$11:$H$833,6,0)</f>
        <v>0335HX200</v>
      </c>
      <c r="K504" s="68">
        <v>44752</v>
      </c>
      <c r="L504" s="65" t="s">
        <v>248</v>
      </c>
      <c r="M504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504" s="144" t="s">
        <v>1664</v>
      </c>
      <c r="O504" s="64" t="s">
        <v>1696</v>
      </c>
      <c r="Q504" s="42"/>
    </row>
    <row r="505" spans="1:17" ht="34.15" customHeight="1">
      <c r="A505" s="65">
        <v>504</v>
      </c>
      <c r="B505" s="77" t="s">
        <v>1374</v>
      </c>
      <c r="C505" s="64" t="s">
        <v>1870</v>
      </c>
      <c r="D505" s="77" t="s">
        <v>1921</v>
      </c>
      <c r="E505" s="164" t="s">
        <v>2416</v>
      </c>
      <c r="F505" s="166" t="str">
        <f>VLOOKUP(MP_registro[[#This Row],[TAG]],'DB-EQUIPOS GEN'!$C$11:$H$833,2,0)</f>
        <v>Vista Conductor Auxiliar - Superior</v>
      </c>
      <c r="G505" s="168" t="str">
        <f>VLOOKUP(MP_registro[[#This Row],[TAG]],'DB-EQUIPOS GEN'!$C$11:$H$833,3,0)</f>
        <v>EXTRACCION</v>
      </c>
      <c r="H505" s="168" t="str">
        <f>VLOOKUP(MP_registro[[#This Row],[TAG]],'DB-EQUIPOS GEN'!$C$11:$H$833,4,0)</f>
        <v>PREPARACIÓN DE CAÑA</v>
      </c>
      <c r="I505" s="168" t="str">
        <f>VLOOKUP(MP_registro[[#This Row],[TAG]],'DB-EQUIPOS GEN'!$C$11:$H$833,5,0)</f>
        <v>CONDUCTOR AUXILIAR DE CAÑA</v>
      </c>
      <c r="J505" s="168" t="str">
        <f>VLOOKUP(MP_registro[[#This Row],[TAG]],'DB-EQUIPOS GEN'!$C$11:$H$833,6,0)</f>
        <v>0115CV010</v>
      </c>
      <c r="K505" s="68">
        <v>44752</v>
      </c>
      <c r="L505" s="65" t="s">
        <v>245</v>
      </c>
      <c r="M50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05" s="144" t="s">
        <v>1664</v>
      </c>
      <c r="O505" s="64" t="s">
        <v>1696</v>
      </c>
      <c r="Q505" s="42"/>
    </row>
    <row r="506" spans="1:17" ht="34.15" customHeight="1">
      <c r="A506" s="64">
        <v>505</v>
      </c>
      <c r="B506" s="77" t="s">
        <v>1374</v>
      </c>
      <c r="C506" s="64" t="s">
        <v>1870</v>
      </c>
      <c r="D506" s="77" t="s">
        <v>1922</v>
      </c>
      <c r="E506" s="165" t="s">
        <v>2406</v>
      </c>
      <c r="F506" s="166" t="str">
        <f>VLOOKUP(MP_registro[[#This Row],[TAG]],'DB-EQUIPOS GEN'!$C$11:$H$833,2,0)</f>
        <v>Vista Mesa de Caña - Descarga de Tetras</v>
      </c>
      <c r="G506" s="168" t="str">
        <f>VLOOKUP(MP_registro[[#This Row],[TAG]],'DB-EQUIPOS GEN'!$C$11:$H$833,3,0)</f>
        <v>EXTRACCION</v>
      </c>
      <c r="H506" s="168" t="str">
        <f>VLOOKUP(MP_registro[[#This Row],[TAG]],'DB-EQUIPOS GEN'!$C$11:$H$833,4,0)</f>
        <v>RECEPCIÓN DE CAÑA</v>
      </c>
      <c r="I506" s="168" t="str">
        <f>VLOOKUP(MP_registro[[#This Row],[TAG]],'DB-EQUIPOS GEN'!$C$11:$H$833,5,0)</f>
        <v>MESA DE CAÑA</v>
      </c>
      <c r="J506" s="168" t="str">
        <f>VLOOKUP(MP_registro[[#This Row],[TAG]],'DB-EQUIPOS GEN'!$C$11:$H$833,6,0)</f>
        <v>0110FE019</v>
      </c>
      <c r="K506" s="68">
        <v>44752</v>
      </c>
      <c r="L506" s="159" t="s">
        <v>245</v>
      </c>
      <c r="M50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06" s="144" t="s">
        <v>1664</v>
      </c>
      <c r="O506" s="64" t="s">
        <v>1696</v>
      </c>
      <c r="Q506" s="42"/>
    </row>
    <row r="507" spans="1:17" ht="33.6" customHeight="1">
      <c r="A507" s="65">
        <v>506</v>
      </c>
      <c r="B507" s="77" t="s">
        <v>1374</v>
      </c>
      <c r="C507" s="64" t="s">
        <v>2480</v>
      </c>
      <c r="D507" s="191" t="s">
        <v>2427</v>
      </c>
      <c r="E507" s="191" t="s">
        <v>252</v>
      </c>
      <c r="F507" s="77" t="str">
        <f>VLOOKUP(MP_registro[[#This Row],[TAG]],'DB-EQUIPOS GEN'!$C$11:$H$833,2,0)</f>
        <v>Valvula reductora 2</v>
      </c>
      <c r="G507" s="191" t="str">
        <f>VLOOKUP(MP_registro[[#This Row],[TAG]],'DB-EQUIPOS GEN'!$C$11:$H$833,3,0)</f>
        <v>E. TERMICA</v>
      </c>
      <c r="H507" s="191" t="str">
        <f>VLOOKUP(MP_registro[[#This Row],[TAG]],'DB-EQUIPOS GEN'!$C$11:$H$833,4,0)</f>
        <v>DISTRIBUCION DE VAPOR</v>
      </c>
      <c r="I507" s="191" t="str">
        <f>VLOOKUP(MP_registro[[#This Row],[TAG]],'DB-EQUIPOS GEN'!$C$11:$H$833,5,0)</f>
        <v>REDUCTOR DE DESPACHO DE VAPOR 2</v>
      </c>
      <c r="J507" s="191" t="str">
        <f>VLOOKUP(MP_registro[[#This Row],[TAG]],'DB-EQUIPOS GEN'!$C$11:$H$833,6,0)</f>
        <v>0405RE020</v>
      </c>
      <c r="K507" s="192">
        <v>44753</v>
      </c>
      <c r="L507" s="193" t="s">
        <v>245</v>
      </c>
      <c r="M50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07" s="144" t="s">
        <v>1664</v>
      </c>
      <c r="O507" s="64" t="s">
        <v>1696</v>
      </c>
    </row>
    <row r="508" spans="1:17" ht="33.6" customHeight="1">
      <c r="A508" s="64">
        <v>507</v>
      </c>
      <c r="B508" s="77" t="s">
        <v>1374</v>
      </c>
      <c r="C508" s="64" t="s">
        <v>2480</v>
      </c>
      <c r="D508" s="191" t="s">
        <v>2428</v>
      </c>
      <c r="E508" s="77" t="s">
        <v>803</v>
      </c>
      <c r="F508" s="77" t="str">
        <f>VLOOKUP(MP_registro[[#This Row],[TAG]],'DB-EQUIPOS GEN'!$C$11:$H$833,2,0)</f>
        <v>Peso de azucar balanza B - Silo 2</v>
      </c>
      <c r="G508" s="191" t="str">
        <f>VLOOKUP(MP_registro[[#This Row],[TAG]],'DB-EQUIPOS GEN'!$C$11:$H$833,3,0)</f>
        <v>PRODUCCION</v>
      </c>
      <c r="H508" s="191" t="str">
        <f>VLOOKUP(MP_registro[[#This Row],[TAG]],'DB-EQUIPOS GEN'!$C$11:$H$833,4,0)</f>
        <v>ENVASADO DE AZUCAR RUBIA</v>
      </c>
      <c r="I508" s="191" t="str">
        <f>VLOOKUP(MP_registro[[#This Row],[TAG]],'DB-EQUIPOS GEN'!$C$11:$H$833,5,0)</f>
        <v>SILO 2</v>
      </c>
      <c r="J508" s="191" t="str">
        <f>VLOOKUP(MP_registro[[#This Row],[TAG]],'DB-EQUIPOS GEN'!$C$11:$H$833,6,0)</f>
        <v>0355BI100</v>
      </c>
      <c r="K508" s="192">
        <v>44753</v>
      </c>
      <c r="L508" s="193" t="s">
        <v>249</v>
      </c>
      <c r="M50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08" s="144" t="s">
        <v>1664</v>
      </c>
      <c r="O508" s="64" t="s">
        <v>1696</v>
      </c>
    </row>
    <row r="509" spans="1:17" ht="33.6" customHeight="1">
      <c r="A509" s="65">
        <v>508</v>
      </c>
      <c r="B509" s="77" t="s">
        <v>1374</v>
      </c>
      <c r="C509" s="64" t="s">
        <v>2480</v>
      </c>
      <c r="D509" s="191" t="s">
        <v>2429</v>
      </c>
      <c r="E509" s="191" t="s">
        <v>258</v>
      </c>
      <c r="F509" s="77" t="str">
        <f>VLOOKUP(MP_registro[[#This Row],[TAG]],'DB-EQUIPOS GEN'!$C$11:$H$833,2,0)</f>
        <v>Tablero de periferia en Asset Cocimiento</v>
      </c>
      <c r="G509" s="191" t="str">
        <f>VLOOKUP(MP_registro[[#This Row],[TAG]],'DB-EQUIPOS GEN'!$C$11:$H$833,3,0)</f>
        <v>PRODUCCION</v>
      </c>
      <c r="H509" s="191" t="str">
        <f>VLOOKUP(MP_registro[[#This Row],[TAG]],'DB-EQUIPOS GEN'!$C$11:$H$833,4,0)</f>
        <v>CRISTALIZACION POR COCCION</v>
      </c>
      <c r="I509" s="191" t="str">
        <f>VLOOKUP(MP_registro[[#This Row],[TAG]],'DB-EQUIPOS GEN'!$C$11:$H$833,5,0)</f>
        <v>TACHO CONTINUO - A</v>
      </c>
      <c r="J509" s="191" t="str">
        <f>VLOOKUP(MP_registro[[#This Row],[TAG]],'DB-EQUIPOS GEN'!$C$11:$H$833,6,0)</f>
        <v>0335HX200</v>
      </c>
      <c r="K509" s="192">
        <v>44753</v>
      </c>
      <c r="L509" s="193" t="s">
        <v>248</v>
      </c>
      <c r="M509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509" s="144" t="s">
        <v>1664</v>
      </c>
      <c r="O509" s="64" t="s">
        <v>1696</v>
      </c>
    </row>
    <row r="510" spans="1:17" ht="33.6" customHeight="1">
      <c r="A510" s="64">
        <v>509</v>
      </c>
      <c r="B510" s="77" t="s">
        <v>1374</v>
      </c>
      <c r="C510" s="64" t="s">
        <v>2480</v>
      </c>
      <c r="D510" s="191" t="s">
        <v>2430</v>
      </c>
      <c r="E510" s="191" t="s">
        <v>1340</v>
      </c>
      <c r="F510" s="77" t="str">
        <f>VLOOKUP(MP_registro[[#This Row],[TAG]],'DB-EQUIPOS GEN'!$C$11:$H$833,2,0)</f>
        <v>Controlador C300 en Asset Caldera</v>
      </c>
      <c r="G510" s="191" t="str">
        <f>VLOOKUP(MP_registro[[#This Row],[TAG]],'DB-EQUIPOS GEN'!$C$11:$H$833,3,0)</f>
        <v>E. TERMICA</v>
      </c>
      <c r="H510" s="191" t="str">
        <f>VLOOKUP(MP_registro[[#This Row],[TAG]],'DB-EQUIPOS GEN'!$C$11:$H$833,4,0)</f>
        <v>GENERACION DE VAPOR</v>
      </c>
      <c r="I510" s="191" t="str">
        <f>VLOOKUP(MP_registro[[#This Row],[TAG]],'DB-EQUIPOS GEN'!$C$11:$H$833,5,0)</f>
        <v>CALDERA</v>
      </c>
      <c r="J510" s="191" t="str">
        <f>VLOOKUP(MP_registro[[#This Row],[TAG]],'DB-EQUIPOS GEN'!$C$11:$H$833,6,0)</f>
        <v>0405BR010</v>
      </c>
      <c r="K510" s="192">
        <v>44753</v>
      </c>
      <c r="L510" s="193" t="s">
        <v>248</v>
      </c>
      <c r="M510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510" s="144" t="s">
        <v>1664</v>
      </c>
      <c r="O510" s="64" t="s">
        <v>1696</v>
      </c>
    </row>
    <row r="511" spans="1:17" ht="33.6" customHeight="1">
      <c r="A511" s="65">
        <v>510</v>
      </c>
      <c r="B511" s="77" t="s">
        <v>1374</v>
      </c>
      <c r="C511" s="64" t="s">
        <v>2480</v>
      </c>
      <c r="D511" s="191" t="s">
        <v>2431</v>
      </c>
      <c r="E511" s="191" t="s">
        <v>1350</v>
      </c>
      <c r="F511" s="77" t="str">
        <f>VLOOKUP(MP_registro[[#This Row],[TAG]],'DB-EQUIPOS GEN'!$C$11:$H$833,2,0)</f>
        <v>Controlador C300 en Asset PH &amp; Cpan</v>
      </c>
      <c r="G511" s="191" t="str">
        <f>VLOOKUP(MP_registro[[#This Row],[TAG]],'DB-EQUIPOS GEN'!$C$11:$H$833,3,0)</f>
        <v>PRODUCCION</v>
      </c>
      <c r="H511" s="191" t="str">
        <f>VLOOKUP(MP_registro[[#This Row],[TAG]],'DB-EQUIPOS GEN'!$C$11:$H$833,4,0)</f>
        <v>CRISTALIZACION POR COCCION</v>
      </c>
      <c r="I511" s="191" t="str">
        <f>VLOOKUP(MP_registro[[#This Row],[TAG]],'DB-EQUIPOS GEN'!$C$11:$H$833,5,0)</f>
        <v>TACHO CONTINUO - A</v>
      </c>
      <c r="J511" s="191" t="str">
        <f>VLOOKUP(MP_registro[[#This Row],[TAG]],'DB-EQUIPOS GEN'!$C$11:$H$833,6,0)</f>
        <v>0335HX200</v>
      </c>
      <c r="K511" s="192">
        <v>44753</v>
      </c>
      <c r="L511" s="193" t="s">
        <v>248</v>
      </c>
      <c r="M511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511" s="144" t="s">
        <v>1664</v>
      </c>
      <c r="O511" s="64" t="s">
        <v>1696</v>
      </c>
    </row>
    <row r="512" spans="1:17" ht="33.6" customHeight="1">
      <c r="A512" s="64">
        <v>511</v>
      </c>
      <c r="B512" s="77" t="s">
        <v>1374</v>
      </c>
      <c r="C512" s="64" t="s">
        <v>2480</v>
      </c>
      <c r="D512" s="191" t="s">
        <v>2432</v>
      </c>
      <c r="E512" s="191" t="s">
        <v>1640</v>
      </c>
      <c r="F512" s="77" t="str">
        <f>VLOOKUP(MP_registro[[#This Row],[TAG]],'DB-EQUIPOS GEN'!$C$11:$H$833,2,0)</f>
        <v>Conductor de alimentación a difusor y retorno</v>
      </c>
      <c r="G512" s="191" t="str">
        <f>VLOOKUP(MP_registro[[#This Row],[TAG]],'DB-EQUIPOS GEN'!$C$11:$H$833,3,0)</f>
        <v>EXTRACCION</v>
      </c>
      <c r="H512" s="191" t="str">
        <f>VLOOKUP(MP_registro[[#This Row],[TAG]],'DB-EQUIPOS GEN'!$C$11:$H$833,4,0)</f>
        <v>PREPARACIÓN DE CAÑA</v>
      </c>
      <c r="I512" s="191" t="str">
        <f>VLOOKUP(MP_registro[[#This Row],[TAG]],'DB-EQUIPOS GEN'!$C$11:$H$833,5,0)</f>
        <v>CONDUCTOR DE RETORNO</v>
      </c>
      <c r="J512" s="191" t="str">
        <f>VLOOKUP(MP_registro[[#This Row],[TAG]],'DB-EQUIPOS GEN'!$C$11:$H$833,6,0)</f>
        <v>0115CV090</v>
      </c>
      <c r="K512" s="192">
        <v>44753</v>
      </c>
      <c r="L512" s="193" t="s">
        <v>249</v>
      </c>
      <c r="M51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12" s="144" t="s">
        <v>1664</v>
      </c>
      <c r="O512" s="64" t="s">
        <v>1696</v>
      </c>
    </row>
    <row r="513" spans="1:15" ht="33.6" customHeight="1">
      <c r="A513" s="65">
        <v>512</v>
      </c>
      <c r="B513" s="77" t="s">
        <v>1374</v>
      </c>
      <c r="C513" s="64" t="s">
        <v>2480</v>
      </c>
      <c r="D513" s="191" t="s">
        <v>2433</v>
      </c>
      <c r="E513" s="191" t="s">
        <v>1641</v>
      </c>
      <c r="F513" s="77" t="str">
        <f>VLOOKUP(MP_registro[[#This Row],[TAG]],'DB-EQUIPOS GEN'!$C$11:$H$833,2,0)</f>
        <v>Mesa de caña</v>
      </c>
      <c r="G513" s="191" t="str">
        <f>VLOOKUP(MP_registro[[#This Row],[TAG]],'DB-EQUIPOS GEN'!$C$11:$H$833,3,0)</f>
        <v>EXTRACCION</v>
      </c>
      <c r="H513" s="191" t="str">
        <f>VLOOKUP(MP_registro[[#This Row],[TAG]],'DB-EQUIPOS GEN'!$C$11:$H$833,4,0)</f>
        <v>RECEPCIÓN DE CAÑA</v>
      </c>
      <c r="I513" s="191" t="str">
        <f>VLOOKUP(MP_registro[[#This Row],[TAG]],'DB-EQUIPOS GEN'!$C$11:$H$833,5,0)</f>
        <v>MESA DE CAÑA</v>
      </c>
      <c r="J513" s="191" t="str">
        <f>VLOOKUP(MP_registro[[#This Row],[TAG]],'DB-EQUIPOS GEN'!$C$11:$H$833,6,0)</f>
        <v>0110FE019</v>
      </c>
      <c r="K513" s="192">
        <v>44753</v>
      </c>
      <c r="L513" s="193" t="s">
        <v>249</v>
      </c>
      <c r="M51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13" s="144" t="s">
        <v>1664</v>
      </c>
      <c r="O513" s="64" t="s">
        <v>1696</v>
      </c>
    </row>
    <row r="514" spans="1:15" ht="33.6" customHeight="1">
      <c r="A514" s="64">
        <v>513</v>
      </c>
      <c r="B514" s="77" t="s">
        <v>1374</v>
      </c>
      <c r="C514" s="64" t="s">
        <v>2480</v>
      </c>
      <c r="D514" s="191" t="s">
        <v>2434</v>
      </c>
      <c r="E514" s="191" t="s">
        <v>1653</v>
      </c>
      <c r="F514" s="77" t="str">
        <f>VLOOKUP(MP_registro[[#This Row],[TAG]],'DB-EQUIPOS GEN'!$C$11:$H$833,2,0)</f>
        <v>Operación del desviador de bagazo</v>
      </c>
      <c r="G514" s="191" t="str">
        <f>VLOOKUP(MP_registro[[#This Row],[TAG]],'DB-EQUIPOS GEN'!$C$11:$H$833,3,0)</f>
        <v>E. TERMICA</v>
      </c>
      <c r="H514" s="191" t="str">
        <f>VLOOKUP(MP_registro[[#This Row],[TAG]],'DB-EQUIPOS GEN'!$C$11:$H$833,4,0)</f>
        <v>TRANSPORTE DE BAGAZO</v>
      </c>
      <c r="I514" s="191" t="str">
        <f>VLOOKUP(MP_registro[[#This Row],[TAG]],'DB-EQUIPOS GEN'!$C$11:$H$833,5,0)</f>
        <v>FAJA TRANSPORTADORA 1004</v>
      </c>
      <c r="J514" s="191" t="str">
        <f>VLOOKUP(MP_registro[[#This Row],[TAG]],'DB-EQUIPOS GEN'!$C$11:$H$833,6,0)</f>
        <v>0805CV070</v>
      </c>
      <c r="K514" s="192">
        <v>44753</v>
      </c>
      <c r="L514" s="193" t="s">
        <v>249</v>
      </c>
      <c r="M51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14" s="144" t="s">
        <v>1664</v>
      </c>
      <c r="O514" s="64" t="s">
        <v>1696</v>
      </c>
    </row>
    <row r="515" spans="1:15" ht="33.6" customHeight="1">
      <c r="A515" s="65">
        <v>514</v>
      </c>
      <c r="B515" s="77" t="s">
        <v>1374</v>
      </c>
      <c r="C515" s="64" t="s">
        <v>2480</v>
      </c>
      <c r="D515" s="191" t="s">
        <v>2435</v>
      </c>
      <c r="E515" s="191" t="s">
        <v>257</v>
      </c>
      <c r="F515" s="77" t="str">
        <f>VLOOKUP(MP_registro[[#This Row],[TAG]],'DB-EQUIPOS GEN'!$C$11:$H$833,2,0)</f>
        <v>Tablero de periferia en Asset Process House</v>
      </c>
      <c r="G515" s="191" t="str">
        <f>VLOOKUP(MP_registro[[#This Row],[TAG]],'DB-EQUIPOS GEN'!$C$11:$H$833,3,0)</f>
        <v>PRODUCCION</v>
      </c>
      <c r="H515" s="191" t="str">
        <f>VLOOKUP(MP_registro[[#This Row],[TAG]],'DB-EQUIPOS GEN'!$C$11:$H$833,4,0)</f>
        <v>EVAPORACION DE JUGO</v>
      </c>
      <c r="I515" s="191" t="str">
        <f>VLOOKUP(MP_registro[[#This Row],[TAG]],'DB-EQUIPOS GEN'!$C$11:$H$833,5,0)</f>
        <v>EVAPORADOR FFE 1</v>
      </c>
      <c r="J515" s="191" t="str">
        <f>VLOOKUP(MP_registro[[#This Row],[TAG]],'DB-EQUIPOS GEN'!$C$11:$H$833,6,0)</f>
        <v>0320EV010</v>
      </c>
      <c r="K515" s="192">
        <v>44754</v>
      </c>
      <c r="L515" s="193" t="s">
        <v>248</v>
      </c>
      <c r="M515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515" s="144" t="s">
        <v>1664</v>
      </c>
      <c r="O515" s="64" t="s">
        <v>1696</v>
      </c>
    </row>
    <row r="516" spans="1:15" ht="33.6" customHeight="1">
      <c r="A516" s="64">
        <v>515</v>
      </c>
      <c r="B516" s="77" t="s">
        <v>1374</v>
      </c>
      <c r="C516" s="64" t="s">
        <v>2480</v>
      </c>
      <c r="D516" s="191" t="s">
        <v>2436</v>
      </c>
      <c r="E516" s="191" t="s">
        <v>1348</v>
      </c>
      <c r="F516" s="77" t="str">
        <f>VLOOKUP(MP_registro[[#This Row],[TAG]],'DB-EQUIPOS GEN'!$C$11:$H$833,2,0)</f>
        <v>Controlador C300 en Asset Cocimiento</v>
      </c>
      <c r="G516" s="191" t="str">
        <f>VLOOKUP(MP_registro[[#This Row],[TAG]],'DB-EQUIPOS GEN'!$C$11:$H$833,3,0)</f>
        <v>PRODUCCION</v>
      </c>
      <c r="H516" s="191" t="str">
        <f>VLOOKUP(MP_registro[[#This Row],[TAG]],'DB-EQUIPOS GEN'!$C$11:$H$833,4,0)</f>
        <v>CRISTALIZACION POR COCCION</v>
      </c>
      <c r="I516" s="191" t="str">
        <f>VLOOKUP(MP_registro[[#This Row],[TAG]],'DB-EQUIPOS GEN'!$C$11:$H$833,5,0)</f>
        <v>TACHO CONTINUO - A</v>
      </c>
      <c r="J516" s="191" t="str">
        <f>VLOOKUP(MP_registro[[#This Row],[TAG]],'DB-EQUIPOS GEN'!$C$11:$H$833,6,0)</f>
        <v>0335HX200</v>
      </c>
      <c r="K516" s="192">
        <v>44754</v>
      </c>
      <c r="L516" s="193" t="s">
        <v>248</v>
      </c>
      <c r="M516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516" s="144" t="s">
        <v>1664</v>
      </c>
      <c r="O516" s="64" t="s">
        <v>1696</v>
      </c>
    </row>
    <row r="517" spans="1:15" ht="33.6" customHeight="1">
      <c r="A517" s="65">
        <v>516</v>
      </c>
      <c r="B517" s="77" t="s">
        <v>1374</v>
      </c>
      <c r="C517" s="64" t="s">
        <v>2480</v>
      </c>
      <c r="D517" s="191" t="s">
        <v>2437</v>
      </c>
      <c r="E517" s="191" t="s">
        <v>1659</v>
      </c>
      <c r="F517" s="77" t="str">
        <f>VLOOKUP(MP_registro[[#This Row],[TAG]],'DB-EQUIPOS GEN'!$C$11:$H$833,2,0)</f>
        <v>Vista global de tanques de jarabe 1,2 y 3</v>
      </c>
      <c r="G517" s="191" t="str">
        <f>VLOOKUP(MP_registro[[#This Row],[TAG]],'DB-EQUIPOS GEN'!$C$11:$H$833,3,0)</f>
        <v>PRODUCCION</v>
      </c>
      <c r="H517" s="191" t="str">
        <f>VLOOKUP(MP_registro[[#This Row],[TAG]],'DB-EQUIPOS GEN'!$C$11:$H$833,4,0)</f>
        <v>CRISTALIZACIÓN POR COCCIÓN</v>
      </c>
      <c r="I517" s="191" t="str">
        <f>VLOOKUP(MP_registro[[#This Row],[TAG]],'DB-EQUIPOS GEN'!$C$11:$H$833,5,0)</f>
        <v>TANQUE DE JARABE 1</v>
      </c>
      <c r="J517" s="191" t="str">
        <f>VLOOKUP(MP_registro[[#This Row],[TAG]],'DB-EQUIPOS GEN'!$C$11:$H$833,6,0)</f>
        <v>0335TK010</v>
      </c>
      <c r="K517" s="192">
        <v>44754</v>
      </c>
      <c r="L517" s="193" t="s">
        <v>249</v>
      </c>
      <c r="M517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17" s="144" t="s">
        <v>1664</v>
      </c>
      <c r="O517" s="64" t="s">
        <v>1696</v>
      </c>
    </row>
    <row r="518" spans="1:15" ht="33.6" customHeight="1">
      <c r="A518" s="64">
        <v>517</v>
      </c>
      <c r="B518" s="77" t="s">
        <v>1374</v>
      </c>
      <c r="C518" s="64" t="s">
        <v>2480</v>
      </c>
      <c r="D518" s="191" t="s">
        <v>2438</v>
      </c>
      <c r="E518" s="191" t="s">
        <v>1660</v>
      </c>
      <c r="F518" s="77" t="str">
        <f>VLOOKUP(MP_registro[[#This Row],[TAG]],'DB-EQUIPOS GEN'!$C$11:$H$833,2,0)</f>
        <v>Vista global de tacho continuo A.</v>
      </c>
      <c r="G518" s="191" t="str">
        <f>VLOOKUP(MP_registro[[#This Row],[TAG]],'DB-EQUIPOS GEN'!$C$11:$H$833,3,0)</f>
        <v>PRODUCCION</v>
      </c>
      <c r="H518" s="191" t="str">
        <f>VLOOKUP(MP_registro[[#This Row],[TAG]],'DB-EQUIPOS GEN'!$C$11:$H$833,4,0)</f>
        <v>CRISTALIZACIÓN POR COCCIÓN</v>
      </c>
      <c r="I518" s="191" t="str">
        <f>VLOOKUP(MP_registro[[#This Row],[TAG]],'DB-EQUIPOS GEN'!$C$11:$H$833,5,0)</f>
        <v>TACHO CONTINUO - A</v>
      </c>
      <c r="J518" s="191" t="str">
        <f>VLOOKUP(MP_registro[[#This Row],[TAG]],'DB-EQUIPOS GEN'!$C$11:$H$833,6,0)</f>
        <v>0335HX200</v>
      </c>
      <c r="K518" s="192">
        <v>44754</v>
      </c>
      <c r="L518" s="193" t="s">
        <v>249</v>
      </c>
      <c r="M51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18" s="144" t="s">
        <v>1664</v>
      </c>
      <c r="O518" s="64" t="s">
        <v>1696</v>
      </c>
    </row>
    <row r="519" spans="1:15" ht="33.6" customHeight="1">
      <c r="A519" s="65">
        <v>518</v>
      </c>
      <c r="B519" s="77" t="s">
        <v>1374</v>
      </c>
      <c r="C519" s="64" t="s">
        <v>2480</v>
      </c>
      <c r="D519" s="191" t="s">
        <v>2439</v>
      </c>
      <c r="E519" s="191" t="s">
        <v>1649</v>
      </c>
      <c r="F519" s="77" t="str">
        <f>VLOOKUP(MP_registro[[#This Row],[TAG]],'DB-EQUIPOS GEN'!$C$11:$H$833,2,0)</f>
        <v>Chute alimentadores de bagazo</v>
      </c>
      <c r="G519" s="191" t="str">
        <f>VLOOKUP(MP_registro[[#This Row],[TAG]],'DB-EQUIPOS GEN'!$C$11:$H$833,3,0)</f>
        <v>E. TERMICA</v>
      </c>
      <c r="H519" s="191" t="str">
        <f>VLOOKUP(MP_registro[[#This Row],[TAG]],'DB-EQUIPOS GEN'!$C$11:$H$833,4,0)</f>
        <v>TRANSPORTE DE BAGAZO</v>
      </c>
      <c r="I519" s="191" t="str">
        <f>VLOOKUP(MP_registro[[#This Row],[TAG]],'DB-EQUIPOS GEN'!$C$11:$H$833,5,0)</f>
        <v>ALIMENTADOR DE BAGAZO 1</v>
      </c>
      <c r="J519" s="191" t="str">
        <f>VLOOKUP(MP_registro[[#This Row],[TAG]],'DB-EQUIPOS GEN'!$C$11:$H$833,6,0)</f>
        <v>0405RV240</v>
      </c>
      <c r="K519" s="192">
        <v>44754</v>
      </c>
      <c r="L519" s="193" t="s">
        <v>249</v>
      </c>
      <c r="M51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19" s="144" t="s">
        <v>1664</v>
      </c>
      <c r="O519" s="64" t="s">
        <v>1696</v>
      </c>
    </row>
    <row r="520" spans="1:15" ht="33.6" customHeight="1">
      <c r="A520" s="64">
        <v>519</v>
      </c>
      <c r="B520" s="77" t="s">
        <v>1374</v>
      </c>
      <c r="C520" s="64" t="s">
        <v>2480</v>
      </c>
      <c r="D520" s="191" t="s">
        <v>2440</v>
      </c>
      <c r="E520" s="191" t="s">
        <v>1655</v>
      </c>
      <c r="F520" s="77" t="str">
        <f>VLOOKUP(MP_registro[[#This Row],[TAG]],'DB-EQUIPOS GEN'!$C$11:$H$833,2,0)</f>
        <v>Vista global de planta de osmosis</v>
      </c>
      <c r="G520" s="191" t="str">
        <f>VLOOKUP(MP_registro[[#This Row],[TAG]],'DB-EQUIPOS GEN'!$C$11:$H$833,3,0)</f>
        <v>E. TERMICA</v>
      </c>
      <c r="H520" s="191" t="str">
        <f>VLOOKUP(MP_registro[[#This Row],[TAG]],'DB-EQUIPOS GEN'!$C$11:$H$833,4,0)</f>
        <v>PLANTA TRATAMIENTO OSMOSIS INVERSA</v>
      </c>
      <c r="I520" s="191" t="str">
        <f>VLOOKUP(MP_registro[[#This Row],[TAG]],'DB-EQUIPOS GEN'!$C$11:$H$833,5,0)</f>
        <v>PLANTA DE OSMOSIS INVERSA</v>
      </c>
      <c r="J520" s="191" t="str">
        <f>VLOOKUP(MP_registro[[#This Row],[TAG]],'DB-EQUIPOS GEN'!$C$11:$H$833,6,0)</f>
        <v>0425OI101</v>
      </c>
      <c r="K520" s="192">
        <v>44754</v>
      </c>
      <c r="L520" s="193" t="s">
        <v>249</v>
      </c>
      <c r="M52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20" s="144" t="s">
        <v>1664</v>
      </c>
      <c r="O520" s="64" t="s">
        <v>1696</v>
      </c>
    </row>
    <row r="521" spans="1:15" ht="33.6" customHeight="1">
      <c r="A521" s="65">
        <v>520</v>
      </c>
      <c r="B521" s="77" t="s">
        <v>1374</v>
      </c>
      <c r="C521" s="64" t="s">
        <v>2480</v>
      </c>
      <c r="D521" s="191" t="s">
        <v>2441</v>
      </c>
      <c r="E521" s="191" t="s">
        <v>344</v>
      </c>
      <c r="F521" s="77" t="str">
        <f>VLOOKUP(MP_registro[[#This Row],[TAG]],'DB-EQUIPOS GEN'!$C$11:$H$833,2,0)</f>
        <v>Nivel de bagazo de chute donelly de molino secador</v>
      </c>
      <c r="G521" s="191" t="str">
        <f>VLOOKUP(MP_registro[[#This Row],[TAG]],'DB-EQUIPOS GEN'!$C$11:$H$833,3,0)</f>
        <v>EXTRACCION</v>
      </c>
      <c r="H521" s="191" t="str">
        <f>VLOOKUP(MP_registro[[#This Row],[TAG]],'DB-EQUIPOS GEN'!$C$11:$H$833,4,0)</f>
        <v>MOLINOS</v>
      </c>
      <c r="I521" s="191" t="str">
        <f>VLOOKUP(MP_registro[[#This Row],[TAG]],'DB-EQUIPOS GEN'!$C$11:$H$833,5,0)</f>
        <v xml:space="preserve">MOLINO SECADOR </v>
      </c>
      <c r="J521" s="191" t="str">
        <f>VLOOKUP(MP_registro[[#This Row],[TAG]],'DB-EQUIPOS GEN'!$C$11:$H$833,6,0)</f>
        <v>0210MM090</v>
      </c>
      <c r="K521" s="192">
        <v>44755</v>
      </c>
      <c r="L521" s="193" t="s">
        <v>245</v>
      </c>
      <c r="M52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21" s="144" t="s">
        <v>1664</v>
      </c>
      <c r="O521" s="64" t="s">
        <v>1696</v>
      </c>
    </row>
    <row r="522" spans="1:15" ht="33.6" customHeight="1">
      <c r="A522" s="64">
        <v>521</v>
      </c>
      <c r="B522" s="77" t="s">
        <v>1374</v>
      </c>
      <c r="C522" s="64" t="s">
        <v>2480</v>
      </c>
      <c r="D522" s="191" t="s">
        <v>2442</v>
      </c>
      <c r="E522" s="191" t="s">
        <v>730</v>
      </c>
      <c r="F522" s="77" t="str">
        <f>VLOOKUP(MP_registro[[#This Row],[TAG]],'DB-EQUIPOS GEN'!$C$11:$H$833,2,0)</f>
        <v>Brix de masa A - Celda 1</v>
      </c>
      <c r="G522" s="191" t="str">
        <f>VLOOKUP(MP_registro[[#This Row],[TAG]],'DB-EQUIPOS GEN'!$C$11:$H$833,3,0)</f>
        <v>PRODUCCION</v>
      </c>
      <c r="H522" s="191" t="str">
        <f>VLOOKUP(MP_registro[[#This Row],[TAG]],'DB-EQUIPOS GEN'!$C$11:$H$833,4,0)</f>
        <v>CRISTALIZACION POR COCCION</v>
      </c>
      <c r="I522" s="191" t="str">
        <f>VLOOKUP(MP_registro[[#This Row],[TAG]],'DB-EQUIPOS GEN'!$C$11:$H$833,5,0)</f>
        <v xml:space="preserve">TACHO CONTINUO A </v>
      </c>
      <c r="J522" s="191" t="str">
        <f>VLOOKUP(MP_registro[[#This Row],[TAG]],'DB-EQUIPOS GEN'!$C$11:$H$833,6,0)</f>
        <v xml:space="preserve"> 0335HX200</v>
      </c>
      <c r="K522" s="192">
        <v>44755</v>
      </c>
      <c r="L522" s="193" t="s">
        <v>249</v>
      </c>
      <c r="M52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22" s="144" t="s">
        <v>1664</v>
      </c>
      <c r="O522" s="64" t="s">
        <v>1696</v>
      </c>
    </row>
    <row r="523" spans="1:15" ht="33.6" customHeight="1">
      <c r="A523" s="65">
        <v>522</v>
      </c>
      <c r="B523" s="77" t="s">
        <v>1374</v>
      </c>
      <c r="C523" s="64" t="s">
        <v>2480</v>
      </c>
      <c r="D523" s="191" t="s">
        <v>2443</v>
      </c>
      <c r="E523" s="191" t="s">
        <v>734</v>
      </c>
      <c r="F523" s="77" t="str">
        <f>VLOOKUP(MP_registro[[#This Row],[TAG]],'DB-EQUIPOS GEN'!$C$11:$H$833,2,0)</f>
        <v>Brix de masa A - Celda 3</v>
      </c>
      <c r="G523" s="191" t="str">
        <f>VLOOKUP(MP_registro[[#This Row],[TAG]],'DB-EQUIPOS GEN'!$C$11:$H$833,3,0)</f>
        <v>PRODUCCION</v>
      </c>
      <c r="H523" s="191" t="str">
        <f>VLOOKUP(MP_registro[[#This Row],[TAG]],'DB-EQUIPOS GEN'!$C$11:$H$833,4,0)</f>
        <v>CRISTALIZACION POR COCCION</v>
      </c>
      <c r="I523" s="191" t="str">
        <f>VLOOKUP(MP_registro[[#This Row],[TAG]],'DB-EQUIPOS GEN'!$C$11:$H$833,5,0)</f>
        <v xml:space="preserve">TACHO CONTINUO A </v>
      </c>
      <c r="J523" s="191" t="str">
        <f>VLOOKUP(MP_registro[[#This Row],[TAG]],'DB-EQUIPOS GEN'!$C$11:$H$833,6,0)</f>
        <v xml:space="preserve"> 0335HX200</v>
      </c>
      <c r="K523" s="192">
        <v>44755</v>
      </c>
      <c r="L523" s="193" t="s">
        <v>245</v>
      </c>
      <c r="M52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23" s="144" t="s">
        <v>1664</v>
      </c>
      <c r="O523" s="64" t="s">
        <v>1696</v>
      </c>
    </row>
    <row r="524" spans="1:15" ht="33.6" customHeight="1">
      <c r="A524" s="64">
        <v>523</v>
      </c>
      <c r="B524" s="77" t="s">
        <v>1374</v>
      </c>
      <c r="C524" s="64" t="s">
        <v>2480</v>
      </c>
      <c r="D524" s="191" t="s">
        <v>2444</v>
      </c>
      <c r="E524" s="191" t="s">
        <v>736</v>
      </c>
      <c r="F524" s="77" t="str">
        <f>VLOOKUP(MP_registro[[#This Row],[TAG]],'DB-EQUIPOS GEN'!$C$11:$H$833,2,0)</f>
        <v>Brix de masa A - Celda 4</v>
      </c>
      <c r="G524" s="191" t="str">
        <f>VLOOKUP(MP_registro[[#This Row],[TAG]],'DB-EQUIPOS GEN'!$C$11:$H$833,3,0)</f>
        <v>PRODUCCION</v>
      </c>
      <c r="H524" s="191" t="str">
        <f>VLOOKUP(MP_registro[[#This Row],[TAG]],'DB-EQUIPOS GEN'!$C$11:$H$833,4,0)</f>
        <v>CRISTALIZACION POR COCCION</v>
      </c>
      <c r="I524" s="191" t="str">
        <f>VLOOKUP(MP_registro[[#This Row],[TAG]],'DB-EQUIPOS GEN'!$C$11:$H$833,5,0)</f>
        <v xml:space="preserve">TACHO CONTINUO A </v>
      </c>
      <c r="J524" s="191" t="str">
        <f>VLOOKUP(MP_registro[[#This Row],[TAG]],'DB-EQUIPOS GEN'!$C$11:$H$833,6,0)</f>
        <v xml:space="preserve"> 0335HX200</v>
      </c>
      <c r="K524" s="192">
        <v>44755</v>
      </c>
      <c r="L524" s="193" t="s">
        <v>249</v>
      </c>
      <c r="M52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24" s="144" t="s">
        <v>1664</v>
      </c>
      <c r="O524" s="64" t="s">
        <v>1696</v>
      </c>
    </row>
    <row r="525" spans="1:15" ht="33.6" customHeight="1">
      <c r="A525" s="65">
        <v>524</v>
      </c>
      <c r="B525" s="77" t="s">
        <v>1374</v>
      </c>
      <c r="C525" s="64" t="s">
        <v>2480</v>
      </c>
      <c r="D525" s="191" t="s">
        <v>2445</v>
      </c>
      <c r="E525" s="191" t="s">
        <v>738</v>
      </c>
      <c r="F525" s="77" t="str">
        <f>VLOOKUP(MP_registro[[#This Row],[TAG]],'DB-EQUIPOS GEN'!$C$11:$H$833,2,0)</f>
        <v>Brix de masa A - Celda 5</v>
      </c>
      <c r="G525" s="191" t="str">
        <f>VLOOKUP(MP_registro[[#This Row],[TAG]],'DB-EQUIPOS GEN'!$C$11:$H$833,3,0)</f>
        <v>PRODUCCION</v>
      </c>
      <c r="H525" s="191" t="str">
        <f>VLOOKUP(MP_registro[[#This Row],[TAG]],'DB-EQUIPOS GEN'!$C$11:$H$833,4,0)</f>
        <v>CRISTALIZACION POR COCCION</v>
      </c>
      <c r="I525" s="191" t="str">
        <f>VLOOKUP(MP_registro[[#This Row],[TAG]],'DB-EQUIPOS GEN'!$C$11:$H$833,5,0)</f>
        <v xml:space="preserve">TACHO CONTINUO A </v>
      </c>
      <c r="J525" s="191" t="str">
        <f>VLOOKUP(MP_registro[[#This Row],[TAG]],'DB-EQUIPOS GEN'!$C$11:$H$833,6,0)</f>
        <v xml:space="preserve"> 0335HX200</v>
      </c>
      <c r="K525" s="192">
        <v>44755</v>
      </c>
      <c r="L525" s="193" t="s">
        <v>245</v>
      </c>
      <c r="M52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25" s="144" t="s">
        <v>1664</v>
      </c>
      <c r="O525" s="64" t="s">
        <v>1696</v>
      </c>
    </row>
    <row r="526" spans="1:15" ht="33.6" customHeight="1">
      <c r="A526" s="64">
        <v>525</v>
      </c>
      <c r="B526" s="77" t="s">
        <v>1374</v>
      </c>
      <c r="C526" s="64" t="s">
        <v>2480</v>
      </c>
      <c r="D526" s="191" t="s">
        <v>2446</v>
      </c>
      <c r="E526" s="191" t="s">
        <v>740</v>
      </c>
      <c r="F526" s="77" t="str">
        <f>VLOOKUP(MP_registro[[#This Row],[TAG]],'DB-EQUIPOS GEN'!$C$11:$H$833,2,0)</f>
        <v>Brix de masa A - Celda 6</v>
      </c>
      <c r="G526" s="191" t="str">
        <f>VLOOKUP(MP_registro[[#This Row],[TAG]],'DB-EQUIPOS GEN'!$C$11:$H$833,3,0)</f>
        <v>PRODUCCION</v>
      </c>
      <c r="H526" s="191" t="str">
        <f>VLOOKUP(MP_registro[[#This Row],[TAG]],'DB-EQUIPOS GEN'!$C$11:$H$833,4,0)</f>
        <v>CRISTALIZACION POR COCCION</v>
      </c>
      <c r="I526" s="191" t="str">
        <f>VLOOKUP(MP_registro[[#This Row],[TAG]],'DB-EQUIPOS GEN'!$C$11:$H$833,5,0)</f>
        <v xml:space="preserve">TACHO CONTINUO A </v>
      </c>
      <c r="J526" s="191" t="str">
        <f>VLOOKUP(MP_registro[[#This Row],[TAG]],'DB-EQUIPOS GEN'!$C$11:$H$833,6,0)</f>
        <v xml:space="preserve"> 0335HX200</v>
      </c>
      <c r="K526" s="192">
        <v>44755</v>
      </c>
      <c r="L526" s="193" t="s">
        <v>249</v>
      </c>
      <c r="M52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26" s="144" t="s">
        <v>1664</v>
      </c>
      <c r="O526" s="64" t="s">
        <v>1696</v>
      </c>
    </row>
    <row r="527" spans="1:15" ht="33.6" customHeight="1">
      <c r="A527" s="65">
        <v>526</v>
      </c>
      <c r="B527" s="77" t="s">
        <v>1374</v>
      </c>
      <c r="C527" s="64" t="s">
        <v>2480</v>
      </c>
      <c r="D527" s="191" t="s">
        <v>2447</v>
      </c>
      <c r="E527" s="191" t="s">
        <v>256</v>
      </c>
      <c r="F527" s="77" t="str">
        <f>VLOOKUP(MP_registro[[#This Row],[TAG]],'DB-EQUIPOS GEN'!$C$11:$H$833,2,0)</f>
        <v>Tablero de periferia en Asset Difusor</v>
      </c>
      <c r="G527" s="191" t="str">
        <f>VLOOKUP(MP_registro[[#This Row],[TAG]],'DB-EQUIPOS GEN'!$C$11:$H$833,3,0)</f>
        <v>EXTRACCION</v>
      </c>
      <c r="H527" s="191" t="str">
        <f>VLOOKUP(MP_registro[[#This Row],[TAG]],'DB-EQUIPOS GEN'!$C$11:$H$833,4,0)</f>
        <v>DIFUSOR</v>
      </c>
      <c r="I527" s="191" t="str">
        <f>VLOOKUP(MP_registro[[#This Row],[TAG]],'DB-EQUIPOS GEN'!$C$11:$H$833,5,0)</f>
        <v>DIFUSOR</v>
      </c>
      <c r="J527" s="191" t="str">
        <f>VLOOKUP(MP_registro[[#This Row],[TAG]],'DB-EQUIPOS GEN'!$C$11:$H$833,6,0)</f>
        <v>0205DF180</v>
      </c>
      <c r="K527" s="192">
        <v>44755</v>
      </c>
      <c r="L527" s="193" t="s">
        <v>248</v>
      </c>
      <c r="M527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527" s="144" t="s">
        <v>1664</v>
      </c>
      <c r="O527" s="64" t="s">
        <v>1696</v>
      </c>
    </row>
    <row r="528" spans="1:15" ht="33.6" customHeight="1">
      <c r="A528" s="64">
        <v>527</v>
      </c>
      <c r="B528" s="77" t="s">
        <v>1374</v>
      </c>
      <c r="C528" s="64" t="s">
        <v>2480</v>
      </c>
      <c r="D528" s="191" t="s">
        <v>2448</v>
      </c>
      <c r="E528" s="191" t="s">
        <v>1656</v>
      </c>
      <c r="F528" s="77" t="str">
        <f>VLOOKUP(MP_registro[[#This Row],[TAG]],'DB-EQUIPOS GEN'!$C$11:$H$833,2,0)</f>
        <v>Descarga de centrifugas continuas</v>
      </c>
      <c r="G528" s="191" t="str">
        <f>VLOOKUP(MP_registro[[#This Row],[TAG]],'DB-EQUIPOS GEN'!$C$11:$H$833,3,0)</f>
        <v>PRODUCCION</v>
      </c>
      <c r="H528" s="191" t="str">
        <f>VLOOKUP(MP_registro[[#This Row],[TAG]],'DB-EQUIPOS GEN'!$C$11:$H$833,4,0)</f>
        <v>CENTRIFUGACIÓN DE AZÚCAR</v>
      </c>
      <c r="I528" s="191" t="str">
        <f>VLOOKUP(MP_registro[[#This Row],[TAG]],'DB-EQUIPOS GEN'!$C$11:$H$833,5,0)</f>
        <v>CENTRIFUGA CONTINUA 1 - C (FRANCIA)</v>
      </c>
      <c r="J528" s="191" t="str">
        <f>VLOOKUP(MP_registro[[#This Row],[TAG]],'DB-EQUIPOS GEN'!$C$11:$H$833,6,0)</f>
        <v>0345SQ160</v>
      </c>
      <c r="K528" s="192">
        <v>44755</v>
      </c>
      <c r="L528" s="193" t="s">
        <v>249</v>
      </c>
      <c r="M52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28" s="144" t="s">
        <v>1664</v>
      </c>
      <c r="O528" s="64" t="s">
        <v>1696</v>
      </c>
    </row>
    <row r="529" spans="1:15" ht="33.6" customHeight="1">
      <c r="A529" s="65">
        <v>528</v>
      </c>
      <c r="B529" s="77" t="s">
        <v>1374</v>
      </c>
      <c r="C529" s="64" t="s">
        <v>2480</v>
      </c>
      <c r="D529" s="191" t="s">
        <v>2449</v>
      </c>
      <c r="E529" s="191" t="s">
        <v>1657</v>
      </c>
      <c r="F529" s="77" t="str">
        <f>VLOOKUP(MP_registro[[#This Row],[TAG]],'DB-EQUIPOS GEN'!$C$11:$H$833,2,0)</f>
        <v>Pug mill B, Cabezal C de centrifugas continuas</v>
      </c>
      <c r="G529" s="191" t="str">
        <f>VLOOKUP(MP_registro[[#This Row],[TAG]],'DB-EQUIPOS GEN'!$C$11:$H$833,3,0)</f>
        <v>PRODUCCION</v>
      </c>
      <c r="H529" s="191" t="str">
        <f>VLOOKUP(MP_registro[[#This Row],[TAG]],'DB-EQUIPOS GEN'!$C$11:$H$833,4,0)</f>
        <v>CENTRIFUGACIÓN DE AZÚCAR</v>
      </c>
      <c r="I529" s="191" t="str">
        <f>VLOOKUP(MP_registro[[#This Row],[TAG]],'DB-EQUIPOS GEN'!$C$11:$H$833,5,0)</f>
        <v>PUG MILL - B</v>
      </c>
      <c r="J529" s="191" t="str">
        <f>VLOOKUP(MP_registro[[#This Row],[TAG]],'DB-EQUIPOS GEN'!$C$11:$H$833,6,0)</f>
        <v>0345MM020</v>
      </c>
      <c r="K529" s="192">
        <v>44755</v>
      </c>
      <c r="L529" s="193" t="s">
        <v>245</v>
      </c>
      <c r="M52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29" s="144" t="s">
        <v>1664</v>
      </c>
      <c r="O529" s="64" t="s">
        <v>1696</v>
      </c>
    </row>
    <row r="530" spans="1:15" ht="33.6" customHeight="1">
      <c r="A530" s="64">
        <v>529</v>
      </c>
      <c r="B530" s="77" t="s">
        <v>1374</v>
      </c>
      <c r="C530" s="64" t="s">
        <v>2480</v>
      </c>
      <c r="D530" s="191" t="s">
        <v>2450</v>
      </c>
      <c r="E530" s="191" t="s">
        <v>1658</v>
      </c>
      <c r="F530" s="77" t="str">
        <f>VLOOKUP(MP_registro[[#This Row],[TAG]],'DB-EQUIPOS GEN'!$C$11:$H$833,2,0)</f>
        <v>Pug mill A - Centrifugas batch</v>
      </c>
      <c r="G530" s="191" t="str">
        <f>VLOOKUP(MP_registro[[#This Row],[TAG]],'DB-EQUIPOS GEN'!$C$11:$H$833,3,0)</f>
        <v>PRODUCCION</v>
      </c>
      <c r="H530" s="191" t="str">
        <f>VLOOKUP(MP_registro[[#This Row],[TAG]],'DB-EQUIPOS GEN'!$C$11:$H$833,4,0)</f>
        <v>CENTRIFUGACIÓN DE AZÚCAR</v>
      </c>
      <c r="I530" s="191" t="str">
        <f>VLOOKUP(MP_registro[[#This Row],[TAG]],'DB-EQUIPOS GEN'!$C$11:$H$833,5,0)</f>
        <v>PUG MILL - A</v>
      </c>
      <c r="J530" s="191" t="str">
        <f>VLOOKUP(MP_registro[[#This Row],[TAG]],'DB-EQUIPOS GEN'!$C$11:$H$833,6,0)</f>
        <v>0345MM010</v>
      </c>
      <c r="K530" s="192">
        <v>44755</v>
      </c>
      <c r="L530" s="193" t="s">
        <v>249</v>
      </c>
      <c r="M53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30" s="144" t="s">
        <v>1664</v>
      </c>
      <c r="O530" s="64" t="s">
        <v>1696</v>
      </c>
    </row>
    <row r="531" spans="1:15" ht="33.6" customHeight="1">
      <c r="A531" s="65">
        <v>530</v>
      </c>
      <c r="B531" s="77" t="s">
        <v>1374</v>
      </c>
      <c r="C531" s="64" t="s">
        <v>2480</v>
      </c>
      <c r="D531" s="191" t="s">
        <v>2451</v>
      </c>
      <c r="E531" s="191" t="s">
        <v>1661</v>
      </c>
      <c r="F531" s="77" t="str">
        <f>VLOOKUP(MP_registro[[#This Row],[TAG]],'DB-EQUIPOS GEN'!$C$11:$H$833,2,0)</f>
        <v xml:space="preserve">Faja de azucar seca a Silo </v>
      </c>
      <c r="G531" s="191" t="str">
        <f>VLOOKUP(MP_registro[[#This Row],[TAG]],'DB-EQUIPOS GEN'!$C$11:$H$833,3,0)</f>
        <v>PRODUCCION</v>
      </c>
      <c r="H531" s="191" t="str">
        <f>VLOOKUP(MP_registro[[#This Row],[TAG]],'DB-EQUIPOS GEN'!$C$11:$H$833,4,0)</f>
        <v>ENVASADO DE AZÚCAR RUBIA</v>
      </c>
      <c r="I531" s="191" t="str">
        <f>VLOOKUP(MP_registro[[#This Row],[TAG]],'DB-EQUIPOS GEN'!$C$11:$H$833,5,0)</f>
        <v>SILO DE AZUCAR 1</v>
      </c>
      <c r="J531" s="191" t="str">
        <f>VLOOKUP(MP_registro[[#This Row],[TAG]],'DB-EQUIPOS GEN'!$C$11:$H$833,6,0)</f>
        <v>0355BI090</v>
      </c>
      <c r="K531" s="192">
        <v>44755</v>
      </c>
      <c r="L531" s="193" t="s">
        <v>245</v>
      </c>
      <c r="M53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31" s="144" t="s">
        <v>1664</v>
      </c>
      <c r="O531" s="64" t="s">
        <v>1696</v>
      </c>
    </row>
    <row r="532" spans="1:15" ht="33.6" customHeight="1">
      <c r="A532" s="64">
        <v>531</v>
      </c>
      <c r="B532" s="77" t="s">
        <v>1374</v>
      </c>
      <c r="C532" s="64" t="s">
        <v>2480</v>
      </c>
      <c r="D532" s="191" t="s">
        <v>2452</v>
      </c>
      <c r="E532" s="191" t="s">
        <v>1648</v>
      </c>
      <c r="F532" s="77" t="str">
        <f>VLOOKUP(MP_registro[[#This Row],[TAG]],'DB-EQUIPOS GEN'!$C$11:$H$833,2,0)</f>
        <v>Nivel de agua en domo</v>
      </c>
      <c r="G532" s="191" t="str">
        <f>VLOOKUP(MP_registro[[#This Row],[TAG]],'DB-EQUIPOS GEN'!$C$11:$H$833,3,0)</f>
        <v>E. TERMICA</v>
      </c>
      <c r="H532" s="191" t="str">
        <f>VLOOKUP(MP_registro[[#This Row],[TAG]],'DB-EQUIPOS GEN'!$C$11:$H$833,4,0)</f>
        <v>GENERACIÓN DE VAPOR</v>
      </c>
      <c r="I532" s="191" t="str">
        <f>VLOOKUP(MP_registro[[#This Row],[TAG]],'DB-EQUIPOS GEN'!$C$11:$H$833,5,0)</f>
        <v>DOMO SUPERIOR</v>
      </c>
      <c r="J532" s="191" t="str">
        <f>VLOOKUP(MP_registro[[#This Row],[TAG]],'DB-EQUIPOS GEN'!$C$11:$H$833,6,0)</f>
        <v>0405DO020</v>
      </c>
      <c r="K532" s="192">
        <v>44755</v>
      </c>
      <c r="L532" s="193" t="s">
        <v>245</v>
      </c>
      <c r="M532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32" s="144" t="s">
        <v>13</v>
      </c>
      <c r="O532" s="64" t="s">
        <v>1696</v>
      </c>
    </row>
    <row r="533" spans="1:15" ht="33.6" customHeight="1">
      <c r="A533" s="65">
        <v>532</v>
      </c>
      <c r="B533" s="77" t="s">
        <v>1374</v>
      </c>
      <c r="C533" s="64" t="s">
        <v>2480</v>
      </c>
      <c r="D533" s="191" t="s">
        <v>2453</v>
      </c>
      <c r="E533" s="191" t="s">
        <v>339</v>
      </c>
      <c r="F533" s="77" t="str">
        <f>VLOOKUP(MP_registro[[#This Row],[TAG]],'DB-EQUIPOS GEN'!$C$11:$H$833,2,0)</f>
        <v>Flotacion de masa lado libre</v>
      </c>
      <c r="G533" s="191" t="str">
        <f>VLOOKUP(MP_registro[[#This Row],[TAG]],'DB-EQUIPOS GEN'!$C$11:$H$833,3,0)</f>
        <v>EXTRACCION</v>
      </c>
      <c r="H533" s="191" t="str">
        <f>VLOOKUP(MP_registro[[#This Row],[TAG]],'DB-EQUIPOS GEN'!$C$11:$H$833,4,0)</f>
        <v>MOLINOS</v>
      </c>
      <c r="I533" s="191" t="str">
        <f>VLOOKUP(MP_registro[[#This Row],[TAG]],'DB-EQUIPOS GEN'!$C$11:$H$833,5,0)</f>
        <v xml:space="preserve">MOLINO SECADOR </v>
      </c>
      <c r="J533" s="191" t="str">
        <f>VLOOKUP(MP_registro[[#This Row],[TAG]],'DB-EQUIPOS GEN'!$C$11:$H$833,6,0)</f>
        <v>0210MM090</v>
      </c>
      <c r="K533" s="192">
        <v>44756</v>
      </c>
      <c r="L533" s="193" t="s">
        <v>247</v>
      </c>
      <c r="M533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33" s="144" t="s">
        <v>1664</v>
      </c>
      <c r="O533" s="64" t="s">
        <v>1696</v>
      </c>
    </row>
    <row r="534" spans="1:15" ht="33.6" customHeight="1">
      <c r="A534" s="64">
        <v>533</v>
      </c>
      <c r="B534" s="77" t="s">
        <v>1374</v>
      </c>
      <c r="C534" s="64" t="s">
        <v>2480</v>
      </c>
      <c r="D534" s="191" t="s">
        <v>2454</v>
      </c>
      <c r="E534" s="191" t="s">
        <v>744</v>
      </c>
      <c r="F534" s="77" t="str">
        <f>VLOOKUP(MP_registro[[#This Row],[TAG]],'DB-EQUIPOS GEN'!$C$11:$H$833,2,0)</f>
        <v>Brix de masa A - Celda 8</v>
      </c>
      <c r="G534" s="191" t="str">
        <f>VLOOKUP(MP_registro[[#This Row],[TAG]],'DB-EQUIPOS GEN'!$C$11:$H$833,3,0)</f>
        <v>PRODUCCION</v>
      </c>
      <c r="H534" s="191" t="str">
        <f>VLOOKUP(MP_registro[[#This Row],[TAG]],'DB-EQUIPOS GEN'!$C$11:$H$833,4,0)</f>
        <v>CRISTALIZACION POR COCCION</v>
      </c>
      <c r="I534" s="191" t="str">
        <f>VLOOKUP(MP_registro[[#This Row],[TAG]],'DB-EQUIPOS GEN'!$C$11:$H$833,5,0)</f>
        <v xml:space="preserve">TACHO CONTINUO A </v>
      </c>
      <c r="J534" s="191" t="str">
        <f>VLOOKUP(MP_registro[[#This Row],[TAG]],'DB-EQUIPOS GEN'!$C$11:$H$833,6,0)</f>
        <v xml:space="preserve"> 0335HX200</v>
      </c>
      <c r="K534" s="192">
        <v>44756</v>
      </c>
      <c r="L534" s="193" t="s">
        <v>247</v>
      </c>
      <c r="M53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34" s="144" t="s">
        <v>1664</v>
      </c>
      <c r="O534" s="64" t="s">
        <v>1696</v>
      </c>
    </row>
    <row r="535" spans="1:15" ht="33.6" customHeight="1">
      <c r="A535" s="65">
        <v>534</v>
      </c>
      <c r="B535" s="77" t="s">
        <v>1374</v>
      </c>
      <c r="C535" s="64" t="s">
        <v>2480</v>
      </c>
      <c r="D535" s="191" t="s">
        <v>2455</v>
      </c>
      <c r="E535" s="191" t="s">
        <v>255</v>
      </c>
      <c r="F535" s="77" t="str">
        <f>VLOOKUP(MP_registro[[#This Row],[TAG]],'DB-EQUIPOS GEN'!$C$11:$H$833,2,0)</f>
        <v>Tablero de periferia en Asset Turbina</v>
      </c>
      <c r="G535" s="191" t="str">
        <f>VLOOKUP(MP_registro[[#This Row],[TAG]],'DB-EQUIPOS GEN'!$C$11:$H$833,3,0)</f>
        <v>E. ELECTRICA</v>
      </c>
      <c r="H535" s="191" t="str">
        <f>VLOOKUP(MP_registro[[#This Row],[TAG]],'DB-EQUIPOS GEN'!$C$11:$H$833,4,0)</f>
        <v>GENERACION ENERG. ELEC. TURBO GENERADOR</v>
      </c>
      <c r="I535" s="191" t="str">
        <f>VLOOKUP(MP_registro[[#This Row],[TAG]],'DB-EQUIPOS GEN'!$C$11:$H$833,5,0)</f>
        <v>TURBOGENERADOR 7.5 MW</v>
      </c>
      <c r="J535" s="191" t="str">
        <f>VLOOKUP(MP_registro[[#This Row],[TAG]],'DB-EQUIPOS GEN'!$C$11:$H$833,6,0)</f>
        <v>0430TG010</v>
      </c>
      <c r="K535" s="192">
        <v>44756</v>
      </c>
      <c r="L535" s="193" t="s">
        <v>248</v>
      </c>
      <c r="M535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535" s="144" t="s">
        <v>1664</v>
      </c>
      <c r="O535" s="64" t="s">
        <v>1696</v>
      </c>
    </row>
    <row r="536" spans="1:15" ht="33.6" customHeight="1">
      <c r="A536" s="64">
        <v>535</v>
      </c>
      <c r="B536" s="77" t="s">
        <v>1374</v>
      </c>
      <c r="C536" s="64" t="s">
        <v>2480</v>
      </c>
      <c r="D536" s="191" t="s">
        <v>2456</v>
      </c>
      <c r="E536" s="191" t="s">
        <v>1342</v>
      </c>
      <c r="F536" s="77" t="str">
        <f>VLOOKUP(MP_registro[[#This Row],[TAG]],'DB-EQUIPOS GEN'!$C$11:$H$833,2,0)</f>
        <v>Controlador C300 en Asset Turbina</v>
      </c>
      <c r="G536" s="191" t="str">
        <f>VLOOKUP(MP_registro[[#This Row],[TAG]],'DB-EQUIPOS GEN'!$C$11:$H$833,3,0)</f>
        <v>E. ELECTRICA</v>
      </c>
      <c r="H536" s="191" t="str">
        <f>VLOOKUP(MP_registro[[#This Row],[TAG]],'DB-EQUIPOS GEN'!$C$11:$H$833,4,0)</f>
        <v>GENERACION ENERG. ELEC. TURBO GENERADOR</v>
      </c>
      <c r="I536" s="191" t="str">
        <f>VLOOKUP(MP_registro[[#This Row],[TAG]],'DB-EQUIPOS GEN'!$C$11:$H$833,5,0)</f>
        <v>TURBOGENERADOR 7.5 MW</v>
      </c>
      <c r="J536" s="191" t="str">
        <f>VLOOKUP(MP_registro[[#This Row],[TAG]],'DB-EQUIPOS GEN'!$C$11:$H$833,6,0)</f>
        <v>0430TG010</v>
      </c>
      <c r="K536" s="192">
        <v>44756</v>
      </c>
      <c r="L536" s="193" t="s">
        <v>248</v>
      </c>
      <c r="M536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536" s="144" t="s">
        <v>1664</v>
      </c>
      <c r="O536" s="64" t="s">
        <v>1696</v>
      </c>
    </row>
    <row r="537" spans="1:15" ht="33.6" customHeight="1">
      <c r="A537" s="65">
        <v>536</v>
      </c>
      <c r="B537" s="77" t="s">
        <v>1374</v>
      </c>
      <c r="C537" s="64" t="s">
        <v>2480</v>
      </c>
      <c r="D537" s="191" t="s">
        <v>2457</v>
      </c>
      <c r="E537" s="191" t="s">
        <v>1344</v>
      </c>
      <c r="F537" s="77" t="str">
        <f>VLOOKUP(MP_registro[[#This Row],[TAG]],'DB-EQUIPOS GEN'!$C$11:$H$833,2,0)</f>
        <v>Controlador C300 en Asset Difusor</v>
      </c>
      <c r="G537" s="191" t="str">
        <f>VLOOKUP(MP_registro[[#This Row],[TAG]],'DB-EQUIPOS GEN'!$C$11:$H$833,3,0)</f>
        <v>EXTRACCION</v>
      </c>
      <c r="H537" s="191" t="str">
        <f>VLOOKUP(MP_registro[[#This Row],[TAG]],'DB-EQUIPOS GEN'!$C$11:$H$833,4,0)</f>
        <v>DIFUSOR</v>
      </c>
      <c r="I537" s="191" t="str">
        <f>VLOOKUP(MP_registro[[#This Row],[TAG]],'DB-EQUIPOS GEN'!$C$11:$H$833,5,0)</f>
        <v>DIFUSOR</v>
      </c>
      <c r="J537" s="191" t="str">
        <f>VLOOKUP(MP_registro[[#This Row],[TAG]],'DB-EQUIPOS GEN'!$C$11:$H$833,6,0)</f>
        <v>0205DF180</v>
      </c>
      <c r="K537" s="192">
        <v>44756</v>
      </c>
      <c r="L537" s="193" t="s">
        <v>248</v>
      </c>
      <c r="M537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537" s="144" t="s">
        <v>1664</v>
      </c>
      <c r="O537" s="64" t="s">
        <v>1696</v>
      </c>
    </row>
    <row r="538" spans="1:15" ht="33.6" customHeight="1">
      <c r="A538" s="64">
        <v>537</v>
      </c>
      <c r="B538" s="77" t="s">
        <v>1374</v>
      </c>
      <c r="C538" s="64" t="s">
        <v>2480</v>
      </c>
      <c r="D538" s="191" t="s">
        <v>2458</v>
      </c>
      <c r="E538" s="191" t="s">
        <v>2407</v>
      </c>
      <c r="F538" s="77" t="str">
        <f>VLOOKUP(MP_registro[[#This Row],[TAG]],'DB-EQUIPOS GEN'!$C$11:$H$833,2,0)</f>
        <v>Vista Molino Secador - Conductor Intermedio</v>
      </c>
      <c r="G538" s="191" t="str">
        <f>VLOOKUP(MP_registro[[#This Row],[TAG]],'DB-EQUIPOS GEN'!$C$11:$H$833,3,0)</f>
        <v>EXTRACCION</v>
      </c>
      <c r="H538" s="191" t="str">
        <f>VLOOKUP(MP_registro[[#This Row],[TAG]],'DB-EQUIPOS GEN'!$C$11:$H$833,4,0)</f>
        <v>MOLINOS</v>
      </c>
      <c r="I538" s="191" t="str">
        <f>VLOOKUP(MP_registro[[#This Row],[TAG]],'DB-EQUIPOS GEN'!$C$11:$H$833,5,0)</f>
        <v>CONDUCTOR INTERMEDIO - MOLINO SECADOR</v>
      </c>
      <c r="J538" s="191" t="str">
        <f>VLOOKUP(MP_registro[[#This Row],[TAG]],'DB-EQUIPOS GEN'!$C$11:$H$833,6,0)</f>
        <v>0210CV070</v>
      </c>
      <c r="K538" s="192">
        <v>44756</v>
      </c>
      <c r="L538" s="193" t="s">
        <v>245</v>
      </c>
      <c r="M53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38" s="144" t="s">
        <v>1664</v>
      </c>
      <c r="O538" s="64" t="s">
        <v>1696</v>
      </c>
    </row>
    <row r="539" spans="1:15" ht="33.6" customHeight="1">
      <c r="A539" s="65">
        <v>538</v>
      </c>
      <c r="B539" s="77" t="s">
        <v>1374</v>
      </c>
      <c r="C539" s="64" t="s">
        <v>2480</v>
      </c>
      <c r="D539" s="191" t="s">
        <v>2459</v>
      </c>
      <c r="E539" s="191" t="s">
        <v>1642</v>
      </c>
      <c r="F539" s="77" t="str">
        <f>VLOOKUP(MP_registro[[#This Row],[TAG]],'DB-EQUIPOS GEN'!$C$11:$H$833,2,0)</f>
        <v>Salida de bagazo de molino secador</v>
      </c>
      <c r="G539" s="191" t="str">
        <f>VLOOKUP(MP_registro[[#This Row],[TAG]],'DB-EQUIPOS GEN'!$C$11:$H$833,3,0)</f>
        <v>EXTRACCION</v>
      </c>
      <c r="H539" s="191" t="str">
        <f>VLOOKUP(MP_registro[[#This Row],[TAG]],'DB-EQUIPOS GEN'!$C$11:$H$833,4,0)</f>
        <v>MOLINOS</v>
      </c>
      <c r="I539" s="191" t="str">
        <f>VLOOKUP(MP_registro[[#This Row],[TAG]],'DB-EQUIPOS GEN'!$C$11:$H$833,5,0)</f>
        <v>MOLINO SECADOR</v>
      </c>
      <c r="J539" s="191" t="str">
        <f>VLOOKUP(MP_registro[[#This Row],[TAG]],'DB-EQUIPOS GEN'!$C$11:$H$833,6,0)</f>
        <v>0210MM090</v>
      </c>
      <c r="K539" s="192">
        <v>44756</v>
      </c>
      <c r="L539" s="193" t="s">
        <v>247</v>
      </c>
      <c r="M53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39" s="144" t="s">
        <v>1664</v>
      </c>
      <c r="O539" s="64" t="s">
        <v>1696</v>
      </c>
    </row>
    <row r="540" spans="1:15" ht="33.6" customHeight="1">
      <c r="A540" s="64">
        <v>539</v>
      </c>
      <c r="B540" s="77" t="s">
        <v>1374</v>
      </c>
      <c r="C540" s="64" t="s">
        <v>2480</v>
      </c>
      <c r="D540" s="191" t="s">
        <v>2460</v>
      </c>
      <c r="E540" s="191" t="s">
        <v>1651</v>
      </c>
      <c r="F540" s="77" t="str">
        <f>VLOOKUP(MP_registro[[#This Row],[TAG]],'DB-EQUIPOS GEN'!$C$11:$H$833,2,0)</f>
        <v>Faja 1008 - Tolva de retorno de bagazo</v>
      </c>
      <c r="G540" s="191" t="str">
        <f>VLOOKUP(MP_registro[[#This Row],[TAG]],'DB-EQUIPOS GEN'!$C$11:$H$833,3,0)</f>
        <v>E. TERMICA</v>
      </c>
      <c r="H540" s="191" t="str">
        <f>VLOOKUP(MP_registro[[#This Row],[TAG]],'DB-EQUIPOS GEN'!$C$11:$H$833,4,0)</f>
        <v>TRANSPORTE DE BAGAZO</v>
      </c>
      <c r="I540" s="191" t="str">
        <f>VLOOKUP(MP_registro[[#This Row],[TAG]],'DB-EQUIPOS GEN'!$C$11:$H$833,5,0)</f>
        <v>FAJA TRANSPORTADORA 1008</v>
      </c>
      <c r="J540" s="191" t="str">
        <f>VLOOKUP(MP_registro[[#This Row],[TAG]],'DB-EQUIPOS GEN'!$C$11:$H$833,6,0)</f>
        <v>0805CV100</v>
      </c>
      <c r="K540" s="192">
        <v>44756</v>
      </c>
      <c r="L540" s="193" t="s">
        <v>245</v>
      </c>
      <c r="M54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40" s="144" t="s">
        <v>1664</v>
      </c>
      <c r="O540" s="64" t="s">
        <v>1696</v>
      </c>
    </row>
    <row r="541" spans="1:15" ht="33.6" customHeight="1">
      <c r="A541" s="65">
        <v>540</v>
      </c>
      <c r="B541" s="77" t="s">
        <v>1374</v>
      </c>
      <c r="C541" s="64" t="s">
        <v>2480</v>
      </c>
      <c r="D541" s="191" t="s">
        <v>2461</v>
      </c>
      <c r="E541" s="191" t="s">
        <v>1652</v>
      </c>
      <c r="F541" s="77" t="str">
        <f>VLOOKUP(MP_registro[[#This Row],[TAG]],'DB-EQUIPOS GEN'!$C$11:$H$833,2,0)</f>
        <v>Faja 1006A - Patio de Bagazo</v>
      </c>
      <c r="G541" s="191" t="str">
        <f>VLOOKUP(MP_registro[[#This Row],[TAG]],'DB-EQUIPOS GEN'!$C$11:$H$833,3,0)</f>
        <v>E. TERMICA</v>
      </c>
      <c r="H541" s="191" t="str">
        <f>VLOOKUP(MP_registro[[#This Row],[TAG]],'DB-EQUIPOS GEN'!$C$11:$H$833,4,0)</f>
        <v>TRANSPORTE DE BAGAZO</v>
      </c>
      <c r="I541" s="191" t="str">
        <f>VLOOKUP(MP_registro[[#This Row],[TAG]],'DB-EQUIPOS GEN'!$C$11:$H$833,5,0)</f>
        <v>FAJA TRANSPORTADORA 1006 A</v>
      </c>
      <c r="J541" s="191" t="str">
        <f>VLOOKUP(MP_registro[[#This Row],[TAG]],'DB-EQUIPOS GEN'!$C$11:$H$833,6,0)</f>
        <v>0805CV080</v>
      </c>
      <c r="K541" s="192">
        <v>44756</v>
      </c>
      <c r="L541" s="193" t="s">
        <v>247</v>
      </c>
      <c r="M54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41" s="144" t="s">
        <v>1664</v>
      </c>
      <c r="O541" s="64" t="s">
        <v>1696</v>
      </c>
    </row>
    <row r="542" spans="1:15" ht="33.6" customHeight="1">
      <c r="A542" s="64">
        <v>541</v>
      </c>
      <c r="B542" s="77" t="s">
        <v>1374</v>
      </c>
      <c r="C542" s="64" t="s">
        <v>2480</v>
      </c>
      <c r="D542" s="191" t="s">
        <v>2462</v>
      </c>
      <c r="E542" s="191" t="s">
        <v>276</v>
      </c>
      <c r="F542" s="77" t="str">
        <f>VLOOKUP(MP_registro[[#This Row],[TAG]],'DB-EQUIPOS GEN'!$C$11:$H$833,2,0)</f>
        <v>PH de jugo encalado - Principal</v>
      </c>
      <c r="G542" s="191" t="str">
        <f>VLOOKUP(MP_registro[[#This Row],[TAG]],'DB-EQUIPOS GEN'!$C$11:$H$833,3,0)</f>
        <v>PRODUCCION</v>
      </c>
      <c r="H542" s="191" t="str">
        <f>VLOOKUP(MP_registro[[#This Row],[TAG]],'DB-EQUIPOS GEN'!$C$11:$H$833,4,0)</f>
        <v>CLARIFICACION DE JUGO</v>
      </c>
      <c r="I542" s="191" t="str">
        <f>VLOOKUP(MP_registro[[#This Row],[TAG]],'DB-EQUIPOS GEN'!$C$11:$H$833,5,0)</f>
        <v xml:space="preserve">TANQUE DE JUGO COLADO </v>
      </c>
      <c r="J542" s="191" t="str">
        <f>VLOOKUP(MP_registro[[#This Row],[TAG]],'DB-EQUIPOS GEN'!$C$11:$H$833,6,0)</f>
        <v xml:space="preserve"> 0305TK040</v>
      </c>
      <c r="K542" s="192">
        <v>44757</v>
      </c>
      <c r="L542" s="193" t="s">
        <v>245</v>
      </c>
      <c r="M542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42" s="144" t="s">
        <v>1664</v>
      </c>
      <c r="O542" s="64" t="s">
        <v>1696</v>
      </c>
    </row>
    <row r="543" spans="1:15" ht="33.6" customHeight="1">
      <c r="A543" s="65">
        <v>542</v>
      </c>
      <c r="B543" s="77" t="s">
        <v>1374</v>
      </c>
      <c r="C543" s="64" t="s">
        <v>2480</v>
      </c>
      <c r="D543" s="191" t="s">
        <v>2463</v>
      </c>
      <c r="E543" s="191" t="s">
        <v>732</v>
      </c>
      <c r="F543" s="77" t="str">
        <f>VLOOKUP(MP_registro[[#This Row],[TAG]],'DB-EQUIPOS GEN'!$C$11:$H$833,2,0)</f>
        <v>Brix de masa A - Celda 2</v>
      </c>
      <c r="G543" s="191" t="str">
        <f>VLOOKUP(MP_registro[[#This Row],[TAG]],'DB-EQUIPOS GEN'!$C$11:$H$833,3,0)</f>
        <v>PRODUCCION</v>
      </c>
      <c r="H543" s="191" t="str">
        <f>VLOOKUP(MP_registro[[#This Row],[TAG]],'DB-EQUIPOS GEN'!$C$11:$H$833,4,0)</f>
        <v>CRISTALIZACION POR COCCION</v>
      </c>
      <c r="I543" s="191" t="str">
        <f>VLOOKUP(MP_registro[[#This Row],[TAG]],'DB-EQUIPOS GEN'!$C$11:$H$833,5,0)</f>
        <v xml:space="preserve">TACHO CONTINUO A </v>
      </c>
      <c r="J543" s="191" t="str">
        <f>VLOOKUP(MP_registro[[#This Row],[TAG]],'DB-EQUIPOS GEN'!$C$11:$H$833,6,0)</f>
        <v xml:space="preserve"> 0335HX200</v>
      </c>
      <c r="K543" s="192">
        <v>44757</v>
      </c>
      <c r="L543" s="193" t="s">
        <v>247</v>
      </c>
      <c r="M543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43" s="144" t="s">
        <v>1664</v>
      </c>
      <c r="O543" s="64" t="s">
        <v>1696</v>
      </c>
    </row>
    <row r="544" spans="1:15" ht="33.6" customHeight="1">
      <c r="A544" s="64">
        <v>543</v>
      </c>
      <c r="B544" s="77" t="s">
        <v>1374</v>
      </c>
      <c r="C544" s="64" t="s">
        <v>2480</v>
      </c>
      <c r="D544" s="191" t="s">
        <v>2464</v>
      </c>
      <c r="E544" s="191" t="s">
        <v>742</v>
      </c>
      <c r="F544" s="77" t="str">
        <f>VLOOKUP(MP_registro[[#This Row],[TAG]],'DB-EQUIPOS GEN'!$C$11:$H$833,2,0)</f>
        <v>Brix de masa A - Celda 7</v>
      </c>
      <c r="G544" s="191" t="str">
        <f>VLOOKUP(MP_registro[[#This Row],[TAG]],'DB-EQUIPOS GEN'!$C$11:$H$833,3,0)</f>
        <v>PRODUCCION</v>
      </c>
      <c r="H544" s="191" t="str">
        <f>VLOOKUP(MP_registro[[#This Row],[TAG]],'DB-EQUIPOS GEN'!$C$11:$H$833,4,0)</f>
        <v>CRISTALIZACION POR COCCION</v>
      </c>
      <c r="I544" s="191" t="str">
        <f>VLOOKUP(MP_registro[[#This Row],[TAG]],'DB-EQUIPOS GEN'!$C$11:$H$833,5,0)</f>
        <v xml:space="preserve">TACHO CONTINUO A </v>
      </c>
      <c r="J544" s="191" t="str">
        <f>VLOOKUP(MP_registro[[#This Row],[TAG]],'DB-EQUIPOS GEN'!$C$11:$H$833,6,0)</f>
        <v xml:space="preserve"> 0335HX200</v>
      </c>
      <c r="K544" s="192">
        <v>44757</v>
      </c>
      <c r="L544" s="193" t="s">
        <v>245</v>
      </c>
      <c r="M54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44" s="144" t="s">
        <v>1664</v>
      </c>
      <c r="O544" s="64" t="s">
        <v>1696</v>
      </c>
    </row>
    <row r="545" spans="1:15" ht="33.6" customHeight="1">
      <c r="A545" s="65">
        <v>544</v>
      </c>
      <c r="B545" s="77" t="s">
        <v>1374</v>
      </c>
      <c r="C545" s="64" t="s">
        <v>2480</v>
      </c>
      <c r="D545" s="191" t="s">
        <v>2465</v>
      </c>
      <c r="E545" s="191" t="s">
        <v>746</v>
      </c>
      <c r="F545" s="77" t="str">
        <f>VLOOKUP(MP_registro[[#This Row],[TAG]],'DB-EQUIPOS GEN'!$C$11:$H$833,2,0)</f>
        <v>Brix de masa A - Celda 9</v>
      </c>
      <c r="G545" s="191" t="str">
        <f>VLOOKUP(MP_registro[[#This Row],[TAG]],'DB-EQUIPOS GEN'!$C$11:$H$833,3,0)</f>
        <v>PRODUCCION</v>
      </c>
      <c r="H545" s="191" t="str">
        <f>VLOOKUP(MP_registro[[#This Row],[TAG]],'DB-EQUIPOS GEN'!$C$11:$H$833,4,0)</f>
        <v>CRISTALIZACION POR COCCION</v>
      </c>
      <c r="I545" s="191" t="str">
        <f>VLOOKUP(MP_registro[[#This Row],[TAG]],'DB-EQUIPOS GEN'!$C$11:$H$833,5,0)</f>
        <v xml:space="preserve">TACHO CONTINUO A </v>
      </c>
      <c r="J545" s="191" t="str">
        <f>VLOOKUP(MP_registro[[#This Row],[TAG]],'DB-EQUIPOS GEN'!$C$11:$H$833,6,0)</f>
        <v xml:space="preserve"> 0335HX200</v>
      </c>
      <c r="K545" s="192">
        <v>44757</v>
      </c>
      <c r="L545" s="193" t="s">
        <v>247</v>
      </c>
      <c r="M545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45" s="144" t="s">
        <v>1664</v>
      </c>
      <c r="O545" s="64" t="s">
        <v>1696</v>
      </c>
    </row>
    <row r="546" spans="1:15" ht="33.6" customHeight="1">
      <c r="A546" s="64">
        <v>545</v>
      </c>
      <c r="B546" s="77" t="s">
        <v>1374</v>
      </c>
      <c r="C546" s="64" t="s">
        <v>2480</v>
      </c>
      <c r="D546" s="191" t="s">
        <v>2466</v>
      </c>
      <c r="E546" s="191" t="s">
        <v>748</v>
      </c>
      <c r="F546" s="77" t="str">
        <f>VLOOKUP(MP_registro[[#This Row],[TAG]],'DB-EQUIPOS GEN'!$C$11:$H$833,2,0)</f>
        <v>Brix de masa A - Celda 10</v>
      </c>
      <c r="G546" s="191" t="str">
        <f>VLOOKUP(MP_registro[[#This Row],[TAG]],'DB-EQUIPOS GEN'!$C$11:$H$833,3,0)</f>
        <v>PRODUCCION</v>
      </c>
      <c r="H546" s="191" t="str">
        <f>VLOOKUP(MP_registro[[#This Row],[TAG]],'DB-EQUIPOS GEN'!$C$11:$H$833,4,0)</f>
        <v>CRISTALIZACION POR COCCION</v>
      </c>
      <c r="I546" s="191" t="str">
        <f>VLOOKUP(MP_registro[[#This Row],[TAG]],'DB-EQUIPOS GEN'!$C$11:$H$833,5,0)</f>
        <v xml:space="preserve">TACHO CONTINUO A </v>
      </c>
      <c r="J546" s="191" t="str">
        <f>VLOOKUP(MP_registro[[#This Row],[TAG]],'DB-EQUIPOS GEN'!$C$11:$H$833,6,0)</f>
        <v xml:space="preserve"> 0335HX200</v>
      </c>
      <c r="K546" s="192">
        <v>44757</v>
      </c>
      <c r="L546" s="193" t="s">
        <v>245</v>
      </c>
      <c r="M54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46" s="144" t="s">
        <v>1664</v>
      </c>
      <c r="O546" s="64" t="s">
        <v>1696</v>
      </c>
    </row>
    <row r="547" spans="1:15" ht="33.6" customHeight="1">
      <c r="A547" s="65">
        <v>546</v>
      </c>
      <c r="B547" s="77" t="s">
        <v>1374</v>
      </c>
      <c r="C547" s="64" t="s">
        <v>2480</v>
      </c>
      <c r="D547" s="191" t="s">
        <v>2467</v>
      </c>
      <c r="E547" s="191" t="s">
        <v>1644</v>
      </c>
      <c r="F547" s="77" t="str">
        <f>VLOOKUP(MP_registro[[#This Row],[TAG]],'DB-EQUIPOS GEN'!$C$11:$H$833,2,0)</f>
        <v>Explanada de Turbina Triveni</v>
      </c>
      <c r="G547" s="191" t="str">
        <f>VLOOKUP(MP_registro[[#This Row],[TAG]],'DB-EQUIPOS GEN'!$C$11:$H$833,3,0)</f>
        <v>E. ELECTRICA</v>
      </c>
      <c r="H547" s="191" t="str">
        <f>VLOOKUP(MP_registro[[#This Row],[TAG]],'DB-EQUIPOS GEN'!$C$11:$H$833,4,0)</f>
        <v>GENERACIÓN ENERG. ELEC. TURBO GENERADOR</v>
      </c>
      <c r="I547" s="191" t="str">
        <f>VLOOKUP(MP_registro[[#This Row],[TAG]],'DB-EQUIPOS GEN'!$C$11:$H$833,5,0)</f>
        <v>TURBOGENERADOR TRIVENI 23.2 MW</v>
      </c>
      <c r="J547" s="191" t="str">
        <f>VLOOKUP(MP_registro[[#This Row],[TAG]],'DB-EQUIPOS GEN'!$C$11:$H$833,6,0)</f>
        <v>0430TG020</v>
      </c>
      <c r="K547" s="192">
        <v>44757</v>
      </c>
      <c r="L547" s="193" t="s">
        <v>247</v>
      </c>
      <c r="M54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47" s="144" t="s">
        <v>1664</v>
      </c>
      <c r="O547" s="64" t="s">
        <v>1696</v>
      </c>
    </row>
    <row r="548" spans="1:15" ht="33.6" customHeight="1">
      <c r="A548" s="64">
        <v>547</v>
      </c>
      <c r="B548" s="77" t="s">
        <v>1374</v>
      </c>
      <c r="C548" s="64" t="s">
        <v>2480</v>
      </c>
      <c r="D548" s="191" t="s">
        <v>2468</v>
      </c>
      <c r="E548" s="191" t="s">
        <v>1646</v>
      </c>
      <c r="F548" s="77" t="str">
        <f>VLOOKUP(MP_registro[[#This Row],[TAG]],'DB-EQUIPOS GEN'!$C$11:$H$833,2,0)</f>
        <v>Segundo nivel de Turbina TGM</v>
      </c>
      <c r="G548" s="191" t="str">
        <f>VLOOKUP(MP_registro[[#This Row],[TAG]],'DB-EQUIPOS GEN'!$C$11:$H$833,3,0)</f>
        <v>E. ELECTRICA</v>
      </c>
      <c r="H548" s="191" t="str">
        <f>VLOOKUP(MP_registro[[#This Row],[TAG]],'DB-EQUIPOS GEN'!$C$11:$H$833,4,0)</f>
        <v>SISTEMA DE ENFRIAMIENTO</v>
      </c>
      <c r="I548" s="191" t="str">
        <f>VLOOKUP(MP_registro[[#This Row],[TAG]],'DB-EQUIPOS GEN'!$C$11:$H$833,5,0)</f>
        <v>TORRE DE ENFRIAMIENTO MARLEY - TG TGM</v>
      </c>
      <c r="J548" s="191" t="str">
        <f>VLOOKUP(MP_registro[[#This Row],[TAG]],'DB-EQUIPOS GEN'!$C$11:$H$833,6,0)</f>
        <v>0430CT050</v>
      </c>
      <c r="K548" s="192">
        <v>44757</v>
      </c>
      <c r="L548" s="193" t="s">
        <v>245</v>
      </c>
      <c r="M54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48" s="144" t="s">
        <v>1664</v>
      </c>
      <c r="O548" s="64" t="s">
        <v>1696</v>
      </c>
    </row>
    <row r="549" spans="1:15" ht="33.6" customHeight="1">
      <c r="A549" s="65">
        <v>548</v>
      </c>
      <c r="B549" s="77" t="s">
        <v>1374</v>
      </c>
      <c r="C549" s="64" t="s">
        <v>2480</v>
      </c>
      <c r="D549" s="191" t="s">
        <v>2469</v>
      </c>
      <c r="E549" s="191" t="s">
        <v>1647</v>
      </c>
      <c r="F549" s="77" t="str">
        <f>VLOOKUP(MP_registro[[#This Row],[TAG]],'DB-EQUIPOS GEN'!$C$11:$H$833,2,0)</f>
        <v>Explanada frontal de Turbina Triveni</v>
      </c>
      <c r="G549" s="191" t="str">
        <f>VLOOKUP(MP_registro[[#This Row],[TAG]],'DB-EQUIPOS GEN'!$C$11:$H$833,3,0)</f>
        <v>E. ELECTRICA</v>
      </c>
      <c r="H549" s="191" t="str">
        <f>VLOOKUP(MP_registro[[#This Row],[TAG]],'DB-EQUIPOS GEN'!$C$11:$H$833,4,0)</f>
        <v>GENERACIÓN ENERG. ELEC. TURBO GENERADOR</v>
      </c>
      <c r="I549" s="191" t="str">
        <f>VLOOKUP(MP_registro[[#This Row],[TAG]],'DB-EQUIPOS GEN'!$C$11:$H$833,5,0)</f>
        <v>TURBOGENERADOR TRIVENI 23.2 MW</v>
      </c>
      <c r="J549" s="191" t="str">
        <f>VLOOKUP(MP_registro[[#This Row],[TAG]],'DB-EQUIPOS GEN'!$C$11:$H$833,6,0)</f>
        <v>0430TG020</v>
      </c>
      <c r="K549" s="192">
        <v>44757</v>
      </c>
      <c r="L549" s="193" t="s">
        <v>247</v>
      </c>
      <c r="M54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49" s="144" t="s">
        <v>1664</v>
      </c>
      <c r="O549" s="64" t="s">
        <v>1696</v>
      </c>
    </row>
    <row r="550" spans="1:15" ht="33.6" customHeight="1">
      <c r="A550" s="64">
        <v>549</v>
      </c>
      <c r="B550" s="77" t="s">
        <v>1374</v>
      </c>
      <c r="C550" s="64" t="s">
        <v>2480</v>
      </c>
      <c r="D550" s="191" t="s">
        <v>2470</v>
      </c>
      <c r="E550" s="191" t="s">
        <v>1650</v>
      </c>
      <c r="F550" s="77" t="str">
        <f>VLOOKUP(MP_registro[[#This Row],[TAG]],'DB-EQUIPOS GEN'!$C$11:$H$833,2,0)</f>
        <v>Faja 1003 - Conductor distribuidor de bagazo</v>
      </c>
      <c r="G550" s="191" t="str">
        <f>VLOOKUP(MP_registro[[#This Row],[TAG]],'DB-EQUIPOS GEN'!$C$11:$H$833,3,0)</f>
        <v>E. TERMICA</v>
      </c>
      <c r="H550" s="191" t="str">
        <f>VLOOKUP(MP_registro[[#This Row],[TAG]],'DB-EQUIPOS GEN'!$C$11:$H$833,4,0)</f>
        <v>TRANSPORTE DE BAGAZO</v>
      </c>
      <c r="I550" s="191" t="str">
        <f>VLOOKUP(MP_registro[[#This Row],[TAG]],'DB-EQUIPOS GEN'!$C$11:$H$833,5,0)</f>
        <v>TRANSPORTADOR DE BAGAZO 1003</v>
      </c>
      <c r="J550" s="191" t="str">
        <f>VLOOKUP(MP_registro[[#This Row],[TAG]],'DB-EQUIPOS GEN'!$C$11:$H$833,6,0)</f>
        <v>0805CV060</v>
      </c>
      <c r="K550" s="192">
        <v>44757</v>
      </c>
      <c r="L550" s="193" t="s">
        <v>245</v>
      </c>
      <c r="M55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50" s="144" t="s">
        <v>1664</v>
      </c>
      <c r="O550" s="64" t="s">
        <v>1696</v>
      </c>
    </row>
    <row r="551" spans="1:15" ht="33.6" customHeight="1">
      <c r="A551" s="65">
        <v>550</v>
      </c>
      <c r="B551" s="77" t="s">
        <v>1374</v>
      </c>
      <c r="C551" s="64" t="s">
        <v>2480</v>
      </c>
      <c r="D551" s="191" t="s">
        <v>2471</v>
      </c>
      <c r="E551" s="191" t="s">
        <v>1654</v>
      </c>
      <c r="F551" s="77" t="str">
        <f>VLOOKUP(MP_registro[[#This Row],[TAG]],'DB-EQUIPOS GEN'!$C$11:$H$833,2,0)</f>
        <v>Vista global de sala turbina TGM</v>
      </c>
      <c r="G551" s="191" t="str">
        <f>VLOOKUP(MP_registro[[#This Row],[TAG]],'DB-EQUIPOS GEN'!$C$11:$H$833,3,0)</f>
        <v>E. ELECTRICA</v>
      </c>
      <c r="H551" s="191" t="str">
        <f>VLOOKUP(MP_registro[[#This Row],[TAG]],'DB-EQUIPOS GEN'!$C$11:$H$833,4,0)</f>
        <v>SISTEMA DE ENFRIAMIENTO</v>
      </c>
      <c r="I551" s="191" t="str">
        <f>VLOOKUP(MP_registro[[#This Row],[TAG]],'DB-EQUIPOS GEN'!$C$11:$H$833,5,0)</f>
        <v>TORRE DE ENFRIAMIENTO MARLEY - TG TGM</v>
      </c>
      <c r="J551" s="191" t="str">
        <f>VLOOKUP(MP_registro[[#This Row],[TAG]],'DB-EQUIPOS GEN'!$C$11:$H$833,6,0)</f>
        <v>0430CT050</v>
      </c>
      <c r="K551" s="192">
        <v>44757</v>
      </c>
      <c r="L551" s="193" t="s">
        <v>245</v>
      </c>
      <c r="M55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51" s="144" t="s">
        <v>13</v>
      </c>
      <c r="O551" s="64" t="s">
        <v>1696</v>
      </c>
    </row>
    <row r="552" spans="1:15" ht="33.6" customHeight="1">
      <c r="A552" s="64">
        <v>551</v>
      </c>
      <c r="B552" s="77" t="s">
        <v>1374</v>
      </c>
      <c r="C552" s="64" t="s">
        <v>2480</v>
      </c>
      <c r="D552" s="191" t="s">
        <v>2472</v>
      </c>
      <c r="E552" s="191" t="s">
        <v>1643</v>
      </c>
      <c r="F552" s="77" t="str">
        <f>VLOOKUP(MP_registro[[#This Row],[TAG]],'DB-EQUIPOS GEN'!$C$11:$H$833,2,0)</f>
        <v>Nivelador de cama de bagazo en difusor</v>
      </c>
      <c r="G552" s="191" t="str">
        <f>VLOOKUP(MP_registro[[#This Row],[TAG]],'DB-EQUIPOS GEN'!$C$11:$H$833,3,0)</f>
        <v>EXTRACCION</v>
      </c>
      <c r="H552" s="191" t="str">
        <f>VLOOKUP(MP_registro[[#This Row],[TAG]],'DB-EQUIPOS GEN'!$C$11:$H$833,4,0)</f>
        <v>DIFUSOR</v>
      </c>
      <c r="I552" s="191" t="str">
        <f>VLOOKUP(MP_registro[[#This Row],[TAG]],'DB-EQUIPOS GEN'!$C$11:$H$833,5,0)</f>
        <v>CONDUCTOR TRANSVERSAL</v>
      </c>
      <c r="J552" s="191" t="str">
        <f>VLOOKUP(MP_registro[[#This Row],[TAG]],'DB-EQUIPOS GEN'!$C$11:$H$833,6,0)</f>
        <v>0205CV190</v>
      </c>
      <c r="K552" s="192">
        <v>44758</v>
      </c>
      <c r="L552" s="193" t="s">
        <v>245</v>
      </c>
      <c r="M552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52" s="144" t="s">
        <v>1664</v>
      </c>
      <c r="O552" s="64" t="s">
        <v>1696</v>
      </c>
    </row>
    <row r="553" spans="1:15" ht="33.6" customHeight="1">
      <c r="A553" s="65">
        <v>552</v>
      </c>
      <c r="B553" s="77" t="s">
        <v>1374</v>
      </c>
      <c r="C553" s="64" t="s">
        <v>2480</v>
      </c>
      <c r="D553" s="191" t="s">
        <v>2473</v>
      </c>
      <c r="E553" s="191" t="s">
        <v>1645</v>
      </c>
      <c r="F553" s="77" t="str">
        <f>VLOOKUP(MP_registro[[#This Row],[TAG]],'DB-EQUIPOS GEN'!$C$11:$H$833,2,0)</f>
        <v>Tamiz rotativo</v>
      </c>
      <c r="G553" s="191" t="str">
        <f>VLOOKUP(MP_registro[[#This Row],[TAG]],'DB-EQUIPOS GEN'!$C$11:$H$833,3,0)</f>
        <v>EXTRACCION</v>
      </c>
      <c r="H553" s="191" t="str">
        <f>VLOOKUP(MP_registro[[#This Row],[TAG]],'DB-EQUIPOS GEN'!$C$11:$H$833,4,0)</f>
        <v>DIFUSOR</v>
      </c>
      <c r="I553" s="191" t="str">
        <f>VLOOKUP(MP_registro[[#This Row],[TAG]],'DB-EQUIPOS GEN'!$C$11:$H$833,5,0)</f>
        <v>TAMIZ ROTATIVO</v>
      </c>
      <c r="J553" s="191" t="str">
        <f>VLOOKUP(MP_registro[[#This Row],[TAG]],'DB-EQUIPOS GEN'!$C$11:$H$833,6,0)</f>
        <v>0305FL010</v>
      </c>
      <c r="K553" s="192">
        <v>44758</v>
      </c>
      <c r="L553" s="193" t="s">
        <v>247</v>
      </c>
      <c r="M553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53" s="144" t="s">
        <v>1664</v>
      </c>
      <c r="O553" s="64" t="s">
        <v>1696</v>
      </c>
    </row>
    <row r="554" spans="1:15" ht="33.6" customHeight="1">
      <c r="A554" s="64">
        <v>553</v>
      </c>
      <c r="B554" s="77" t="s">
        <v>1374</v>
      </c>
      <c r="C554" s="64" t="s">
        <v>2480</v>
      </c>
      <c r="D554" s="191" t="s">
        <v>2474</v>
      </c>
      <c r="E554" s="191" t="s">
        <v>395</v>
      </c>
      <c r="F554" s="77" t="str">
        <f>VLOOKUP(MP_registro[[#This Row],[TAG]],'DB-EQUIPOS GEN'!$C$11:$H$833,2,0)</f>
        <v>Temperatura de jugo CMA</v>
      </c>
      <c r="G554" s="191" t="str">
        <f>VLOOKUP(MP_registro[[#This Row],[TAG]],'DB-EQUIPOS GEN'!$C$11:$H$833,3,0)</f>
        <v>EXTRACCION</v>
      </c>
      <c r="H554" s="191" t="str">
        <f>VLOOKUP(MP_registro[[#This Row],[TAG]],'DB-EQUIPOS GEN'!$C$11:$H$833,4,0)</f>
        <v>DIFUSOR</v>
      </c>
      <c r="I554" s="191" t="str">
        <f>VLOOKUP(MP_registro[[#This Row],[TAG]],'DB-EQUIPOS GEN'!$C$11:$H$833,5,0)</f>
        <v xml:space="preserve">DIFUSOR </v>
      </c>
      <c r="J554" s="191" t="str">
        <f>VLOOKUP(MP_registro[[#This Row],[TAG]],'DB-EQUIPOS GEN'!$C$11:$H$833,6,0)</f>
        <v>0205DF180</v>
      </c>
      <c r="K554" s="192">
        <v>44759</v>
      </c>
      <c r="L554" s="193" t="s">
        <v>245</v>
      </c>
      <c r="M55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54" s="144" t="s">
        <v>1664</v>
      </c>
      <c r="O554" s="64" t="s">
        <v>1696</v>
      </c>
    </row>
    <row r="555" spans="1:15" ht="33.6" customHeight="1">
      <c r="A555" s="65">
        <v>554</v>
      </c>
      <c r="B555" s="77" t="s">
        <v>1374</v>
      </c>
      <c r="C555" s="64" t="s">
        <v>2480</v>
      </c>
      <c r="D555" s="191" t="s">
        <v>2475</v>
      </c>
      <c r="E555" s="191" t="s">
        <v>399</v>
      </c>
      <c r="F555" s="77" t="str">
        <f>VLOOKUP(MP_registro[[#This Row],[TAG]],'DB-EQUIPOS GEN'!$C$11:$H$833,2,0)</f>
        <v>Temperatura de jugo CMB</v>
      </c>
      <c r="G555" s="191" t="str">
        <f>VLOOKUP(MP_registro[[#This Row],[TAG]],'DB-EQUIPOS GEN'!$C$11:$H$833,3,0)</f>
        <v>EXTRACCION</v>
      </c>
      <c r="H555" s="191" t="str">
        <f>VLOOKUP(MP_registro[[#This Row],[TAG]],'DB-EQUIPOS GEN'!$C$11:$H$833,4,0)</f>
        <v>DIFUSOR</v>
      </c>
      <c r="I555" s="191" t="str">
        <f>VLOOKUP(MP_registro[[#This Row],[TAG]],'DB-EQUIPOS GEN'!$C$11:$H$833,5,0)</f>
        <v xml:space="preserve">DIFUSOR </v>
      </c>
      <c r="J555" s="191" t="str">
        <f>VLOOKUP(MP_registro[[#This Row],[TAG]],'DB-EQUIPOS GEN'!$C$11:$H$833,6,0)</f>
        <v>0205DF180</v>
      </c>
      <c r="K555" s="192">
        <v>44759</v>
      </c>
      <c r="L555" s="193" t="s">
        <v>247</v>
      </c>
      <c r="M555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55" s="144" t="s">
        <v>1664</v>
      </c>
      <c r="O555" s="64" t="s">
        <v>1696</v>
      </c>
    </row>
    <row r="556" spans="1:15" ht="33.6" customHeight="1">
      <c r="A556" s="64">
        <v>555</v>
      </c>
      <c r="B556" s="77" t="s">
        <v>1374</v>
      </c>
      <c r="C556" s="64" t="s">
        <v>2480</v>
      </c>
      <c r="D556" s="191" t="s">
        <v>2476</v>
      </c>
      <c r="E556" s="191" t="s">
        <v>403</v>
      </c>
      <c r="F556" s="77" t="str">
        <f>VLOOKUP(MP_registro[[#This Row],[TAG]],'DB-EQUIPOS GEN'!$C$11:$H$833,2,0)</f>
        <v>Temperatura de jugo C1</v>
      </c>
      <c r="G556" s="191" t="str">
        <f>VLOOKUP(MP_registro[[#This Row],[TAG]],'DB-EQUIPOS GEN'!$C$11:$H$833,3,0)</f>
        <v>EXTRACCION</v>
      </c>
      <c r="H556" s="191" t="str">
        <f>VLOOKUP(MP_registro[[#This Row],[TAG]],'DB-EQUIPOS GEN'!$C$11:$H$833,4,0)</f>
        <v>DIFUSOR</v>
      </c>
      <c r="I556" s="191" t="str">
        <f>VLOOKUP(MP_registro[[#This Row],[TAG]],'DB-EQUIPOS GEN'!$C$11:$H$833,5,0)</f>
        <v xml:space="preserve">DIFUSOR </v>
      </c>
      <c r="J556" s="191" t="str">
        <f>VLOOKUP(MP_registro[[#This Row],[TAG]],'DB-EQUIPOS GEN'!$C$11:$H$833,6,0)</f>
        <v>0205DF180</v>
      </c>
      <c r="K556" s="192">
        <v>44759</v>
      </c>
      <c r="L556" s="193" t="s">
        <v>245</v>
      </c>
      <c r="M55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56" s="144" t="s">
        <v>1664</v>
      </c>
      <c r="O556" s="64" t="s">
        <v>1696</v>
      </c>
    </row>
    <row r="557" spans="1:15" ht="33.6" customHeight="1">
      <c r="A557" s="65">
        <v>556</v>
      </c>
      <c r="B557" s="77" t="s">
        <v>1374</v>
      </c>
      <c r="C557" s="64" t="s">
        <v>2480</v>
      </c>
      <c r="D557" s="191" t="s">
        <v>2477</v>
      </c>
      <c r="E557" s="191" t="s">
        <v>407</v>
      </c>
      <c r="F557" s="77" t="str">
        <f>VLOOKUP(MP_registro[[#This Row],[TAG]],'DB-EQUIPOS GEN'!$C$11:$H$833,2,0)</f>
        <v>Temperatura de jugo C2</v>
      </c>
      <c r="G557" s="191" t="str">
        <f>VLOOKUP(MP_registro[[#This Row],[TAG]],'DB-EQUIPOS GEN'!$C$11:$H$833,3,0)</f>
        <v>EXTRACCION</v>
      </c>
      <c r="H557" s="191" t="str">
        <f>VLOOKUP(MP_registro[[#This Row],[TAG]],'DB-EQUIPOS GEN'!$C$11:$H$833,4,0)</f>
        <v>DIFUSOR</v>
      </c>
      <c r="I557" s="191" t="str">
        <f>VLOOKUP(MP_registro[[#This Row],[TAG]],'DB-EQUIPOS GEN'!$C$11:$H$833,5,0)</f>
        <v xml:space="preserve">DIFUSOR </v>
      </c>
      <c r="J557" s="191" t="str">
        <f>VLOOKUP(MP_registro[[#This Row],[TAG]],'DB-EQUIPOS GEN'!$C$11:$H$833,6,0)</f>
        <v>0205DF180</v>
      </c>
      <c r="K557" s="192">
        <v>44759</v>
      </c>
      <c r="L557" s="193" t="s">
        <v>247</v>
      </c>
      <c r="M55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57" s="144" t="s">
        <v>1664</v>
      </c>
      <c r="O557" s="64" t="s">
        <v>1696</v>
      </c>
    </row>
    <row r="558" spans="1:15" ht="33.6" customHeight="1">
      <c r="A558" s="64">
        <v>557</v>
      </c>
      <c r="B558" s="77" t="s">
        <v>1374</v>
      </c>
      <c r="C558" s="64" t="s">
        <v>2480</v>
      </c>
      <c r="D558" s="191" t="s">
        <v>2478</v>
      </c>
      <c r="E558" s="191" t="s">
        <v>2416</v>
      </c>
      <c r="F558" s="77" t="str">
        <f>VLOOKUP(MP_registro[[#This Row],[TAG]],'DB-EQUIPOS GEN'!$C$11:$H$833,2,0)</f>
        <v>Vista Conductor Auxiliar - Superior</v>
      </c>
      <c r="G558" s="191" t="str">
        <f>VLOOKUP(MP_registro[[#This Row],[TAG]],'DB-EQUIPOS GEN'!$C$11:$H$833,3,0)</f>
        <v>EXTRACCION</v>
      </c>
      <c r="H558" s="191" t="str">
        <f>VLOOKUP(MP_registro[[#This Row],[TAG]],'DB-EQUIPOS GEN'!$C$11:$H$833,4,0)</f>
        <v>PREPARACIÓN DE CAÑA</v>
      </c>
      <c r="I558" s="191" t="str">
        <f>VLOOKUP(MP_registro[[#This Row],[TAG]],'DB-EQUIPOS GEN'!$C$11:$H$833,5,0)</f>
        <v>CONDUCTOR AUXILIAR DE CAÑA</v>
      </c>
      <c r="J558" s="191" t="str">
        <f>VLOOKUP(MP_registro[[#This Row],[TAG]],'DB-EQUIPOS GEN'!$C$11:$H$833,6,0)</f>
        <v>0115CV010</v>
      </c>
      <c r="K558" s="192">
        <v>44759</v>
      </c>
      <c r="L558" s="193" t="s">
        <v>247</v>
      </c>
      <c r="M55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58" s="144" t="s">
        <v>1664</v>
      </c>
      <c r="O558" s="64" t="s">
        <v>1696</v>
      </c>
    </row>
    <row r="559" spans="1:15" ht="33.6" customHeight="1">
      <c r="A559" s="65">
        <v>558</v>
      </c>
      <c r="B559" s="77" t="s">
        <v>1374</v>
      </c>
      <c r="C559" s="64" t="s">
        <v>2480</v>
      </c>
      <c r="D559" s="191" t="s">
        <v>2479</v>
      </c>
      <c r="E559" s="191" t="s">
        <v>2406</v>
      </c>
      <c r="F559" s="77" t="str">
        <f>VLOOKUP(MP_registro[[#This Row],[TAG]],'DB-EQUIPOS GEN'!$C$11:$H$833,2,0)</f>
        <v>Vista Mesa de Caña - Descarga de Tetras</v>
      </c>
      <c r="G559" s="191" t="str">
        <f>VLOOKUP(MP_registro[[#This Row],[TAG]],'DB-EQUIPOS GEN'!$C$11:$H$833,3,0)</f>
        <v>EXTRACCION</v>
      </c>
      <c r="H559" s="191" t="str">
        <f>VLOOKUP(MP_registro[[#This Row],[TAG]],'DB-EQUIPOS GEN'!$C$11:$H$833,4,0)</f>
        <v>RECEPCIÓN DE CAÑA</v>
      </c>
      <c r="I559" s="191" t="str">
        <f>VLOOKUP(MP_registro[[#This Row],[TAG]],'DB-EQUIPOS GEN'!$C$11:$H$833,5,0)</f>
        <v>MESA DE CAÑA</v>
      </c>
      <c r="J559" s="191" t="str">
        <f>VLOOKUP(MP_registro[[#This Row],[TAG]],'DB-EQUIPOS GEN'!$C$11:$H$833,6,0)</f>
        <v>0110FE019</v>
      </c>
      <c r="K559" s="192">
        <v>44759</v>
      </c>
      <c r="L559" s="193" t="s">
        <v>247</v>
      </c>
      <c r="M55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59" s="144" t="s">
        <v>1664</v>
      </c>
      <c r="O559" s="64" t="s">
        <v>1696</v>
      </c>
    </row>
    <row r="560" spans="1:15" ht="33.6" customHeight="1">
      <c r="A560" s="64">
        <v>559</v>
      </c>
      <c r="B560" s="77" t="s">
        <v>1374</v>
      </c>
      <c r="C560" s="64" t="s">
        <v>2481</v>
      </c>
      <c r="D560" s="191" t="s">
        <v>2482</v>
      </c>
      <c r="E560" s="191" t="s">
        <v>288</v>
      </c>
      <c r="F560" s="77" t="str">
        <f>VLOOKUP(MP_registro[[#This Row],[TAG]],'DB-EQUIPOS GEN'!$C$11:$H$833,2,0)</f>
        <v>Nivel de jugo del tanque flash</v>
      </c>
      <c r="G560" s="191" t="str">
        <f>VLOOKUP(MP_registro[[#This Row],[TAG]],'DB-EQUIPOS GEN'!$C$11:$H$833,3,0)</f>
        <v>PRODUCCION</v>
      </c>
      <c r="H560" s="191" t="str">
        <f>VLOOKUP(MP_registro[[#This Row],[TAG]],'DB-EQUIPOS GEN'!$C$11:$H$833,4,0)</f>
        <v>CLARIFICACION DE JUGO</v>
      </c>
      <c r="I560" s="191" t="str">
        <f>VLOOKUP(MP_registro[[#This Row],[TAG]],'DB-EQUIPOS GEN'!$C$11:$H$833,5,0)</f>
        <v>TANQUE FLASH</v>
      </c>
      <c r="J560" s="191" t="str">
        <f>VLOOKUP(MP_registro[[#This Row],[TAG]],'DB-EQUIPOS GEN'!$C$11:$H$833,6,0)</f>
        <v>0305TK270</v>
      </c>
      <c r="K560" s="192">
        <v>44760</v>
      </c>
      <c r="L560" s="193" t="s">
        <v>247</v>
      </c>
      <c r="M560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60" s="144" t="s">
        <v>1695</v>
      </c>
      <c r="O560" s="64" t="s">
        <v>1696</v>
      </c>
    </row>
    <row r="561" spans="1:15" ht="33.6" customHeight="1">
      <c r="A561" s="65">
        <v>560</v>
      </c>
      <c r="B561" s="77" t="s">
        <v>1374</v>
      </c>
      <c r="C561" s="64" t="s">
        <v>2481</v>
      </c>
      <c r="D561" s="191" t="s">
        <v>2483</v>
      </c>
      <c r="E561" s="191" t="s">
        <v>411</v>
      </c>
      <c r="F561" s="77" t="str">
        <f>VLOOKUP(MP_registro[[#This Row],[TAG]],'DB-EQUIPOS GEN'!$C$11:$H$833,2,0)</f>
        <v>Temperatura de jugo C3</v>
      </c>
      <c r="G561" s="191" t="str">
        <f>VLOOKUP(MP_registro[[#This Row],[TAG]],'DB-EQUIPOS GEN'!$C$11:$H$833,3,0)</f>
        <v>EXTRACCION</v>
      </c>
      <c r="H561" s="191" t="str">
        <f>VLOOKUP(MP_registro[[#This Row],[TAG]],'DB-EQUIPOS GEN'!$C$11:$H$833,4,0)</f>
        <v>DIFUSOR</v>
      </c>
      <c r="I561" s="191" t="str">
        <f>VLOOKUP(MP_registro[[#This Row],[TAG]],'DB-EQUIPOS GEN'!$C$11:$H$833,5,0)</f>
        <v xml:space="preserve">DIFUSOR </v>
      </c>
      <c r="J561" s="191" t="str">
        <f>VLOOKUP(MP_registro[[#This Row],[TAG]],'DB-EQUIPOS GEN'!$C$11:$H$833,6,0)</f>
        <v>0205DF180</v>
      </c>
      <c r="K561" s="192">
        <v>44760</v>
      </c>
      <c r="L561" s="193" t="s">
        <v>247</v>
      </c>
      <c r="M56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61" s="144" t="s">
        <v>1664</v>
      </c>
      <c r="O561" s="64" t="s">
        <v>1696</v>
      </c>
    </row>
    <row r="562" spans="1:15" ht="33.6" customHeight="1">
      <c r="A562" s="64">
        <v>561</v>
      </c>
      <c r="B562" s="77" t="s">
        <v>1374</v>
      </c>
      <c r="C562" s="64" t="s">
        <v>2481</v>
      </c>
      <c r="D562" s="191" t="s">
        <v>2484</v>
      </c>
      <c r="E562" s="191" t="s">
        <v>415</v>
      </c>
      <c r="F562" s="77" t="str">
        <f>VLOOKUP(MP_registro[[#This Row],[TAG]],'DB-EQUIPOS GEN'!$C$11:$H$833,2,0)</f>
        <v>Temperatura de jugo C4</v>
      </c>
      <c r="G562" s="191" t="str">
        <f>VLOOKUP(MP_registro[[#This Row],[TAG]],'DB-EQUIPOS GEN'!$C$11:$H$833,3,0)</f>
        <v>EXTRACCION</v>
      </c>
      <c r="H562" s="191" t="str">
        <f>VLOOKUP(MP_registro[[#This Row],[TAG]],'DB-EQUIPOS GEN'!$C$11:$H$833,4,0)</f>
        <v>DIFUSOR</v>
      </c>
      <c r="I562" s="191" t="str">
        <f>VLOOKUP(MP_registro[[#This Row],[TAG]],'DB-EQUIPOS GEN'!$C$11:$H$833,5,0)</f>
        <v xml:space="preserve">DIFUSOR </v>
      </c>
      <c r="J562" s="191" t="str">
        <f>VLOOKUP(MP_registro[[#This Row],[TAG]],'DB-EQUIPOS GEN'!$C$11:$H$833,6,0)</f>
        <v>0205DF180</v>
      </c>
      <c r="K562" s="192">
        <v>44760</v>
      </c>
      <c r="L562" s="193" t="s">
        <v>247</v>
      </c>
      <c r="M56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62" s="144" t="s">
        <v>1664</v>
      </c>
      <c r="O562" s="64" t="s">
        <v>1696</v>
      </c>
    </row>
    <row r="563" spans="1:15" ht="33.6" customHeight="1">
      <c r="A563" s="65">
        <v>562</v>
      </c>
      <c r="B563" s="77" t="s">
        <v>1374</v>
      </c>
      <c r="C563" s="64" t="s">
        <v>2481</v>
      </c>
      <c r="D563" s="191" t="s">
        <v>2485</v>
      </c>
      <c r="E563" s="191" t="s">
        <v>419</v>
      </c>
      <c r="F563" s="77" t="str">
        <f>VLOOKUP(MP_registro[[#This Row],[TAG]],'DB-EQUIPOS GEN'!$C$11:$H$833,2,0)</f>
        <v>Temperatura de jugo C5</v>
      </c>
      <c r="G563" s="191" t="str">
        <f>VLOOKUP(MP_registro[[#This Row],[TAG]],'DB-EQUIPOS GEN'!$C$11:$H$833,3,0)</f>
        <v>EXTRACCION</v>
      </c>
      <c r="H563" s="191" t="str">
        <f>VLOOKUP(MP_registro[[#This Row],[TAG]],'DB-EQUIPOS GEN'!$C$11:$H$833,4,0)</f>
        <v>DIFUSOR</v>
      </c>
      <c r="I563" s="191" t="str">
        <f>VLOOKUP(MP_registro[[#This Row],[TAG]],'DB-EQUIPOS GEN'!$C$11:$H$833,5,0)</f>
        <v xml:space="preserve">DIFUSOR </v>
      </c>
      <c r="J563" s="191" t="str">
        <f>VLOOKUP(MP_registro[[#This Row],[TAG]],'DB-EQUIPOS GEN'!$C$11:$H$833,6,0)</f>
        <v>0205DF180</v>
      </c>
      <c r="K563" s="192">
        <v>44760</v>
      </c>
      <c r="L563" s="193" t="s">
        <v>247</v>
      </c>
      <c r="M563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63" s="144" t="s">
        <v>1664</v>
      </c>
      <c r="O563" s="64" t="s">
        <v>1696</v>
      </c>
    </row>
    <row r="564" spans="1:15" ht="33.6" customHeight="1">
      <c r="A564" s="64">
        <v>563</v>
      </c>
      <c r="B564" s="77" t="s">
        <v>1374</v>
      </c>
      <c r="C564" s="64" t="s">
        <v>2481</v>
      </c>
      <c r="D564" s="191" t="s">
        <v>2486</v>
      </c>
      <c r="E564" s="191" t="s">
        <v>423</v>
      </c>
      <c r="F564" s="77" t="str">
        <f>VLOOKUP(MP_registro[[#This Row],[TAG]],'DB-EQUIPOS GEN'!$C$11:$H$833,2,0)</f>
        <v>Temperatura de jugo C6</v>
      </c>
      <c r="G564" s="191" t="str">
        <f>VLOOKUP(MP_registro[[#This Row],[TAG]],'DB-EQUIPOS GEN'!$C$11:$H$833,3,0)</f>
        <v>EXTRACCION</v>
      </c>
      <c r="H564" s="191" t="str">
        <f>VLOOKUP(MP_registro[[#This Row],[TAG]],'DB-EQUIPOS GEN'!$C$11:$H$833,4,0)</f>
        <v>DIFUSOR</v>
      </c>
      <c r="I564" s="191" t="str">
        <f>VLOOKUP(MP_registro[[#This Row],[TAG]],'DB-EQUIPOS GEN'!$C$11:$H$833,5,0)</f>
        <v xml:space="preserve">DIFUSOR </v>
      </c>
      <c r="J564" s="191" t="str">
        <f>VLOOKUP(MP_registro[[#This Row],[TAG]],'DB-EQUIPOS GEN'!$C$11:$H$833,6,0)</f>
        <v>0205DF180</v>
      </c>
      <c r="K564" s="192">
        <v>44760</v>
      </c>
      <c r="L564" s="193" t="s">
        <v>245</v>
      </c>
      <c r="M56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64" s="144" t="s">
        <v>1664</v>
      </c>
      <c r="O564" s="64" t="s">
        <v>1696</v>
      </c>
    </row>
    <row r="565" spans="1:15" ht="33.6" customHeight="1">
      <c r="A565" s="65">
        <v>564</v>
      </c>
      <c r="B565" s="77" t="s">
        <v>1374</v>
      </c>
      <c r="C565" s="64" t="s">
        <v>2481</v>
      </c>
      <c r="D565" s="191" t="s">
        <v>2487</v>
      </c>
      <c r="E565" s="191" t="s">
        <v>427</v>
      </c>
      <c r="F565" s="77" t="str">
        <f>VLOOKUP(MP_registro[[#This Row],[TAG]],'DB-EQUIPOS GEN'!$C$11:$H$833,2,0)</f>
        <v>Temperatura de jugo C7</v>
      </c>
      <c r="G565" s="191" t="str">
        <f>VLOOKUP(MP_registro[[#This Row],[TAG]],'DB-EQUIPOS GEN'!$C$11:$H$833,3,0)</f>
        <v>EXTRACCION</v>
      </c>
      <c r="H565" s="191" t="str">
        <f>VLOOKUP(MP_registro[[#This Row],[TAG]],'DB-EQUIPOS GEN'!$C$11:$H$833,4,0)</f>
        <v>DIFUSOR</v>
      </c>
      <c r="I565" s="191" t="str">
        <f>VLOOKUP(MP_registro[[#This Row],[TAG]],'DB-EQUIPOS GEN'!$C$11:$H$833,5,0)</f>
        <v xml:space="preserve">DIFUSOR </v>
      </c>
      <c r="J565" s="191" t="str">
        <f>VLOOKUP(MP_registro[[#This Row],[TAG]],'DB-EQUIPOS GEN'!$C$11:$H$833,6,0)</f>
        <v>0205DF180</v>
      </c>
      <c r="K565" s="192">
        <v>44760</v>
      </c>
      <c r="L565" s="193" t="s">
        <v>245</v>
      </c>
      <c r="M56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65" s="144" t="s">
        <v>1664</v>
      </c>
      <c r="O565" s="64" t="s">
        <v>1696</v>
      </c>
    </row>
    <row r="566" spans="1:15" ht="33.6" customHeight="1">
      <c r="A566" s="64">
        <v>565</v>
      </c>
      <c r="B566" s="77" t="s">
        <v>1374</v>
      </c>
      <c r="C566" s="64" t="s">
        <v>2481</v>
      </c>
      <c r="D566" s="191" t="s">
        <v>2488</v>
      </c>
      <c r="E566" s="191" t="s">
        <v>431</v>
      </c>
      <c r="F566" s="77" t="str">
        <f>VLOOKUP(MP_registro[[#This Row],[TAG]],'DB-EQUIPOS GEN'!$C$11:$H$833,2,0)</f>
        <v>Temperatura de jugo C8</v>
      </c>
      <c r="G566" s="191" t="str">
        <f>VLOOKUP(MP_registro[[#This Row],[TAG]],'DB-EQUIPOS GEN'!$C$11:$H$833,3,0)</f>
        <v>EXTRACCION</v>
      </c>
      <c r="H566" s="191" t="str">
        <f>VLOOKUP(MP_registro[[#This Row],[TAG]],'DB-EQUIPOS GEN'!$C$11:$H$833,4,0)</f>
        <v>DIFUSOR</v>
      </c>
      <c r="I566" s="191" t="str">
        <f>VLOOKUP(MP_registro[[#This Row],[TAG]],'DB-EQUIPOS GEN'!$C$11:$H$833,5,0)</f>
        <v xml:space="preserve">DIFUSOR </v>
      </c>
      <c r="J566" s="191" t="str">
        <f>VLOOKUP(MP_registro[[#This Row],[TAG]],'DB-EQUIPOS GEN'!$C$11:$H$833,6,0)</f>
        <v>0205DF180</v>
      </c>
      <c r="K566" s="192">
        <v>44760</v>
      </c>
      <c r="L566" s="193" t="s">
        <v>245</v>
      </c>
      <c r="M56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66" s="144" t="s">
        <v>1664</v>
      </c>
      <c r="O566" s="64" t="s">
        <v>1696</v>
      </c>
    </row>
    <row r="567" spans="1:15" ht="33.6" customHeight="1">
      <c r="A567" s="65">
        <v>566</v>
      </c>
      <c r="B567" s="77" t="s">
        <v>1374</v>
      </c>
      <c r="C567" s="64" t="s">
        <v>2481</v>
      </c>
      <c r="D567" s="191" t="s">
        <v>2489</v>
      </c>
      <c r="E567" s="191" t="s">
        <v>1640</v>
      </c>
      <c r="F567" s="77" t="str">
        <f>VLOOKUP(MP_registro[[#This Row],[TAG]],'DB-EQUIPOS GEN'!$C$11:$H$833,2,0)</f>
        <v>Conductor de alimentación a difusor y retorno</v>
      </c>
      <c r="G567" s="191" t="str">
        <f>VLOOKUP(MP_registro[[#This Row],[TAG]],'DB-EQUIPOS GEN'!$C$11:$H$833,3,0)</f>
        <v>EXTRACCION</v>
      </c>
      <c r="H567" s="191" t="str">
        <f>VLOOKUP(MP_registro[[#This Row],[TAG]],'DB-EQUIPOS GEN'!$C$11:$H$833,4,0)</f>
        <v>PREPARACIÓN DE CAÑA</v>
      </c>
      <c r="I567" s="191" t="str">
        <f>VLOOKUP(MP_registro[[#This Row],[TAG]],'DB-EQUIPOS GEN'!$C$11:$H$833,5,0)</f>
        <v>CONDUCTOR DE RETORNO</v>
      </c>
      <c r="J567" s="191" t="str">
        <f>VLOOKUP(MP_registro[[#This Row],[TAG]],'DB-EQUIPOS GEN'!$C$11:$H$833,6,0)</f>
        <v>0115CV090</v>
      </c>
      <c r="K567" s="192">
        <v>44760</v>
      </c>
      <c r="L567" s="193" t="s">
        <v>245</v>
      </c>
      <c r="M56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67" s="144" t="s">
        <v>1664</v>
      </c>
      <c r="O567" s="64" t="s">
        <v>1696</v>
      </c>
    </row>
    <row r="568" spans="1:15" ht="33.6" customHeight="1">
      <c r="A568" s="64">
        <v>567</v>
      </c>
      <c r="B568" s="77" t="s">
        <v>1374</v>
      </c>
      <c r="C568" s="64" t="s">
        <v>2481</v>
      </c>
      <c r="D568" s="191" t="s">
        <v>2490</v>
      </c>
      <c r="E568" s="191" t="s">
        <v>1641</v>
      </c>
      <c r="F568" s="77" t="str">
        <f>VLOOKUP(MP_registro[[#This Row],[TAG]],'DB-EQUIPOS GEN'!$C$11:$H$833,2,0)</f>
        <v>Mesa de caña</v>
      </c>
      <c r="G568" s="191" t="str">
        <f>VLOOKUP(MP_registro[[#This Row],[TAG]],'DB-EQUIPOS GEN'!$C$11:$H$833,3,0)</f>
        <v>EXTRACCION</v>
      </c>
      <c r="H568" s="191" t="str">
        <f>VLOOKUP(MP_registro[[#This Row],[TAG]],'DB-EQUIPOS GEN'!$C$11:$H$833,4,0)</f>
        <v>RECEPCIÓN DE CAÑA</v>
      </c>
      <c r="I568" s="191" t="str">
        <f>VLOOKUP(MP_registro[[#This Row],[TAG]],'DB-EQUIPOS GEN'!$C$11:$H$833,5,0)</f>
        <v>MESA DE CAÑA</v>
      </c>
      <c r="J568" s="191" t="str">
        <f>VLOOKUP(MP_registro[[#This Row],[TAG]],'DB-EQUIPOS GEN'!$C$11:$H$833,6,0)</f>
        <v>0110FE019</v>
      </c>
      <c r="K568" s="192">
        <v>44760</v>
      </c>
      <c r="L568" s="193" t="s">
        <v>245</v>
      </c>
      <c r="M56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68" s="144" t="s">
        <v>1664</v>
      </c>
      <c r="O568" s="64" t="s">
        <v>1696</v>
      </c>
    </row>
    <row r="569" spans="1:15" ht="33.6" customHeight="1">
      <c r="A569" s="65">
        <v>568</v>
      </c>
      <c r="B569" s="77" t="s">
        <v>1374</v>
      </c>
      <c r="C569" s="64" t="s">
        <v>2481</v>
      </c>
      <c r="D569" s="191" t="s">
        <v>2491</v>
      </c>
      <c r="E569" s="191" t="s">
        <v>1653</v>
      </c>
      <c r="F569" s="77" t="str">
        <f>VLOOKUP(MP_registro[[#This Row],[TAG]],'DB-EQUIPOS GEN'!$C$11:$H$833,2,0)</f>
        <v>Operación del desviador de bagazo</v>
      </c>
      <c r="G569" s="191" t="str">
        <f>VLOOKUP(MP_registro[[#This Row],[TAG]],'DB-EQUIPOS GEN'!$C$11:$H$833,3,0)</f>
        <v>E. TERMICA</v>
      </c>
      <c r="H569" s="191" t="str">
        <f>VLOOKUP(MP_registro[[#This Row],[TAG]],'DB-EQUIPOS GEN'!$C$11:$H$833,4,0)</f>
        <v>TRANSPORTE DE BAGAZO</v>
      </c>
      <c r="I569" s="191" t="str">
        <f>VLOOKUP(MP_registro[[#This Row],[TAG]],'DB-EQUIPOS GEN'!$C$11:$H$833,5,0)</f>
        <v>FAJA TRANSPORTADORA 1004</v>
      </c>
      <c r="J569" s="191" t="str">
        <f>VLOOKUP(MP_registro[[#This Row],[TAG]],'DB-EQUIPOS GEN'!$C$11:$H$833,6,0)</f>
        <v>0805CV070</v>
      </c>
      <c r="K569" s="192">
        <v>44760</v>
      </c>
      <c r="L569" s="193" t="s">
        <v>245</v>
      </c>
      <c r="M56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69" s="144" t="s">
        <v>1664</v>
      </c>
      <c r="O569" s="64" t="s">
        <v>1696</v>
      </c>
    </row>
    <row r="570" spans="1:15" ht="33.6" customHeight="1">
      <c r="A570" s="64">
        <v>569</v>
      </c>
      <c r="B570" s="77" t="s">
        <v>1374</v>
      </c>
      <c r="C570" s="64" t="s">
        <v>2481</v>
      </c>
      <c r="D570" s="191" t="s">
        <v>2492</v>
      </c>
      <c r="E570" s="191" t="s">
        <v>1162</v>
      </c>
      <c r="F570" s="77" t="str">
        <f>VLOOKUP(MP_registro[[#This Row],[TAG]],'DB-EQUIPOS GEN'!$C$11:$H$833,2,0)</f>
        <v>Valvula de ingreso de cal liquida a preparacion de sacarato</v>
      </c>
      <c r="G570" s="191" t="str">
        <f>VLOOKUP(MP_registro[[#This Row],[TAG]],'DB-EQUIPOS GEN'!$C$11:$H$833,3,0)</f>
        <v>PRODUCCION</v>
      </c>
      <c r="H570" s="191" t="str">
        <f>VLOOKUP(MP_registro[[#This Row],[TAG]],'DB-EQUIPOS GEN'!$C$11:$H$833,4,0)</f>
        <v>CLARIFICACION DE JARABE</v>
      </c>
      <c r="I570" s="191" t="str">
        <f>VLOOKUP(MP_registro[[#This Row],[TAG]],'DB-EQUIPOS GEN'!$C$11:$H$833,5,0)</f>
        <v>TANQUE DE PREPARACION DE SACARATO DE CAL</v>
      </c>
      <c r="J570" s="191" t="str">
        <f>VLOOKUP(MP_registro[[#This Row],[TAG]],'DB-EQUIPOS GEN'!$C$11:$H$833,6,0)</f>
        <v>0330TK080</v>
      </c>
      <c r="K570" s="192">
        <v>44761</v>
      </c>
      <c r="L570" s="193" t="s">
        <v>247</v>
      </c>
      <c r="M570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70" s="144" t="s">
        <v>1664</v>
      </c>
      <c r="O570" s="64" t="s">
        <v>1696</v>
      </c>
    </row>
    <row r="571" spans="1:15" ht="33.6" customHeight="1">
      <c r="A571" s="65">
        <v>570</v>
      </c>
      <c r="B571" s="77" t="s">
        <v>1374</v>
      </c>
      <c r="C571" s="64" t="s">
        <v>2481</v>
      </c>
      <c r="D571" s="191" t="s">
        <v>2493</v>
      </c>
      <c r="E571" s="191" t="s">
        <v>1163</v>
      </c>
      <c r="F571" s="77" t="str">
        <f>VLOOKUP(MP_registro[[#This Row],[TAG]],'DB-EQUIPOS GEN'!$C$11:$H$833,2,0)</f>
        <v>Valvula de ingreso de jarabe a preparacion de sacarato</v>
      </c>
      <c r="G571" s="191" t="str">
        <f>VLOOKUP(MP_registro[[#This Row],[TAG]],'DB-EQUIPOS GEN'!$C$11:$H$833,3,0)</f>
        <v>PRODUCCION</v>
      </c>
      <c r="H571" s="191" t="str">
        <f>VLOOKUP(MP_registro[[#This Row],[TAG]],'DB-EQUIPOS GEN'!$C$11:$H$833,4,0)</f>
        <v>CLARIFICACION DE JARABE</v>
      </c>
      <c r="I571" s="191" t="str">
        <f>VLOOKUP(MP_registro[[#This Row],[TAG]],'DB-EQUIPOS GEN'!$C$11:$H$833,5,0)</f>
        <v>TANQUE DE PREPARACION DE SACARATO DE CAL</v>
      </c>
      <c r="J571" s="191" t="str">
        <f>VLOOKUP(MP_registro[[#This Row],[TAG]],'DB-EQUIPOS GEN'!$C$11:$H$833,6,0)</f>
        <v>0330TK080</v>
      </c>
      <c r="K571" s="192">
        <v>44761</v>
      </c>
      <c r="L571" s="193" t="s">
        <v>247</v>
      </c>
      <c r="M57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71" s="144" t="s">
        <v>1664</v>
      </c>
      <c r="O571" s="64" t="s">
        <v>1696</v>
      </c>
    </row>
    <row r="572" spans="1:15" ht="33.6" customHeight="1">
      <c r="A572" s="64">
        <v>571</v>
      </c>
      <c r="B572" s="77" t="s">
        <v>1374</v>
      </c>
      <c r="C572" s="64" t="s">
        <v>2481</v>
      </c>
      <c r="D572" s="191" t="s">
        <v>2494</v>
      </c>
      <c r="E572" s="191" t="s">
        <v>1659</v>
      </c>
      <c r="F572" s="77" t="str">
        <f>VLOOKUP(MP_registro[[#This Row],[TAG]],'DB-EQUIPOS GEN'!$C$11:$H$833,2,0)</f>
        <v>Vista global de tanques de jarabe 1,2 y 3</v>
      </c>
      <c r="G572" s="191" t="str">
        <f>VLOOKUP(MP_registro[[#This Row],[TAG]],'DB-EQUIPOS GEN'!$C$11:$H$833,3,0)</f>
        <v>PRODUCCION</v>
      </c>
      <c r="H572" s="191" t="str">
        <f>VLOOKUP(MP_registro[[#This Row],[TAG]],'DB-EQUIPOS GEN'!$C$11:$H$833,4,0)</f>
        <v>CRISTALIZACIÓN POR COCCIÓN</v>
      </c>
      <c r="I572" s="191" t="str">
        <f>VLOOKUP(MP_registro[[#This Row],[TAG]],'DB-EQUIPOS GEN'!$C$11:$H$833,5,0)</f>
        <v>TANQUE DE JARABE 1</v>
      </c>
      <c r="J572" s="191" t="str">
        <f>VLOOKUP(MP_registro[[#This Row],[TAG]],'DB-EQUIPOS GEN'!$C$11:$H$833,6,0)</f>
        <v>0335TK010</v>
      </c>
      <c r="K572" s="192">
        <v>44761</v>
      </c>
      <c r="L572" s="193" t="s">
        <v>247</v>
      </c>
      <c r="M57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72" s="144" t="s">
        <v>1664</v>
      </c>
      <c r="O572" s="64" t="s">
        <v>1696</v>
      </c>
    </row>
    <row r="573" spans="1:15" ht="33.6" customHeight="1">
      <c r="A573" s="65">
        <v>572</v>
      </c>
      <c r="B573" s="77" t="s">
        <v>1374</v>
      </c>
      <c r="C573" s="64" t="s">
        <v>2481</v>
      </c>
      <c r="D573" s="191" t="s">
        <v>2495</v>
      </c>
      <c r="E573" s="191" t="s">
        <v>1660</v>
      </c>
      <c r="F573" s="77" t="str">
        <f>VLOOKUP(MP_registro[[#This Row],[TAG]],'DB-EQUIPOS GEN'!$C$11:$H$833,2,0)</f>
        <v>Vista global de tacho continuo A.</v>
      </c>
      <c r="G573" s="191" t="str">
        <f>VLOOKUP(MP_registro[[#This Row],[TAG]],'DB-EQUIPOS GEN'!$C$11:$H$833,3,0)</f>
        <v>PRODUCCION</v>
      </c>
      <c r="H573" s="191" t="str">
        <f>VLOOKUP(MP_registro[[#This Row],[TAG]],'DB-EQUIPOS GEN'!$C$11:$H$833,4,0)</f>
        <v>CRISTALIZACIÓN POR COCCIÓN</v>
      </c>
      <c r="I573" s="191" t="str">
        <f>VLOOKUP(MP_registro[[#This Row],[TAG]],'DB-EQUIPOS GEN'!$C$11:$H$833,5,0)</f>
        <v>TACHO CONTINUO - A</v>
      </c>
      <c r="J573" s="191" t="str">
        <f>VLOOKUP(MP_registro[[#This Row],[TAG]],'DB-EQUIPOS GEN'!$C$11:$H$833,6,0)</f>
        <v>0335HX200</v>
      </c>
      <c r="K573" s="192">
        <v>44761</v>
      </c>
      <c r="L573" s="193" t="s">
        <v>245</v>
      </c>
      <c r="M57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73" s="144" t="s">
        <v>1664</v>
      </c>
      <c r="O573" s="64" t="s">
        <v>1696</v>
      </c>
    </row>
    <row r="574" spans="1:15" ht="33.6" customHeight="1">
      <c r="A574" s="64">
        <v>573</v>
      </c>
      <c r="B574" s="77" t="s">
        <v>1374</v>
      </c>
      <c r="C574" s="64" t="s">
        <v>2481</v>
      </c>
      <c r="D574" s="191" t="s">
        <v>2496</v>
      </c>
      <c r="E574" s="191" t="s">
        <v>1649</v>
      </c>
      <c r="F574" s="77" t="str">
        <f>VLOOKUP(MP_registro[[#This Row],[TAG]],'DB-EQUIPOS GEN'!$C$11:$H$833,2,0)</f>
        <v>Chute alimentadores de bagazo</v>
      </c>
      <c r="G574" s="191" t="str">
        <f>VLOOKUP(MP_registro[[#This Row],[TAG]],'DB-EQUIPOS GEN'!$C$11:$H$833,3,0)</f>
        <v>E. TERMICA</v>
      </c>
      <c r="H574" s="191" t="str">
        <f>VLOOKUP(MP_registro[[#This Row],[TAG]],'DB-EQUIPOS GEN'!$C$11:$H$833,4,0)</f>
        <v>TRANSPORTE DE BAGAZO</v>
      </c>
      <c r="I574" s="191" t="str">
        <f>VLOOKUP(MP_registro[[#This Row],[TAG]],'DB-EQUIPOS GEN'!$C$11:$H$833,5,0)</f>
        <v>ALIMENTADOR DE BAGAZO 1</v>
      </c>
      <c r="J574" s="191" t="str">
        <f>VLOOKUP(MP_registro[[#This Row],[TAG]],'DB-EQUIPOS GEN'!$C$11:$H$833,6,0)</f>
        <v>0405RV240</v>
      </c>
      <c r="K574" s="192">
        <v>44761</v>
      </c>
      <c r="L574" s="193" t="s">
        <v>247</v>
      </c>
      <c r="M57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74" s="144" t="s">
        <v>13</v>
      </c>
      <c r="O574" s="64" t="s">
        <v>1696</v>
      </c>
    </row>
    <row r="575" spans="1:15" ht="33.6" customHeight="1">
      <c r="A575" s="65">
        <v>574</v>
      </c>
      <c r="B575" s="77" t="s">
        <v>1374</v>
      </c>
      <c r="C575" s="64" t="s">
        <v>2481</v>
      </c>
      <c r="D575" s="191" t="s">
        <v>2497</v>
      </c>
      <c r="E575" s="191" t="s">
        <v>1655</v>
      </c>
      <c r="F575" s="77" t="str">
        <f>VLOOKUP(MP_registro[[#This Row],[TAG]],'DB-EQUIPOS GEN'!$C$11:$H$833,2,0)</f>
        <v>Vista global de planta de osmosis</v>
      </c>
      <c r="G575" s="191" t="str">
        <f>VLOOKUP(MP_registro[[#This Row],[TAG]],'DB-EQUIPOS GEN'!$C$11:$H$833,3,0)</f>
        <v>E. TERMICA</v>
      </c>
      <c r="H575" s="191" t="str">
        <f>VLOOKUP(MP_registro[[#This Row],[TAG]],'DB-EQUIPOS GEN'!$C$11:$H$833,4,0)</f>
        <v>PLANTA TRATAMIENTO OSMOSIS INVERSA</v>
      </c>
      <c r="I575" s="191" t="str">
        <f>VLOOKUP(MP_registro[[#This Row],[TAG]],'DB-EQUIPOS GEN'!$C$11:$H$833,5,0)</f>
        <v>PLANTA DE OSMOSIS INVERSA</v>
      </c>
      <c r="J575" s="191" t="str">
        <f>VLOOKUP(MP_registro[[#This Row],[TAG]],'DB-EQUIPOS GEN'!$C$11:$H$833,6,0)</f>
        <v>0425OI101</v>
      </c>
      <c r="K575" s="192">
        <v>44761</v>
      </c>
      <c r="L575" s="193" t="s">
        <v>245</v>
      </c>
      <c r="M57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75" s="144" t="s">
        <v>1664</v>
      </c>
      <c r="O575" s="64" t="s">
        <v>1696</v>
      </c>
    </row>
    <row r="576" spans="1:15" ht="33.6" customHeight="1">
      <c r="A576" s="64">
        <v>575</v>
      </c>
      <c r="B576" s="77" t="s">
        <v>1374</v>
      </c>
      <c r="C576" s="64" t="s">
        <v>2481</v>
      </c>
      <c r="D576" s="191" t="s">
        <v>2498</v>
      </c>
      <c r="E576" s="191" t="s">
        <v>1656</v>
      </c>
      <c r="F576" s="77" t="str">
        <f>VLOOKUP(MP_registro[[#This Row],[TAG]],'DB-EQUIPOS GEN'!$C$11:$H$833,2,0)</f>
        <v>Descarga de centrifugas continuas</v>
      </c>
      <c r="G576" s="191" t="str">
        <f>VLOOKUP(MP_registro[[#This Row],[TAG]],'DB-EQUIPOS GEN'!$C$11:$H$833,3,0)</f>
        <v>PRODUCCION</v>
      </c>
      <c r="H576" s="191" t="str">
        <f>VLOOKUP(MP_registro[[#This Row],[TAG]],'DB-EQUIPOS GEN'!$C$11:$H$833,4,0)</f>
        <v>CENTRIFUGACIÓN DE AZÚCAR</v>
      </c>
      <c r="I576" s="191" t="str">
        <f>VLOOKUP(MP_registro[[#This Row],[TAG]],'DB-EQUIPOS GEN'!$C$11:$H$833,5,0)</f>
        <v>CENTRIFUGA CONTINUA 1 - C (FRANCIA)</v>
      </c>
      <c r="J576" s="191" t="str">
        <f>VLOOKUP(MP_registro[[#This Row],[TAG]],'DB-EQUIPOS GEN'!$C$11:$H$833,6,0)</f>
        <v>0345SQ160</v>
      </c>
      <c r="K576" s="192">
        <v>44762</v>
      </c>
      <c r="L576" s="193" t="s">
        <v>247</v>
      </c>
      <c r="M57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76" s="144" t="s">
        <v>1664</v>
      </c>
      <c r="O576" s="64" t="s">
        <v>1696</v>
      </c>
    </row>
    <row r="577" spans="1:15" ht="33.6" customHeight="1">
      <c r="A577" s="65">
        <v>576</v>
      </c>
      <c r="B577" s="77" t="s">
        <v>1374</v>
      </c>
      <c r="C577" s="64" t="s">
        <v>2481</v>
      </c>
      <c r="D577" s="191" t="s">
        <v>2499</v>
      </c>
      <c r="E577" s="191" t="s">
        <v>1657</v>
      </c>
      <c r="F577" s="77" t="str">
        <f>VLOOKUP(MP_registro[[#This Row],[TAG]],'DB-EQUIPOS GEN'!$C$11:$H$833,2,0)</f>
        <v>Pug mill B, Cabezal C de centrifugas continuas</v>
      </c>
      <c r="G577" s="191" t="str">
        <f>VLOOKUP(MP_registro[[#This Row],[TAG]],'DB-EQUIPOS GEN'!$C$11:$H$833,3,0)</f>
        <v>PRODUCCION</v>
      </c>
      <c r="H577" s="191" t="str">
        <f>VLOOKUP(MP_registro[[#This Row],[TAG]],'DB-EQUIPOS GEN'!$C$11:$H$833,4,0)</f>
        <v>CENTRIFUGACIÓN DE AZÚCAR</v>
      </c>
      <c r="I577" s="191" t="str">
        <f>VLOOKUP(MP_registro[[#This Row],[TAG]],'DB-EQUIPOS GEN'!$C$11:$H$833,5,0)</f>
        <v>PUG MILL - B</v>
      </c>
      <c r="J577" s="191" t="str">
        <f>VLOOKUP(MP_registro[[#This Row],[TAG]],'DB-EQUIPOS GEN'!$C$11:$H$833,6,0)</f>
        <v>0345MM020</v>
      </c>
      <c r="K577" s="192">
        <v>44762</v>
      </c>
      <c r="L577" s="193" t="s">
        <v>245</v>
      </c>
      <c r="M57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77" s="144" t="s">
        <v>1664</v>
      </c>
      <c r="O577" s="64" t="s">
        <v>1696</v>
      </c>
    </row>
    <row r="578" spans="1:15" ht="33.6" customHeight="1">
      <c r="A578" s="64">
        <v>577</v>
      </c>
      <c r="B578" s="77" t="s">
        <v>1374</v>
      </c>
      <c r="C578" s="64" t="s">
        <v>2481</v>
      </c>
      <c r="D578" s="191" t="s">
        <v>2500</v>
      </c>
      <c r="E578" s="191" t="s">
        <v>1658</v>
      </c>
      <c r="F578" s="77" t="str">
        <f>VLOOKUP(MP_registro[[#This Row],[TAG]],'DB-EQUIPOS GEN'!$C$11:$H$833,2,0)</f>
        <v>Pug mill A - Centrifugas batch</v>
      </c>
      <c r="G578" s="191" t="str">
        <f>VLOOKUP(MP_registro[[#This Row],[TAG]],'DB-EQUIPOS GEN'!$C$11:$H$833,3,0)</f>
        <v>PRODUCCION</v>
      </c>
      <c r="H578" s="191" t="str">
        <f>VLOOKUP(MP_registro[[#This Row],[TAG]],'DB-EQUIPOS GEN'!$C$11:$H$833,4,0)</f>
        <v>CENTRIFUGACIÓN DE AZÚCAR</v>
      </c>
      <c r="I578" s="191" t="str">
        <f>VLOOKUP(MP_registro[[#This Row],[TAG]],'DB-EQUIPOS GEN'!$C$11:$H$833,5,0)</f>
        <v>PUG MILL - A</v>
      </c>
      <c r="J578" s="191" t="str">
        <f>VLOOKUP(MP_registro[[#This Row],[TAG]],'DB-EQUIPOS GEN'!$C$11:$H$833,6,0)</f>
        <v>0345MM010</v>
      </c>
      <c r="K578" s="192">
        <v>44762</v>
      </c>
      <c r="L578" s="193" t="s">
        <v>247</v>
      </c>
      <c r="M57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78" s="144" t="s">
        <v>1664</v>
      </c>
      <c r="O578" s="64" t="s">
        <v>1696</v>
      </c>
    </row>
    <row r="579" spans="1:15" ht="33.6" customHeight="1">
      <c r="A579" s="65">
        <v>578</v>
      </c>
      <c r="B579" s="77" t="s">
        <v>1374</v>
      </c>
      <c r="C579" s="64" t="s">
        <v>2481</v>
      </c>
      <c r="D579" s="191" t="s">
        <v>2501</v>
      </c>
      <c r="E579" s="191" t="s">
        <v>1661</v>
      </c>
      <c r="F579" s="77" t="str">
        <f>VLOOKUP(MP_registro[[#This Row],[TAG]],'DB-EQUIPOS GEN'!$C$11:$H$833,2,0)</f>
        <v xml:space="preserve">Faja de azucar seca a Silo </v>
      </c>
      <c r="G579" s="191" t="str">
        <f>VLOOKUP(MP_registro[[#This Row],[TAG]],'DB-EQUIPOS GEN'!$C$11:$H$833,3,0)</f>
        <v>PRODUCCION</v>
      </c>
      <c r="H579" s="191" t="str">
        <f>VLOOKUP(MP_registro[[#This Row],[TAG]],'DB-EQUIPOS GEN'!$C$11:$H$833,4,0)</f>
        <v>ENVASADO DE AZÚCAR RUBIA</v>
      </c>
      <c r="I579" s="191" t="str">
        <f>VLOOKUP(MP_registro[[#This Row],[TAG]],'DB-EQUIPOS GEN'!$C$11:$H$833,5,0)</f>
        <v>SILO DE AZUCAR 1</v>
      </c>
      <c r="J579" s="191" t="str">
        <f>VLOOKUP(MP_registro[[#This Row],[TAG]],'DB-EQUIPOS GEN'!$C$11:$H$833,6,0)</f>
        <v>0355BI090</v>
      </c>
      <c r="K579" s="192">
        <v>44762</v>
      </c>
      <c r="L579" s="193" t="s">
        <v>245</v>
      </c>
      <c r="M57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579" s="144" t="s">
        <v>1664</v>
      </c>
      <c r="O579" s="64" t="s">
        <v>1696</v>
      </c>
    </row>
    <row r="580" spans="1:15" ht="33.6" customHeight="1">
      <c r="A580" s="64">
        <v>579</v>
      </c>
      <c r="B580" s="77" t="s">
        <v>1374</v>
      </c>
      <c r="C580" s="64" t="s">
        <v>2481</v>
      </c>
      <c r="D580" s="191" t="s">
        <v>2502</v>
      </c>
      <c r="E580" s="191" t="s">
        <v>1648</v>
      </c>
      <c r="F580" s="77" t="str">
        <f>VLOOKUP(MP_registro[[#This Row],[TAG]],'DB-EQUIPOS GEN'!$C$11:$H$833,2,0)</f>
        <v>Nivel de agua en domo</v>
      </c>
      <c r="G580" s="191" t="str">
        <f>VLOOKUP(MP_registro[[#This Row],[TAG]],'DB-EQUIPOS GEN'!$C$11:$H$833,3,0)</f>
        <v>E. TERMICA</v>
      </c>
      <c r="H580" s="191" t="str">
        <f>VLOOKUP(MP_registro[[#This Row],[TAG]],'DB-EQUIPOS GEN'!$C$11:$H$833,4,0)</f>
        <v>GENERACIÓN DE VAPOR</v>
      </c>
      <c r="I580" s="191" t="str">
        <f>VLOOKUP(MP_registro[[#This Row],[TAG]],'DB-EQUIPOS GEN'!$C$11:$H$833,5,0)</f>
        <v>DOMO SUPERIOR</v>
      </c>
      <c r="J580" s="191" t="str">
        <f>VLOOKUP(MP_registro[[#This Row],[TAG]],'DB-EQUIPOS GEN'!$C$11:$H$833,6,0)</f>
        <v>0405DO020</v>
      </c>
      <c r="K580" s="192">
        <v>44762</v>
      </c>
      <c r="L580" s="193" t="s">
        <v>247</v>
      </c>
      <c r="M580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80" s="144" t="s">
        <v>13</v>
      </c>
      <c r="O580" s="64" t="s">
        <v>1696</v>
      </c>
    </row>
    <row r="581" spans="1:15" ht="33.6" customHeight="1">
      <c r="A581" s="65">
        <v>580</v>
      </c>
      <c r="B581" s="77" t="s">
        <v>1374</v>
      </c>
      <c r="C581" s="64" t="s">
        <v>2481</v>
      </c>
      <c r="D581" s="191" t="s">
        <v>2503</v>
      </c>
      <c r="E581" s="191" t="s">
        <v>1173</v>
      </c>
      <c r="F581" s="77" t="str">
        <f>VLOOKUP(MP_registro[[#This Row],[TAG]],'DB-EQUIPOS GEN'!$C$11:$H$833,2,0)</f>
        <v>Valvula control de nivel FFE - 1</v>
      </c>
      <c r="G581" s="191" t="str">
        <f>VLOOKUP(MP_registro[[#This Row],[TAG]],'DB-EQUIPOS GEN'!$C$11:$H$833,3,0)</f>
        <v>PRODUCCION</v>
      </c>
      <c r="H581" s="191" t="str">
        <f>VLOOKUP(MP_registro[[#This Row],[TAG]],'DB-EQUIPOS GEN'!$C$11:$H$833,4,0)</f>
        <v>EVAPORACION DE JUGO</v>
      </c>
      <c r="I581" s="191" t="str">
        <f>VLOOKUP(MP_registro[[#This Row],[TAG]],'DB-EQUIPOS GEN'!$C$11:$H$833,5,0)</f>
        <v>EVAPORADOR FFE 1</v>
      </c>
      <c r="J581" s="191" t="str">
        <f>VLOOKUP(MP_registro[[#This Row],[TAG]],'DB-EQUIPOS GEN'!$C$11:$H$833,6,0)</f>
        <v>0320EV010</v>
      </c>
      <c r="K581" s="192">
        <v>44763</v>
      </c>
      <c r="L581" s="193" t="s">
        <v>249</v>
      </c>
      <c r="M58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81" s="144" t="s">
        <v>1664</v>
      </c>
      <c r="O581" s="64" t="s">
        <v>1696</v>
      </c>
    </row>
    <row r="582" spans="1:15" ht="33.6" customHeight="1">
      <c r="A582" s="64">
        <v>581</v>
      </c>
      <c r="B582" s="77" t="s">
        <v>1374</v>
      </c>
      <c r="C582" s="64" t="s">
        <v>2481</v>
      </c>
      <c r="D582" s="191" t="s">
        <v>2504</v>
      </c>
      <c r="E582" s="77" t="s">
        <v>798</v>
      </c>
      <c r="F582" s="77" t="str">
        <f>VLOOKUP(MP_registro[[#This Row],[TAG]],'DB-EQUIPOS GEN'!$C$11:$H$833,2,0)</f>
        <v>Peso de azucar balanza A - Silo 1</v>
      </c>
      <c r="G582" s="191" t="str">
        <f>VLOOKUP(MP_registro[[#This Row],[TAG]],'DB-EQUIPOS GEN'!$C$11:$H$833,3,0)</f>
        <v>PRODUCCION</v>
      </c>
      <c r="H582" s="191" t="str">
        <f>VLOOKUP(MP_registro[[#This Row],[TAG]],'DB-EQUIPOS GEN'!$C$11:$H$833,4,0)</f>
        <v>ENVASADO DE AZUCAR RUBIA</v>
      </c>
      <c r="I582" s="191" t="str">
        <f>VLOOKUP(MP_registro[[#This Row],[TAG]],'DB-EQUIPOS GEN'!$C$11:$H$833,5,0)</f>
        <v xml:space="preserve">SILO 1 </v>
      </c>
      <c r="J582" s="191" t="str">
        <f>VLOOKUP(MP_registro[[#This Row],[TAG]],'DB-EQUIPOS GEN'!$C$11:$H$833,6,0)</f>
        <v>0355BI090</v>
      </c>
      <c r="K582" s="192">
        <v>44763</v>
      </c>
      <c r="L582" s="193" t="s">
        <v>249</v>
      </c>
      <c r="M58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82" s="144" t="s">
        <v>1664</v>
      </c>
      <c r="O582" s="64" t="s">
        <v>1696</v>
      </c>
    </row>
    <row r="583" spans="1:15" ht="33.6" customHeight="1">
      <c r="A583" s="65">
        <v>582</v>
      </c>
      <c r="B583" s="77" t="s">
        <v>1374</v>
      </c>
      <c r="C583" s="64" t="s">
        <v>2481</v>
      </c>
      <c r="D583" s="191" t="s">
        <v>2505</v>
      </c>
      <c r="E583" s="191" t="s">
        <v>2407</v>
      </c>
      <c r="F583" s="77" t="str">
        <f>VLOOKUP(MP_registro[[#This Row],[TAG]],'DB-EQUIPOS GEN'!$C$11:$H$833,2,0)</f>
        <v>Vista Molino Secador - Conductor Intermedio</v>
      </c>
      <c r="G583" s="191" t="str">
        <f>VLOOKUP(MP_registro[[#This Row],[TAG]],'DB-EQUIPOS GEN'!$C$11:$H$833,3,0)</f>
        <v>EXTRACCION</v>
      </c>
      <c r="H583" s="191" t="str">
        <f>VLOOKUP(MP_registro[[#This Row],[TAG]],'DB-EQUIPOS GEN'!$C$11:$H$833,4,0)</f>
        <v>MOLINOS</v>
      </c>
      <c r="I583" s="191" t="str">
        <f>VLOOKUP(MP_registro[[#This Row],[TAG]],'DB-EQUIPOS GEN'!$C$11:$H$833,5,0)</f>
        <v>CONDUCTOR INTERMEDIO - MOLINO SECADOR</v>
      </c>
      <c r="J583" s="191" t="str">
        <f>VLOOKUP(MP_registro[[#This Row],[TAG]],'DB-EQUIPOS GEN'!$C$11:$H$833,6,0)</f>
        <v>0210CV070</v>
      </c>
      <c r="K583" s="192">
        <v>44763</v>
      </c>
      <c r="L583" s="193" t="s">
        <v>249</v>
      </c>
      <c r="M58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83" s="144" t="s">
        <v>1664</v>
      </c>
      <c r="O583" s="64" t="s">
        <v>1696</v>
      </c>
    </row>
    <row r="584" spans="1:15" ht="33.6" customHeight="1">
      <c r="A584" s="64">
        <v>583</v>
      </c>
      <c r="B584" s="77" t="s">
        <v>1374</v>
      </c>
      <c r="C584" s="64" t="s">
        <v>2481</v>
      </c>
      <c r="D584" s="191" t="s">
        <v>2506</v>
      </c>
      <c r="E584" s="191" t="s">
        <v>1642</v>
      </c>
      <c r="F584" s="77" t="str">
        <f>VLOOKUP(MP_registro[[#This Row],[TAG]],'DB-EQUIPOS GEN'!$C$11:$H$833,2,0)</f>
        <v>Salida de bagazo de molino secador</v>
      </c>
      <c r="G584" s="191" t="str">
        <f>VLOOKUP(MP_registro[[#This Row],[TAG]],'DB-EQUIPOS GEN'!$C$11:$H$833,3,0)</f>
        <v>EXTRACCION</v>
      </c>
      <c r="H584" s="191" t="str">
        <f>VLOOKUP(MP_registro[[#This Row],[TAG]],'DB-EQUIPOS GEN'!$C$11:$H$833,4,0)</f>
        <v>MOLINOS</v>
      </c>
      <c r="I584" s="191" t="str">
        <f>VLOOKUP(MP_registro[[#This Row],[TAG]],'DB-EQUIPOS GEN'!$C$11:$H$833,5,0)</f>
        <v>MOLINO SECADOR</v>
      </c>
      <c r="J584" s="191" t="str">
        <f>VLOOKUP(MP_registro[[#This Row],[TAG]],'DB-EQUIPOS GEN'!$C$11:$H$833,6,0)</f>
        <v>0210MM090</v>
      </c>
      <c r="K584" s="192">
        <v>44763</v>
      </c>
      <c r="L584" s="193" t="s">
        <v>249</v>
      </c>
      <c r="M58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84" s="144" t="s">
        <v>1664</v>
      </c>
      <c r="O584" s="64" t="s">
        <v>1696</v>
      </c>
    </row>
    <row r="585" spans="1:15" ht="33.6" customHeight="1">
      <c r="A585" s="65">
        <v>584</v>
      </c>
      <c r="B585" s="77" t="s">
        <v>1374</v>
      </c>
      <c r="C585" s="64" t="s">
        <v>2481</v>
      </c>
      <c r="D585" s="191" t="s">
        <v>2507</v>
      </c>
      <c r="E585" s="191" t="s">
        <v>1651</v>
      </c>
      <c r="F585" s="77" t="str">
        <f>VLOOKUP(MP_registro[[#This Row],[TAG]],'DB-EQUIPOS GEN'!$C$11:$H$833,2,0)</f>
        <v>Faja 1008 - Tolva de retorno de bagazo</v>
      </c>
      <c r="G585" s="191" t="str">
        <f>VLOOKUP(MP_registro[[#This Row],[TAG]],'DB-EQUIPOS GEN'!$C$11:$H$833,3,0)</f>
        <v>E. TERMICA</v>
      </c>
      <c r="H585" s="191" t="str">
        <f>VLOOKUP(MP_registro[[#This Row],[TAG]],'DB-EQUIPOS GEN'!$C$11:$H$833,4,0)</f>
        <v>TRANSPORTE DE BAGAZO</v>
      </c>
      <c r="I585" s="191" t="str">
        <f>VLOOKUP(MP_registro[[#This Row],[TAG]],'DB-EQUIPOS GEN'!$C$11:$H$833,5,0)</f>
        <v>FAJA TRANSPORTADORA 1008</v>
      </c>
      <c r="J585" s="191" t="str">
        <f>VLOOKUP(MP_registro[[#This Row],[TAG]],'DB-EQUIPOS GEN'!$C$11:$H$833,6,0)</f>
        <v>0805CV100</v>
      </c>
      <c r="K585" s="192">
        <v>44763</v>
      </c>
      <c r="L585" s="193" t="s">
        <v>249</v>
      </c>
      <c r="M585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85" s="144" t="s">
        <v>1664</v>
      </c>
      <c r="O585" s="64" t="s">
        <v>1696</v>
      </c>
    </row>
    <row r="586" spans="1:15" ht="33.6" customHeight="1">
      <c r="A586" s="64">
        <v>585</v>
      </c>
      <c r="B586" s="77" t="s">
        <v>1374</v>
      </c>
      <c r="C586" s="64" t="s">
        <v>2481</v>
      </c>
      <c r="D586" s="191" t="s">
        <v>2508</v>
      </c>
      <c r="E586" s="191" t="s">
        <v>1652</v>
      </c>
      <c r="F586" s="77" t="str">
        <f>VLOOKUP(MP_registro[[#This Row],[TAG]],'DB-EQUIPOS GEN'!$C$11:$H$833,2,0)</f>
        <v>Faja 1006A - Patio de Bagazo</v>
      </c>
      <c r="G586" s="191" t="str">
        <f>VLOOKUP(MP_registro[[#This Row],[TAG]],'DB-EQUIPOS GEN'!$C$11:$H$833,3,0)</f>
        <v>E. TERMICA</v>
      </c>
      <c r="H586" s="191" t="str">
        <f>VLOOKUP(MP_registro[[#This Row],[TAG]],'DB-EQUIPOS GEN'!$C$11:$H$833,4,0)</f>
        <v>TRANSPORTE DE BAGAZO</v>
      </c>
      <c r="I586" s="191" t="str">
        <f>VLOOKUP(MP_registro[[#This Row],[TAG]],'DB-EQUIPOS GEN'!$C$11:$H$833,5,0)</f>
        <v>FAJA TRANSPORTADORA 1006 A</v>
      </c>
      <c r="J586" s="191" t="str">
        <f>VLOOKUP(MP_registro[[#This Row],[TAG]],'DB-EQUIPOS GEN'!$C$11:$H$833,6,0)</f>
        <v>0805CV080</v>
      </c>
      <c r="K586" s="192">
        <v>44763</v>
      </c>
      <c r="L586" s="193" t="s">
        <v>249</v>
      </c>
      <c r="M58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86" s="144" t="s">
        <v>1664</v>
      </c>
      <c r="O586" s="64" t="s">
        <v>1696</v>
      </c>
    </row>
    <row r="587" spans="1:15" ht="33.6" customHeight="1">
      <c r="A587" s="65">
        <v>586</v>
      </c>
      <c r="B587" s="77" t="s">
        <v>1374</v>
      </c>
      <c r="C587" s="64" t="s">
        <v>2481</v>
      </c>
      <c r="D587" s="191" t="s">
        <v>2509</v>
      </c>
      <c r="E587" s="191" t="s">
        <v>486</v>
      </c>
      <c r="F587" s="77" t="str">
        <f>VLOOKUP(MP_registro[[#This Row],[TAG]],'DB-EQUIPOS GEN'!$C$11:$H$833,2,0)</f>
        <v>Temperatura del ingreso de vapor</v>
      </c>
      <c r="G587" s="191" t="str">
        <f>VLOOKUP(MP_registro[[#This Row],[TAG]],'DB-EQUIPOS GEN'!$C$11:$H$833,3,0)</f>
        <v>PRODUCCION</v>
      </c>
      <c r="H587" s="191" t="str">
        <f>VLOOKUP(MP_registro[[#This Row],[TAG]],'DB-EQUIPOS GEN'!$C$11:$H$833,4,0)</f>
        <v>EVAPORACION DE JUGO</v>
      </c>
      <c r="I587" s="191" t="str">
        <f>VLOOKUP(MP_registro[[#This Row],[TAG]],'DB-EQUIPOS GEN'!$C$11:$H$833,5,0)</f>
        <v>FFE 1 /2</v>
      </c>
      <c r="J587" s="191" t="str">
        <f>VLOOKUP(MP_registro[[#This Row],[TAG]],'DB-EQUIPOS GEN'!$C$11:$H$833,6,0)</f>
        <v xml:space="preserve"> 0320EV020</v>
      </c>
      <c r="K587" s="192">
        <v>44764</v>
      </c>
      <c r="L587" s="193" t="s">
        <v>249</v>
      </c>
      <c r="M587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87" s="144" t="s">
        <v>1664</v>
      </c>
      <c r="O587" s="64" t="s">
        <v>1696</v>
      </c>
    </row>
    <row r="588" spans="1:15" ht="33.6" customHeight="1">
      <c r="A588" s="64">
        <v>587</v>
      </c>
      <c r="B588" s="77" t="s">
        <v>1374</v>
      </c>
      <c r="C588" s="64" t="s">
        <v>2481</v>
      </c>
      <c r="D588" s="191" t="s">
        <v>2510</v>
      </c>
      <c r="E588" s="77" t="s">
        <v>799</v>
      </c>
      <c r="F588" s="77" t="str">
        <f>VLOOKUP(MP_registro[[#This Row],[TAG]],'DB-EQUIPOS GEN'!$C$11:$H$833,2,0)</f>
        <v>Peso de azucar balanza B - Silo 1</v>
      </c>
      <c r="G588" s="191" t="str">
        <f>VLOOKUP(MP_registro[[#This Row],[TAG]],'DB-EQUIPOS GEN'!$C$11:$H$833,3,0)</f>
        <v>PRODUCCION</v>
      </c>
      <c r="H588" s="191" t="str">
        <f>VLOOKUP(MP_registro[[#This Row],[TAG]],'DB-EQUIPOS GEN'!$C$11:$H$833,4,0)</f>
        <v>ENVASADO DE AZUCAR RUBIA</v>
      </c>
      <c r="I588" s="191" t="str">
        <f>VLOOKUP(MP_registro[[#This Row],[TAG]],'DB-EQUIPOS GEN'!$C$11:$H$833,5,0)</f>
        <v xml:space="preserve">SILO 1 </v>
      </c>
      <c r="J588" s="191" t="str">
        <f>VLOOKUP(MP_registro[[#This Row],[TAG]],'DB-EQUIPOS GEN'!$C$11:$H$833,6,0)</f>
        <v>0355BI090</v>
      </c>
      <c r="K588" s="192">
        <v>44764</v>
      </c>
      <c r="L588" s="193" t="s">
        <v>247</v>
      </c>
      <c r="M58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88" s="144" t="s">
        <v>1664</v>
      </c>
      <c r="O588" s="64" t="s">
        <v>1696</v>
      </c>
    </row>
    <row r="589" spans="1:15" ht="33.6" customHeight="1">
      <c r="A589" s="65">
        <v>588</v>
      </c>
      <c r="B589" s="77" t="s">
        <v>1374</v>
      </c>
      <c r="C589" s="64" t="s">
        <v>2481</v>
      </c>
      <c r="D589" s="191" t="s">
        <v>2511</v>
      </c>
      <c r="E589" s="191" t="s">
        <v>1644</v>
      </c>
      <c r="F589" s="77" t="str">
        <f>VLOOKUP(MP_registro[[#This Row],[TAG]],'DB-EQUIPOS GEN'!$C$11:$H$833,2,0)</f>
        <v>Explanada de Turbina Triveni</v>
      </c>
      <c r="G589" s="191" t="str">
        <f>VLOOKUP(MP_registro[[#This Row],[TAG]],'DB-EQUIPOS GEN'!$C$11:$H$833,3,0)</f>
        <v>E. ELECTRICA</v>
      </c>
      <c r="H589" s="191" t="str">
        <f>VLOOKUP(MP_registro[[#This Row],[TAG]],'DB-EQUIPOS GEN'!$C$11:$H$833,4,0)</f>
        <v>GENERACIÓN ENERG. ELEC. TURBO GENERADOR</v>
      </c>
      <c r="I589" s="191" t="str">
        <f>VLOOKUP(MP_registro[[#This Row],[TAG]],'DB-EQUIPOS GEN'!$C$11:$H$833,5,0)</f>
        <v>TURBOGENERADOR TRIVENI 23.2 MW</v>
      </c>
      <c r="J589" s="191" t="str">
        <f>VLOOKUP(MP_registro[[#This Row],[TAG]],'DB-EQUIPOS GEN'!$C$11:$H$833,6,0)</f>
        <v>0430TG020</v>
      </c>
      <c r="K589" s="192">
        <v>44764</v>
      </c>
      <c r="L589" s="193" t="s">
        <v>249</v>
      </c>
      <c r="M58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89" s="144" t="s">
        <v>1664</v>
      </c>
      <c r="O589" s="64" t="s">
        <v>1696</v>
      </c>
    </row>
    <row r="590" spans="1:15" ht="33.6" customHeight="1">
      <c r="A590" s="64">
        <v>589</v>
      </c>
      <c r="B590" s="77" t="s">
        <v>1374</v>
      </c>
      <c r="C590" s="64" t="s">
        <v>2481</v>
      </c>
      <c r="D590" s="191" t="s">
        <v>2512</v>
      </c>
      <c r="E590" s="191" t="s">
        <v>1646</v>
      </c>
      <c r="F590" s="77" t="str">
        <f>VLOOKUP(MP_registro[[#This Row],[TAG]],'DB-EQUIPOS GEN'!$C$11:$H$833,2,0)</f>
        <v>Segundo nivel de Turbina TGM</v>
      </c>
      <c r="G590" s="191" t="str">
        <f>VLOOKUP(MP_registro[[#This Row],[TAG]],'DB-EQUIPOS GEN'!$C$11:$H$833,3,0)</f>
        <v>E. ELECTRICA</v>
      </c>
      <c r="H590" s="191" t="str">
        <f>VLOOKUP(MP_registro[[#This Row],[TAG]],'DB-EQUIPOS GEN'!$C$11:$H$833,4,0)</f>
        <v>SISTEMA DE ENFRIAMIENTO</v>
      </c>
      <c r="I590" s="191" t="str">
        <f>VLOOKUP(MP_registro[[#This Row],[TAG]],'DB-EQUIPOS GEN'!$C$11:$H$833,5,0)</f>
        <v>TORRE DE ENFRIAMIENTO MARLEY - TG TGM</v>
      </c>
      <c r="J590" s="191" t="str">
        <f>VLOOKUP(MP_registro[[#This Row],[TAG]],'DB-EQUIPOS GEN'!$C$11:$H$833,6,0)</f>
        <v>0430CT050</v>
      </c>
      <c r="K590" s="192">
        <v>44764</v>
      </c>
      <c r="L590" s="193" t="s">
        <v>249</v>
      </c>
      <c r="M59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90" s="144" t="s">
        <v>1664</v>
      </c>
      <c r="O590" s="64" t="s">
        <v>1696</v>
      </c>
    </row>
    <row r="591" spans="1:15" ht="33.6" customHeight="1">
      <c r="A591" s="65">
        <v>590</v>
      </c>
      <c r="B591" s="77" t="s">
        <v>1374</v>
      </c>
      <c r="C591" s="64" t="s">
        <v>2481</v>
      </c>
      <c r="D591" s="191" t="s">
        <v>2513</v>
      </c>
      <c r="E591" s="191" t="s">
        <v>1647</v>
      </c>
      <c r="F591" s="77" t="str">
        <f>VLOOKUP(MP_registro[[#This Row],[TAG]],'DB-EQUIPOS GEN'!$C$11:$H$833,2,0)</f>
        <v>Explanada frontal de Turbina Triveni</v>
      </c>
      <c r="G591" s="191" t="str">
        <f>VLOOKUP(MP_registro[[#This Row],[TAG]],'DB-EQUIPOS GEN'!$C$11:$H$833,3,0)</f>
        <v>E. ELECTRICA</v>
      </c>
      <c r="H591" s="191" t="str">
        <f>VLOOKUP(MP_registro[[#This Row],[TAG]],'DB-EQUIPOS GEN'!$C$11:$H$833,4,0)</f>
        <v>GENERACIÓN ENERG. ELEC. TURBO GENERADOR</v>
      </c>
      <c r="I591" s="191" t="str">
        <f>VLOOKUP(MP_registro[[#This Row],[TAG]],'DB-EQUIPOS GEN'!$C$11:$H$833,5,0)</f>
        <v>TURBOGENERADOR TRIVENI 23.2 MW</v>
      </c>
      <c r="J591" s="191" t="str">
        <f>VLOOKUP(MP_registro[[#This Row],[TAG]],'DB-EQUIPOS GEN'!$C$11:$H$833,6,0)</f>
        <v>0430TG020</v>
      </c>
      <c r="K591" s="192">
        <v>44764</v>
      </c>
      <c r="L591" s="193" t="s">
        <v>247</v>
      </c>
      <c r="M59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91" s="144" t="s">
        <v>1664</v>
      </c>
      <c r="O591" s="64" t="s">
        <v>1696</v>
      </c>
    </row>
    <row r="592" spans="1:15" ht="33.6" customHeight="1">
      <c r="A592" s="64">
        <v>591</v>
      </c>
      <c r="B592" s="77" t="s">
        <v>1374</v>
      </c>
      <c r="C592" s="64" t="s">
        <v>2481</v>
      </c>
      <c r="D592" s="191" t="s">
        <v>2514</v>
      </c>
      <c r="E592" s="191" t="s">
        <v>1650</v>
      </c>
      <c r="F592" s="77" t="str">
        <f>VLOOKUP(MP_registro[[#This Row],[TAG]],'DB-EQUIPOS GEN'!$C$11:$H$833,2,0)</f>
        <v>Faja 1003 - Conductor distribuidor de bagazo</v>
      </c>
      <c r="G592" s="191" t="str">
        <f>VLOOKUP(MP_registro[[#This Row],[TAG]],'DB-EQUIPOS GEN'!$C$11:$H$833,3,0)</f>
        <v>E. TERMICA</v>
      </c>
      <c r="H592" s="191" t="str">
        <f>VLOOKUP(MP_registro[[#This Row],[TAG]],'DB-EQUIPOS GEN'!$C$11:$H$833,4,0)</f>
        <v>TRANSPORTE DE BAGAZO</v>
      </c>
      <c r="I592" s="191" t="str">
        <f>VLOOKUP(MP_registro[[#This Row],[TAG]],'DB-EQUIPOS GEN'!$C$11:$H$833,5,0)</f>
        <v>TRANSPORTADOR DE BAGAZO 1003</v>
      </c>
      <c r="J592" s="191" t="str">
        <f>VLOOKUP(MP_registro[[#This Row],[TAG]],'DB-EQUIPOS GEN'!$C$11:$H$833,6,0)</f>
        <v>0805CV060</v>
      </c>
      <c r="K592" s="192">
        <v>44764</v>
      </c>
      <c r="L592" s="193" t="s">
        <v>247</v>
      </c>
      <c r="M59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92" s="144" t="s">
        <v>1664</v>
      </c>
      <c r="O592" s="64" t="s">
        <v>1696</v>
      </c>
    </row>
    <row r="593" spans="1:15" ht="33.6" customHeight="1">
      <c r="A593" s="65">
        <v>592</v>
      </c>
      <c r="B593" s="77" t="s">
        <v>1374</v>
      </c>
      <c r="C593" s="64" t="s">
        <v>2481</v>
      </c>
      <c r="D593" s="191" t="s">
        <v>2515</v>
      </c>
      <c r="E593" s="191" t="s">
        <v>1654</v>
      </c>
      <c r="F593" s="77" t="str">
        <f>VLOOKUP(MP_registro[[#This Row],[TAG]],'DB-EQUIPOS GEN'!$C$11:$H$833,2,0)</f>
        <v>Vista global de sala turbina TGM</v>
      </c>
      <c r="G593" s="191" t="str">
        <f>VLOOKUP(MP_registro[[#This Row],[TAG]],'DB-EQUIPOS GEN'!$C$11:$H$833,3,0)</f>
        <v>E. ELECTRICA</v>
      </c>
      <c r="H593" s="191" t="str">
        <f>VLOOKUP(MP_registro[[#This Row],[TAG]],'DB-EQUIPOS GEN'!$C$11:$H$833,4,0)</f>
        <v>SISTEMA DE ENFRIAMIENTO</v>
      </c>
      <c r="I593" s="191" t="str">
        <f>VLOOKUP(MP_registro[[#This Row],[TAG]],'DB-EQUIPOS GEN'!$C$11:$H$833,5,0)</f>
        <v>TORRE DE ENFRIAMIENTO MARLEY - TG TGM</v>
      </c>
      <c r="J593" s="191" t="str">
        <f>VLOOKUP(MP_registro[[#This Row],[TAG]],'DB-EQUIPOS GEN'!$C$11:$H$833,6,0)</f>
        <v>0430CT050</v>
      </c>
      <c r="K593" s="192">
        <v>44764</v>
      </c>
      <c r="L593" s="193" t="s">
        <v>247</v>
      </c>
      <c r="M593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93" s="144" t="s">
        <v>13</v>
      </c>
      <c r="O593" s="64" t="s">
        <v>1696</v>
      </c>
    </row>
    <row r="594" spans="1:15" ht="33.6" customHeight="1">
      <c r="A594" s="64">
        <v>593</v>
      </c>
      <c r="B594" s="77" t="s">
        <v>1374</v>
      </c>
      <c r="C594" s="64" t="s">
        <v>2481</v>
      </c>
      <c r="D594" s="191" t="s">
        <v>2516</v>
      </c>
      <c r="E594" s="191" t="s">
        <v>1175</v>
      </c>
      <c r="F594" s="77" t="str">
        <f>VLOOKUP(MP_registro[[#This Row],[TAG]],'DB-EQUIPOS GEN'!$C$11:$H$833,2,0)</f>
        <v>Valvula control de nivel FFE - 2/3</v>
      </c>
      <c r="G594" s="191" t="str">
        <f>VLOOKUP(MP_registro[[#This Row],[TAG]],'DB-EQUIPOS GEN'!$C$11:$H$833,3,0)</f>
        <v>PRODUCCION</v>
      </c>
      <c r="H594" s="191" t="str">
        <f>VLOOKUP(MP_registro[[#This Row],[TAG]],'DB-EQUIPOS GEN'!$C$11:$H$833,4,0)</f>
        <v>EVAPORACION DE JUGO</v>
      </c>
      <c r="I594" s="191" t="str">
        <f>VLOOKUP(MP_registro[[#This Row],[TAG]],'DB-EQUIPOS GEN'!$C$11:$H$833,5,0)</f>
        <v>EVAPORADOR FFE 2/3</v>
      </c>
      <c r="J594" s="191" t="str">
        <f>VLOOKUP(MP_registro[[#This Row],[TAG]],'DB-EQUIPOS GEN'!$C$11:$H$833,6,0)</f>
        <v>0320EV030</v>
      </c>
      <c r="K594" s="192">
        <v>44765</v>
      </c>
      <c r="L594" s="193" t="s">
        <v>249</v>
      </c>
      <c r="M59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94" s="144" t="s">
        <v>1664</v>
      </c>
      <c r="O594" s="64" t="s">
        <v>1696</v>
      </c>
    </row>
    <row r="595" spans="1:15" ht="33.6" customHeight="1">
      <c r="A595" s="65">
        <v>594</v>
      </c>
      <c r="B595" s="77" t="s">
        <v>1374</v>
      </c>
      <c r="C595" s="64" t="s">
        <v>2481</v>
      </c>
      <c r="D595" s="191" t="s">
        <v>2517</v>
      </c>
      <c r="E595" s="191" t="s">
        <v>1176</v>
      </c>
      <c r="F595" s="77" t="str">
        <f>VLOOKUP(MP_registro[[#This Row],[TAG]],'DB-EQUIPOS GEN'!$C$11:$H$833,2,0)</f>
        <v>Valvula control de nivel FFE - 3</v>
      </c>
      <c r="G595" s="191" t="str">
        <f>VLOOKUP(MP_registro[[#This Row],[TAG]],'DB-EQUIPOS GEN'!$C$11:$H$833,3,0)</f>
        <v>PRODUCCION</v>
      </c>
      <c r="H595" s="191" t="str">
        <f>VLOOKUP(MP_registro[[#This Row],[TAG]],'DB-EQUIPOS GEN'!$C$11:$H$833,4,0)</f>
        <v>EVAPORACION DE JUGO</v>
      </c>
      <c r="I595" s="191" t="str">
        <f>VLOOKUP(MP_registro[[#This Row],[TAG]],'DB-EQUIPOS GEN'!$C$11:$H$833,5,0)</f>
        <v>EVAPORADOR FFE 3</v>
      </c>
      <c r="J595" s="191" t="str">
        <f>VLOOKUP(MP_registro[[#This Row],[TAG]],'DB-EQUIPOS GEN'!$C$11:$H$833,6,0)</f>
        <v>0320EV040</v>
      </c>
      <c r="K595" s="192">
        <v>44765</v>
      </c>
      <c r="L595" s="193" t="s">
        <v>249</v>
      </c>
      <c r="M595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95" s="144" t="s">
        <v>1664</v>
      </c>
      <c r="O595" s="64" t="s">
        <v>1696</v>
      </c>
    </row>
    <row r="596" spans="1:15" ht="33.6" customHeight="1">
      <c r="A596" s="64">
        <v>595</v>
      </c>
      <c r="B596" s="77" t="s">
        <v>1374</v>
      </c>
      <c r="C596" s="64" t="s">
        <v>2481</v>
      </c>
      <c r="D596" s="191" t="s">
        <v>2518</v>
      </c>
      <c r="E596" s="191" t="s">
        <v>1643</v>
      </c>
      <c r="F596" s="77" t="str">
        <f>VLOOKUP(MP_registro[[#This Row],[TAG]],'DB-EQUIPOS GEN'!$C$11:$H$833,2,0)</f>
        <v>Nivelador de cama de bagazo en difusor</v>
      </c>
      <c r="G596" s="191" t="str">
        <f>VLOOKUP(MP_registro[[#This Row],[TAG]],'DB-EQUIPOS GEN'!$C$11:$H$833,3,0)</f>
        <v>EXTRACCION</v>
      </c>
      <c r="H596" s="191" t="str">
        <f>VLOOKUP(MP_registro[[#This Row],[TAG]],'DB-EQUIPOS GEN'!$C$11:$H$833,4,0)</f>
        <v>DIFUSOR</v>
      </c>
      <c r="I596" s="191" t="str">
        <f>VLOOKUP(MP_registro[[#This Row],[TAG]],'DB-EQUIPOS GEN'!$C$11:$H$833,5,0)</f>
        <v>CONDUCTOR TRANSVERSAL</v>
      </c>
      <c r="J596" s="191" t="str">
        <f>VLOOKUP(MP_registro[[#This Row],[TAG]],'DB-EQUIPOS GEN'!$C$11:$H$833,6,0)</f>
        <v>0205CV190</v>
      </c>
      <c r="K596" s="192">
        <v>44765</v>
      </c>
      <c r="L596" s="193" t="s">
        <v>247</v>
      </c>
      <c r="M59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96" s="144" t="s">
        <v>1664</v>
      </c>
      <c r="O596" s="64" t="s">
        <v>1696</v>
      </c>
    </row>
    <row r="597" spans="1:15" ht="33.6" customHeight="1">
      <c r="A597" s="65">
        <v>596</v>
      </c>
      <c r="B597" s="77" t="s">
        <v>1374</v>
      </c>
      <c r="C597" s="64" t="s">
        <v>2481</v>
      </c>
      <c r="D597" s="191" t="s">
        <v>2519</v>
      </c>
      <c r="E597" s="191" t="s">
        <v>1645</v>
      </c>
      <c r="F597" s="77" t="str">
        <f>VLOOKUP(MP_registro[[#This Row],[TAG]],'DB-EQUIPOS GEN'!$C$11:$H$833,2,0)</f>
        <v>Tamiz rotativo</v>
      </c>
      <c r="G597" s="191" t="str">
        <f>VLOOKUP(MP_registro[[#This Row],[TAG]],'DB-EQUIPOS GEN'!$C$11:$H$833,3,0)</f>
        <v>EXTRACCION</v>
      </c>
      <c r="H597" s="191" t="str">
        <f>VLOOKUP(MP_registro[[#This Row],[TAG]],'DB-EQUIPOS GEN'!$C$11:$H$833,4,0)</f>
        <v>DIFUSOR</v>
      </c>
      <c r="I597" s="191" t="str">
        <f>VLOOKUP(MP_registro[[#This Row],[TAG]],'DB-EQUIPOS GEN'!$C$11:$H$833,5,0)</f>
        <v>TAMIZ ROTATIVO</v>
      </c>
      <c r="J597" s="191" t="str">
        <f>VLOOKUP(MP_registro[[#This Row],[TAG]],'DB-EQUIPOS GEN'!$C$11:$H$833,6,0)</f>
        <v>0305FL010</v>
      </c>
      <c r="K597" s="192">
        <v>44765</v>
      </c>
      <c r="L597" s="193" t="s">
        <v>247</v>
      </c>
      <c r="M59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97" s="144" t="s">
        <v>1664</v>
      </c>
      <c r="O597" s="64" t="s">
        <v>1696</v>
      </c>
    </row>
    <row r="598" spans="1:15" ht="33.6" customHeight="1">
      <c r="A598" s="64">
        <v>597</v>
      </c>
      <c r="B598" s="77" t="s">
        <v>1374</v>
      </c>
      <c r="C598" s="64" t="s">
        <v>2481</v>
      </c>
      <c r="D598" s="191" t="s">
        <v>2520</v>
      </c>
      <c r="E598" s="191" t="s">
        <v>1174</v>
      </c>
      <c r="F598" s="77" t="str">
        <f>VLOOKUP(MP_registro[[#This Row],[TAG]],'DB-EQUIPOS GEN'!$C$11:$H$833,2,0)</f>
        <v>Valvula control de nivel FFE - 1/2</v>
      </c>
      <c r="G598" s="191" t="str">
        <f>VLOOKUP(MP_registro[[#This Row],[TAG]],'DB-EQUIPOS GEN'!$C$11:$H$833,3,0)</f>
        <v>PRODUCCION</v>
      </c>
      <c r="H598" s="191" t="str">
        <f>VLOOKUP(MP_registro[[#This Row],[TAG]],'DB-EQUIPOS GEN'!$C$11:$H$833,4,0)</f>
        <v>EVAPORACION DE JUGO</v>
      </c>
      <c r="I598" s="191" t="str">
        <f>VLOOKUP(MP_registro[[#This Row],[TAG]],'DB-EQUIPOS GEN'!$C$11:$H$833,5,0)</f>
        <v>EVAPORADOR FFE 1/2</v>
      </c>
      <c r="J598" s="191" t="str">
        <f>VLOOKUP(MP_registro[[#This Row],[TAG]],'DB-EQUIPOS GEN'!$C$11:$H$833,6,0)</f>
        <v>0320EV020</v>
      </c>
      <c r="K598" s="192">
        <v>44766</v>
      </c>
      <c r="L598" s="193" t="s">
        <v>249</v>
      </c>
      <c r="M59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598" s="144" t="s">
        <v>1664</v>
      </c>
      <c r="O598" s="64" t="s">
        <v>1696</v>
      </c>
    </row>
    <row r="599" spans="1:15" ht="33.6" customHeight="1">
      <c r="A599" s="65">
        <v>598</v>
      </c>
      <c r="B599" s="77" t="s">
        <v>1374</v>
      </c>
      <c r="C599" s="64" t="s">
        <v>2481</v>
      </c>
      <c r="D599" s="191" t="s">
        <v>2521</v>
      </c>
      <c r="E599" s="77" t="s">
        <v>802</v>
      </c>
      <c r="F599" s="77" t="str">
        <f>VLOOKUP(MP_registro[[#This Row],[TAG]],'DB-EQUIPOS GEN'!$C$11:$H$833,2,0)</f>
        <v>Peso de azucar balanza A - Silo 2</v>
      </c>
      <c r="G599" s="191" t="str">
        <f>VLOOKUP(MP_registro[[#This Row],[TAG]],'DB-EQUIPOS GEN'!$C$11:$H$833,3,0)</f>
        <v>PRODUCCION</v>
      </c>
      <c r="H599" s="191" t="str">
        <f>VLOOKUP(MP_registro[[#This Row],[TAG]],'DB-EQUIPOS GEN'!$C$11:$H$833,4,0)</f>
        <v>ENVASADO DE AZUCAR RUBIA</v>
      </c>
      <c r="I599" s="191" t="str">
        <f>VLOOKUP(MP_registro[[#This Row],[TAG]],'DB-EQUIPOS GEN'!$C$11:$H$833,5,0)</f>
        <v>SILO 2</v>
      </c>
      <c r="J599" s="191" t="str">
        <f>VLOOKUP(MP_registro[[#This Row],[TAG]],'DB-EQUIPOS GEN'!$C$11:$H$833,6,0)</f>
        <v>0355BI100</v>
      </c>
      <c r="K599" s="192">
        <v>44766</v>
      </c>
      <c r="L599" s="193" t="s">
        <v>247</v>
      </c>
      <c r="M59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599" s="144" t="s">
        <v>1664</v>
      </c>
      <c r="O599" s="64" t="s">
        <v>1696</v>
      </c>
    </row>
    <row r="600" spans="1:15" ht="33.6" customHeight="1">
      <c r="A600" s="64">
        <v>599</v>
      </c>
      <c r="B600" s="77" t="s">
        <v>1374</v>
      </c>
      <c r="C600" s="64" t="s">
        <v>2481</v>
      </c>
      <c r="D600" s="191" t="s">
        <v>2522</v>
      </c>
      <c r="E600" s="191" t="s">
        <v>1346</v>
      </c>
      <c r="F600" s="77" t="str">
        <f>VLOOKUP(MP_registro[[#This Row],[TAG]],'DB-EQUIPOS GEN'!$C$11:$H$833,2,0)</f>
        <v>Controlador C300 en Asset Process House</v>
      </c>
      <c r="G600" s="191" t="str">
        <f>VLOOKUP(MP_registro[[#This Row],[TAG]],'DB-EQUIPOS GEN'!$C$11:$H$833,3,0)</f>
        <v>PRODUCCION</v>
      </c>
      <c r="H600" s="191" t="str">
        <f>VLOOKUP(MP_registro[[#This Row],[TAG]],'DB-EQUIPOS GEN'!$C$11:$H$833,4,0)</f>
        <v>EVAPORACION DE JUGO</v>
      </c>
      <c r="I600" s="191" t="str">
        <f>VLOOKUP(MP_registro[[#This Row],[TAG]],'DB-EQUIPOS GEN'!$C$11:$H$833,5,0)</f>
        <v>EVAPORADOR FFE 1</v>
      </c>
      <c r="J600" s="191" t="str">
        <f>VLOOKUP(MP_registro[[#This Row],[TAG]],'DB-EQUIPOS GEN'!$C$11:$H$833,6,0)</f>
        <v>0320EV010</v>
      </c>
      <c r="K600" s="192">
        <v>44766</v>
      </c>
      <c r="L600" s="193" t="s">
        <v>248</v>
      </c>
      <c r="M600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600" s="144" t="s">
        <v>1664</v>
      </c>
      <c r="O600" s="64" t="s">
        <v>1696</v>
      </c>
    </row>
    <row r="601" spans="1:15" ht="33.6" customHeight="1">
      <c r="A601" s="65">
        <v>600</v>
      </c>
      <c r="B601" s="77" t="s">
        <v>1374</v>
      </c>
      <c r="C601" s="64" t="s">
        <v>2481</v>
      </c>
      <c r="D601" s="191" t="s">
        <v>2523</v>
      </c>
      <c r="E601" s="191" t="s">
        <v>2416</v>
      </c>
      <c r="F601" s="77" t="str">
        <f>VLOOKUP(MP_registro[[#This Row],[TAG]],'DB-EQUIPOS GEN'!$C$11:$H$833,2,0)</f>
        <v>Vista Conductor Auxiliar - Superior</v>
      </c>
      <c r="G601" s="191" t="str">
        <f>VLOOKUP(MP_registro[[#This Row],[TAG]],'DB-EQUIPOS GEN'!$C$11:$H$833,3,0)</f>
        <v>EXTRACCION</v>
      </c>
      <c r="H601" s="191" t="str">
        <f>VLOOKUP(MP_registro[[#This Row],[TAG]],'DB-EQUIPOS GEN'!$C$11:$H$833,4,0)</f>
        <v>PREPARACIÓN DE CAÑA</v>
      </c>
      <c r="I601" s="191" t="str">
        <f>VLOOKUP(MP_registro[[#This Row],[TAG]],'DB-EQUIPOS GEN'!$C$11:$H$833,5,0)</f>
        <v>CONDUCTOR AUXILIAR DE CAÑA</v>
      </c>
      <c r="J601" s="191" t="str">
        <f>VLOOKUP(MP_registro[[#This Row],[TAG]],'DB-EQUIPOS GEN'!$C$11:$H$833,6,0)</f>
        <v>0115CV010</v>
      </c>
      <c r="K601" s="192">
        <v>44766</v>
      </c>
      <c r="L601" s="193" t="s">
        <v>249</v>
      </c>
      <c r="M60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01" s="144" t="s">
        <v>1664</v>
      </c>
      <c r="O601" s="64" t="s">
        <v>1696</v>
      </c>
    </row>
    <row r="602" spans="1:15" ht="33.6" customHeight="1">
      <c r="A602" s="64">
        <v>601</v>
      </c>
      <c r="B602" s="77" t="s">
        <v>1374</v>
      </c>
      <c r="C602" s="64" t="s">
        <v>2481</v>
      </c>
      <c r="D602" s="191" t="s">
        <v>2524</v>
      </c>
      <c r="E602" s="191" t="s">
        <v>2406</v>
      </c>
      <c r="F602" s="77" t="str">
        <f>VLOOKUP(MP_registro[[#This Row],[TAG]],'DB-EQUIPOS GEN'!$C$11:$H$833,2,0)</f>
        <v>Vista Mesa de Caña - Descarga de Tetras</v>
      </c>
      <c r="G602" s="191" t="str">
        <f>VLOOKUP(MP_registro[[#This Row],[TAG]],'DB-EQUIPOS GEN'!$C$11:$H$833,3,0)</f>
        <v>EXTRACCION</v>
      </c>
      <c r="H602" s="191" t="str">
        <f>VLOOKUP(MP_registro[[#This Row],[TAG]],'DB-EQUIPOS GEN'!$C$11:$H$833,4,0)</f>
        <v>RECEPCIÓN DE CAÑA</v>
      </c>
      <c r="I602" s="191" t="str">
        <f>VLOOKUP(MP_registro[[#This Row],[TAG]],'DB-EQUIPOS GEN'!$C$11:$H$833,5,0)</f>
        <v>MESA DE CAÑA</v>
      </c>
      <c r="J602" s="191" t="str">
        <f>VLOOKUP(MP_registro[[#This Row],[TAG]],'DB-EQUIPOS GEN'!$C$11:$H$833,6,0)</f>
        <v>0110FE019</v>
      </c>
      <c r="K602" s="192">
        <v>44766</v>
      </c>
      <c r="L602" s="193" t="s">
        <v>249</v>
      </c>
      <c r="M60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02" s="144" t="s">
        <v>1664</v>
      </c>
      <c r="O602" s="64" t="s">
        <v>1696</v>
      </c>
    </row>
    <row r="603" spans="1:15" ht="33.6" customHeight="1">
      <c r="A603" s="65">
        <v>602</v>
      </c>
      <c r="B603" s="77" t="s">
        <v>1374</v>
      </c>
      <c r="C603" s="64" t="s">
        <v>2525</v>
      </c>
      <c r="D603" s="191" t="s">
        <v>2526</v>
      </c>
      <c r="E603" s="191" t="s">
        <v>348</v>
      </c>
      <c r="F603" s="77" t="str">
        <f>VLOOKUP(MP_registro[[#This Row],[TAG]],'DB-EQUIPOS GEN'!$C$11:$H$833,2,0)</f>
        <v>PH de jugo difusor en estacion de pH</v>
      </c>
      <c r="G603" s="191" t="str">
        <f>VLOOKUP(MP_registro[[#This Row],[TAG]],'DB-EQUIPOS GEN'!$C$11:$H$833,3,0)</f>
        <v>EXTRACCION</v>
      </c>
      <c r="H603" s="191" t="str">
        <f>VLOOKUP(MP_registro[[#This Row],[TAG]],'DB-EQUIPOS GEN'!$C$11:$H$833,4,0)</f>
        <v>DIFUSOR</v>
      </c>
      <c r="I603" s="191" t="str">
        <f>VLOOKUP(MP_registro[[#This Row],[TAG]],'DB-EQUIPOS GEN'!$C$11:$H$833,5,0)</f>
        <v xml:space="preserve">DIFUSOR </v>
      </c>
      <c r="J603" s="191" t="str">
        <f>VLOOKUP(MP_registro[[#This Row],[TAG]],'DB-EQUIPOS GEN'!$C$11:$H$833,6,0)</f>
        <v>0205DF180</v>
      </c>
      <c r="K603" s="192">
        <v>44767</v>
      </c>
      <c r="L603" s="193" t="s">
        <v>249</v>
      </c>
      <c r="M60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03" s="144" t="s">
        <v>1664</v>
      </c>
      <c r="O603" s="64" t="s">
        <v>1696</v>
      </c>
    </row>
    <row r="604" spans="1:15" ht="33.6" customHeight="1">
      <c r="A604" s="64">
        <v>603</v>
      </c>
      <c r="B604" s="77" t="s">
        <v>1374</v>
      </c>
      <c r="C604" s="64" t="s">
        <v>2525</v>
      </c>
      <c r="D604" s="191" t="s">
        <v>2527</v>
      </c>
      <c r="E604" s="191" t="s">
        <v>1640</v>
      </c>
      <c r="F604" s="77" t="str">
        <f>VLOOKUP(MP_registro[[#This Row],[TAG]],'DB-EQUIPOS GEN'!$C$11:$H$833,2,0)</f>
        <v>Conductor de alimentación a difusor y retorno</v>
      </c>
      <c r="G604" s="191" t="str">
        <f>VLOOKUP(MP_registro[[#This Row],[TAG]],'DB-EQUIPOS GEN'!$C$11:$H$833,3,0)</f>
        <v>EXTRACCION</v>
      </c>
      <c r="H604" s="191" t="str">
        <f>VLOOKUP(MP_registro[[#This Row],[TAG]],'DB-EQUIPOS GEN'!$C$11:$H$833,4,0)</f>
        <v>PREPARACIÓN DE CAÑA</v>
      </c>
      <c r="I604" s="191" t="str">
        <f>VLOOKUP(MP_registro[[#This Row],[TAG]],'DB-EQUIPOS GEN'!$C$11:$H$833,5,0)</f>
        <v>CONDUCTOR DE RETORNO</v>
      </c>
      <c r="J604" s="191" t="str">
        <f>VLOOKUP(MP_registro[[#This Row],[TAG]],'DB-EQUIPOS GEN'!$C$11:$H$833,6,0)</f>
        <v>0115CV090</v>
      </c>
      <c r="K604" s="192">
        <v>44767</v>
      </c>
      <c r="L604" s="193" t="s">
        <v>249</v>
      </c>
      <c r="M60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04" s="144" t="s">
        <v>1664</v>
      </c>
      <c r="O604" s="64" t="s">
        <v>1696</v>
      </c>
    </row>
    <row r="605" spans="1:15" ht="33.6" customHeight="1">
      <c r="A605" s="65">
        <v>604</v>
      </c>
      <c r="B605" s="77" t="s">
        <v>1374</v>
      </c>
      <c r="C605" s="64" t="s">
        <v>2525</v>
      </c>
      <c r="D605" s="191" t="s">
        <v>2528</v>
      </c>
      <c r="E605" s="191" t="s">
        <v>1641</v>
      </c>
      <c r="F605" s="77" t="str">
        <f>VLOOKUP(MP_registro[[#This Row],[TAG]],'DB-EQUIPOS GEN'!$C$11:$H$833,2,0)</f>
        <v>Mesa de caña</v>
      </c>
      <c r="G605" s="191" t="str">
        <f>VLOOKUP(MP_registro[[#This Row],[TAG]],'DB-EQUIPOS GEN'!$C$11:$H$833,3,0)</f>
        <v>EXTRACCION</v>
      </c>
      <c r="H605" s="191" t="str">
        <f>VLOOKUP(MP_registro[[#This Row],[TAG]],'DB-EQUIPOS GEN'!$C$11:$H$833,4,0)</f>
        <v>RECEPCIÓN DE CAÑA</v>
      </c>
      <c r="I605" s="191" t="str">
        <f>VLOOKUP(MP_registro[[#This Row],[TAG]],'DB-EQUIPOS GEN'!$C$11:$H$833,5,0)</f>
        <v>MESA DE CAÑA</v>
      </c>
      <c r="J605" s="191" t="str">
        <f>VLOOKUP(MP_registro[[#This Row],[TAG]],'DB-EQUIPOS GEN'!$C$11:$H$833,6,0)</f>
        <v>0110FE019</v>
      </c>
      <c r="K605" s="192">
        <v>44767</v>
      </c>
      <c r="L605" s="193" t="s">
        <v>249</v>
      </c>
      <c r="M605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05" s="144" t="s">
        <v>1664</v>
      </c>
      <c r="O605" s="64" t="s">
        <v>1696</v>
      </c>
    </row>
    <row r="606" spans="1:15" ht="33.6" customHeight="1">
      <c r="A606" s="64">
        <v>605</v>
      </c>
      <c r="B606" s="77" t="s">
        <v>1374</v>
      </c>
      <c r="C606" s="64" t="s">
        <v>2525</v>
      </c>
      <c r="D606" s="191" t="s">
        <v>2529</v>
      </c>
      <c r="E606" s="191" t="s">
        <v>1653</v>
      </c>
      <c r="F606" s="77" t="str">
        <f>VLOOKUP(MP_registro[[#This Row],[TAG]],'DB-EQUIPOS GEN'!$C$11:$H$833,2,0)</f>
        <v>Operación del desviador de bagazo</v>
      </c>
      <c r="G606" s="191" t="str">
        <f>VLOOKUP(MP_registro[[#This Row],[TAG]],'DB-EQUIPOS GEN'!$C$11:$H$833,3,0)</f>
        <v>E. TERMICA</v>
      </c>
      <c r="H606" s="191" t="str">
        <f>VLOOKUP(MP_registro[[#This Row],[TAG]],'DB-EQUIPOS GEN'!$C$11:$H$833,4,0)</f>
        <v>TRANSPORTE DE BAGAZO</v>
      </c>
      <c r="I606" s="191" t="str">
        <f>VLOOKUP(MP_registro[[#This Row],[TAG]],'DB-EQUIPOS GEN'!$C$11:$H$833,5,0)</f>
        <v>FAJA TRANSPORTADORA 1004</v>
      </c>
      <c r="J606" s="191" t="str">
        <f>VLOOKUP(MP_registro[[#This Row],[TAG]],'DB-EQUIPOS GEN'!$C$11:$H$833,6,0)</f>
        <v>0805CV070</v>
      </c>
      <c r="K606" s="192">
        <v>44767</v>
      </c>
      <c r="L606" s="193" t="s">
        <v>249</v>
      </c>
      <c r="M60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06" s="144" t="s">
        <v>1664</v>
      </c>
      <c r="O606" s="64" t="s">
        <v>1696</v>
      </c>
    </row>
    <row r="607" spans="1:15" ht="33.6" customHeight="1">
      <c r="A607" s="65">
        <v>606</v>
      </c>
      <c r="B607" s="77" t="s">
        <v>1374</v>
      </c>
      <c r="C607" s="64" t="s">
        <v>2525</v>
      </c>
      <c r="D607" s="191" t="s">
        <v>2530</v>
      </c>
      <c r="E607" s="191" t="s">
        <v>1180</v>
      </c>
      <c r="F607" s="77" t="str">
        <f>VLOOKUP(MP_registro[[#This Row],[TAG]],'DB-EQUIPOS GEN'!$C$11:$H$833,2,0)</f>
        <v>Valvula control de nivel FFE - 5B</v>
      </c>
      <c r="G607" s="191" t="str">
        <f>VLOOKUP(MP_registro[[#This Row],[TAG]],'DB-EQUIPOS GEN'!$C$11:$H$833,3,0)</f>
        <v>PRODUCCION</v>
      </c>
      <c r="H607" s="191" t="str">
        <f>VLOOKUP(MP_registro[[#This Row],[TAG]],'DB-EQUIPOS GEN'!$C$11:$H$833,4,0)</f>
        <v>EVAPORACION DE JUGO</v>
      </c>
      <c r="I607" s="191" t="str">
        <f>VLOOKUP(MP_registro[[#This Row],[TAG]],'DB-EQUIPOS GEN'!$C$11:$H$833,5,0)</f>
        <v>EVAPORADOR FFE 5B</v>
      </c>
      <c r="J607" s="191" t="str">
        <f>VLOOKUP(MP_registro[[#This Row],[TAG]],'DB-EQUIPOS GEN'!$C$11:$H$833,6,0)</f>
        <v>0320EV080</v>
      </c>
      <c r="K607" s="192">
        <v>44768</v>
      </c>
      <c r="L607" s="193" t="s">
        <v>249</v>
      </c>
      <c r="M607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07" s="144" t="s">
        <v>1664</v>
      </c>
      <c r="O607" s="64" t="s">
        <v>1696</v>
      </c>
    </row>
    <row r="608" spans="1:15" ht="33.6" customHeight="1">
      <c r="A608" s="64">
        <v>607</v>
      </c>
      <c r="B608" s="77" t="s">
        <v>1374</v>
      </c>
      <c r="C608" s="64" t="s">
        <v>2525</v>
      </c>
      <c r="D608" s="191" t="s">
        <v>2531</v>
      </c>
      <c r="E608" s="191" t="s">
        <v>542</v>
      </c>
      <c r="F608" s="77" t="str">
        <f>VLOOKUP(MP_registro[[#This Row],[TAG]],'DB-EQUIPOS GEN'!$C$11:$H$833,2,0)</f>
        <v>Brix de jarabe 5to efecto</v>
      </c>
      <c r="G608" s="191" t="str">
        <f>VLOOKUP(MP_registro[[#This Row],[TAG]],'DB-EQUIPOS GEN'!$C$11:$H$833,3,0)</f>
        <v>PRODUCCION</v>
      </c>
      <c r="H608" s="191" t="str">
        <f>VLOOKUP(MP_registro[[#This Row],[TAG]],'DB-EQUIPOS GEN'!$C$11:$H$833,4,0)</f>
        <v>EVAPORACION DE JUGO</v>
      </c>
      <c r="I608" s="191" t="str">
        <f>VLOOKUP(MP_registro[[#This Row],[TAG]],'DB-EQUIPOS GEN'!$C$11:$H$833,5,0)</f>
        <v>FFE 5B</v>
      </c>
      <c r="J608" s="191" t="str">
        <f>VLOOKUP(MP_registro[[#This Row],[TAG]],'DB-EQUIPOS GEN'!$C$11:$H$833,6,0)</f>
        <v xml:space="preserve"> 0320EV080</v>
      </c>
      <c r="K608" s="192">
        <v>44768</v>
      </c>
      <c r="L608" s="193" t="s">
        <v>249</v>
      </c>
      <c r="M60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08" s="144" t="s">
        <v>1664</v>
      </c>
      <c r="O608" s="64" t="s">
        <v>1696</v>
      </c>
    </row>
    <row r="609" spans="1:15" ht="33.6" customHeight="1">
      <c r="A609" s="65">
        <v>608</v>
      </c>
      <c r="B609" s="77" t="s">
        <v>1374</v>
      </c>
      <c r="C609" s="64" t="s">
        <v>2525</v>
      </c>
      <c r="D609" s="191" t="s">
        <v>2532</v>
      </c>
      <c r="E609" s="191" t="s">
        <v>1849</v>
      </c>
      <c r="F609" s="166" t="str">
        <f>VLOOKUP(MP_registro[[#This Row],[TAG]],'DB-EQUIPOS GEN'!$C$11:$H$833,2,0)</f>
        <v>Aire Instrumentacion p/ Caldera</v>
      </c>
      <c r="G609" s="191" t="str">
        <f>VLOOKUP(MP_registro[[#This Row],[TAG]],'DB-EQUIPOS GEN'!$C$11:$H$833,3,0)</f>
        <v>E. ELECTRICA</v>
      </c>
      <c r="H609" s="191" t="str">
        <f>VLOOKUP(MP_registro[[#This Row],[TAG]],'DB-EQUIPOS GEN'!$C$11:$H$833,4,0)</f>
        <v>GENERACION ENERG. ELEC. TURBO GENERADOR</v>
      </c>
      <c r="I609" s="191" t="str">
        <f>VLOOKUP(MP_registro[[#This Row],[TAG]],'DB-EQUIPOS GEN'!$C$11:$H$833,5,0)</f>
        <v/>
      </c>
      <c r="J609" s="191" t="str">
        <f>VLOOKUP(MP_registro[[#This Row],[TAG]],'DB-EQUIPOS GEN'!$C$11:$H$833,6,0)</f>
        <v/>
      </c>
      <c r="K609" s="192">
        <v>44768</v>
      </c>
      <c r="L609" s="193" t="s">
        <v>249</v>
      </c>
      <c r="M60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09" s="144" t="s">
        <v>1664</v>
      </c>
      <c r="O609" s="64" t="s">
        <v>1696</v>
      </c>
    </row>
    <row r="610" spans="1:15" ht="33.6" customHeight="1">
      <c r="A610" s="64">
        <v>609</v>
      </c>
      <c r="B610" s="77" t="s">
        <v>1374</v>
      </c>
      <c r="C610" s="64" t="s">
        <v>2525</v>
      </c>
      <c r="D610" s="191" t="s">
        <v>2533</v>
      </c>
      <c r="E610" s="191" t="s">
        <v>1659</v>
      </c>
      <c r="F610" s="77" t="str">
        <f>VLOOKUP(MP_registro[[#This Row],[TAG]],'DB-EQUIPOS GEN'!$C$11:$H$833,2,0)</f>
        <v>Vista global de tanques de jarabe 1,2 y 3</v>
      </c>
      <c r="G610" s="191" t="str">
        <f>VLOOKUP(MP_registro[[#This Row],[TAG]],'DB-EQUIPOS GEN'!$C$11:$H$833,3,0)</f>
        <v>PRODUCCION</v>
      </c>
      <c r="H610" s="191" t="str">
        <f>VLOOKUP(MP_registro[[#This Row],[TAG]],'DB-EQUIPOS GEN'!$C$11:$H$833,4,0)</f>
        <v>CRISTALIZACIÓN POR COCCIÓN</v>
      </c>
      <c r="I610" s="191" t="str">
        <f>VLOOKUP(MP_registro[[#This Row],[TAG]],'DB-EQUIPOS GEN'!$C$11:$H$833,5,0)</f>
        <v>TANQUE DE JARABE 1</v>
      </c>
      <c r="J610" s="191" t="str">
        <f>VLOOKUP(MP_registro[[#This Row],[TAG]],'DB-EQUIPOS GEN'!$C$11:$H$833,6,0)</f>
        <v>0335TK010</v>
      </c>
      <c r="K610" s="192">
        <v>44768</v>
      </c>
      <c r="L610" s="193" t="s">
        <v>247</v>
      </c>
      <c r="M610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10" s="144" t="s">
        <v>1664</v>
      </c>
      <c r="O610" s="64" t="s">
        <v>1696</v>
      </c>
    </row>
    <row r="611" spans="1:15" ht="33.6" customHeight="1">
      <c r="A611" s="65">
        <v>610</v>
      </c>
      <c r="B611" s="77" t="s">
        <v>1374</v>
      </c>
      <c r="C611" s="64" t="s">
        <v>2525</v>
      </c>
      <c r="D611" s="191" t="s">
        <v>2534</v>
      </c>
      <c r="E611" s="191" t="s">
        <v>1660</v>
      </c>
      <c r="F611" s="77" t="str">
        <f>VLOOKUP(MP_registro[[#This Row],[TAG]],'DB-EQUIPOS GEN'!$C$11:$H$833,2,0)</f>
        <v>Vista global de tacho continuo A.</v>
      </c>
      <c r="G611" s="191" t="str">
        <f>VLOOKUP(MP_registro[[#This Row],[TAG]],'DB-EQUIPOS GEN'!$C$11:$H$833,3,0)</f>
        <v>PRODUCCION</v>
      </c>
      <c r="H611" s="191" t="str">
        <f>VLOOKUP(MP_registro[[#This Row],[TAG]],'DB-EQUIPOS GEN'!$C$11:$H$833,4,0)</f>
        <v>CRISTALIZACIÓN POR COCCIÓN</v>
      </c>
      <c r="I611" s="191" t="str">
        <f>VLOOKUP(MP_registro[[#This Row],[TAG]],'DB-EQUIPOS GEN'!$C$11:$H$833,5,0)</f>
        <v>TACHO CONTINUO - A</v>
      </c>
      <c r="J611" s="191" t="str">
        <f>VLOOKUP(MP_registro[[#This Row],[TAG]],'DB-EQUIPOS GEN'!$C$11:$H$833,6,0)</f>
        <v>0335HX200</v>
      </c>
      <c r="K611" s="192">
        <v>44768</v>
      </c>
      <c r="L611" s="193" t="s">
        <v>247</v>
      </c>
      <c r="M61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11" s="144" t="s">
        <v>1664</v>
      </c>
      <c r="O611" s="64" t="s">
        <v>1696</v>
      </c>
    </row>
    <row r="612" spans="1:15" ht="33.6" customHeight="1">
      <c r="A612" s="64">
        <v>611</v>
      </c>
      <c r="B612" s="77" t="s">
        <v>1374</v>
      </c>
      <c r="C612" s="64" t="s">
        <v>2525</v>
      </c>
      <c r="D612" s="191" t="s">
        <v>2535</v>
      </c>
      <c r="E612" s="191" t="s">
        <v>1649</v>
      </c>
      <c r="F612" s="77" t="str">
        <f>VLOOKUP(MP_registro[[#This Row],[TAG]],'DB-EQUIPOS GEN'!$C$11:$H$833,2,0)</f>
        <v>Chute alimentadores de bagazo</v>
      </c>
      <c r="G612" s="191" t="str">
        <f>VLOOKUP(MP_registro[[#This Row],[TAG]],'DB-EQUIPOS GEN'!$C$11:$H$833,3,0)</f>
        <v>E. TERMICA</v>
      </c>
      <c r="H612" s="191" t="str">
        <f>VLOOKUP(MP_registro[[#This Row],[TAG]],'DB-EQUIPOS GEN'!$C$11:$H$833,4,0)</f>
        <v>TRANSPORTE DE BAGAZO</v>
      </c>
      <c r="I612" s="191" t="str">
        <f>VLOOKUP(MP_registro[[#This Row],[TAG]],'DB-EQUIPOS GEN'!$C$11:$H$833,5,0)</f>
        <v>ALIMENTADOR DE BAGAZO 1</v>
      </c>
      <c r="J612" s="191" t="str">
        <f>VLOOKUP(MP_registro[[#This Row],[TAG]],'DB-EQUIPOS GEN'!$C$11:$H$833,6,0)</f>
        <v>0405RV240</v>
      </c>
      <c r="K612" s="192">
        <v>44768</v>
      </c>
      <c r="L612" s="193" t="s">
        <v>249</v>
      </c>
      <c r="M61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12" s="144" t="s">
        <v>13</v>
      </c>
      <c r="O612" s="64" t="s">
        <v>1696</v>
      </c>
    </row>
    <row r="613" spans="1:15" ht="33.6" customHeight="1">
      <c r="A613" s="65">
        <v>612</v>
      </c>
      <c r="B613" s="77" t="s">
        <v>1374</v>
      </c>
      <c r="C613" s="64" t="s">
        <v>2525</v>
      </c>
      <c r="D613" s="191" t="s">
        <v>2536</v>
      </c>
      <c r="E613" s="191" t="s">
        <v>1655</v>
      </c>
      <c r="F613" s="77" t="str">
        <f>VLOOKUP(MP_registro[[#This Row],[TAG]],'DB-EQUIPOS GEN'!$C$11:$H$833,2,0)</f>
        <v>Vista global de planta de osmosis</v>
      </c>
      <c r="G613" s="191" t="str">
        <f>VLOOKUP(MP_registro[[#This Row],[TAG]],'DB-EQUIPOS GEN'!$C$11:$H$833,3,0)</f>
        <v>E. TERMICA</v>
      </c>
      <c r="H613" s="191" t="str">
        <f>VLOOKUP(MP_registro[[#This Row],[TAG]],'DB-EQUIPOS GEN'!$C$11:$H$833,4,0)</f>
        <v>PLANTA TRATAMIENTO OSMOSIS INVERSA</v>
      </c>
      <c r="I613" s="191" t="str">
        <f>VLOOKUP(MP_registro[[#This Row],[TAG]],'DB-EQUIPOS GEN'!$C$11:$H$833,5,0)</f>
        <v>PLANTA DE OSMOSIS INVERSA</v>
      </c>
      <c r="J613" s="191" t="str">
        <f>VLOOKUP(MP_registro[[#This Row],[TAG]],'DB-EQUIPOS GEN'!$C$11:$H$833,6,0)</f>
        <v>0425OI101</v>
      </c>
      <c r="K613" s="192">
        <v>44768</v>
      </c>
      <c r="L613" s="193" t="s">
        <v>247</v>
      </c>
      <c r="M613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13" s="144" t="s">
        <v>1664</v>
      </c>
      <c r="O613" s="64" t="s">
        <v>1696</v>
      </c>
    </row>
    <row r="614" spans="1:15" ht="33.6" customHeight="1">
      <c r="A614" s="64">
        <v>613</v>
      </c>
      <c r="B614" s="77" t="s">
        <v>1374</v>
      </c>
      <c r="C614" s="64" t="s">
        <v>2525</v>
      </c>
      <c r="D614" s="191" t="s">
        <v>2537</v>
      </c>
      <c r="E614" s="191" t="s">
        <v>280</v>
      </c>
      <c r="F614" s="77" t="str">
        <f>VLOOKUP(MP_registro[[#This Row],[TAG]],'DB-EQUIPOS GEN'!$C$11:$H$833,2,0)</f>
        <v>PH de jugo clarificado</v>
      </c>
      <c r="G614" s="191" t="str">
        <f>VLOOKUP(MP_registro[[#This Row],[TAG]],'DB-EQUIPOS GEN'!$C$11:$H$833,3,0)</f>
        <v>PRODUCCION</v>
      </c>
      <c r="H614" s="191" t="str">
        <f>VLOOKUP(MP_registro[[#This Row],[TAG]],'DB-EQUIPOS GEN'!$C$11:$H$833,4,0)</f>
        <v>CLARIFICACION DE JUGO</v>
      </c>
      <c r="I614" s="191" t="str">
        <f>VLOOKUP(MP_registro[[#This Row],[TAG]],'DB-EQUIPOS GEN'!$C$11:$H$833,5,0)</f>
        <v xml:space="preserve">CLARIFICADOR SRT </v>
      </c>
      <c r="J614" s="191" t="str">
        <f>VLOOKUP(MP_registro[[#This Row],[TAG]],'DB-EQUIPOS GEN'!$C$11:$H$833,6,0)</f>
        <v xml:space="preserve"> 0305CL130</v>
      </c>
      <c r="K614" s="192">
        <v>44769</v>
      </c>
      <c r="L614" s="193" t="s">
        <v>249</v>
      </c>
      <c r="M61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14" s="144" t="s">
        <v>13</v>
      </c>
      <c r="O614" s="64" t="s">
        <v>1696</v>
      </c>
    </row>
    <row r="615" spans="1:15" ht="33.6" customHeight="1">
      <c r="A615" s="65">
        <v>614</v>
      </c>
      <c r="B615" s="77" t="s">
        <v>1374</v>
      </c>
      <c r="C615" s="64" t="s">
        <v>2525</v>
      </c>
      <c r="D615" s="191" t="s">
        <v>2538</v>
      </c>
      <c r="E615" s="191" t="s">
        <v>1656</v>
      </c>
      <c r="F615" s="77" t="str">
        <f>VLOOKUP(MP_registro[[#This Row],[TAG]],'DB-EQUIPOS GEN'!$C$11:$H$833,2,0)</f>
        <v>Descarga de centrifugas continuas</v>
      </c>
      <c r="G615" s="191" t="str">
        <f>VLOOKUP(MP_registro[[#This Row],[TAG]],'DB-EQUIPOS GEN'!$C$11:$H$833,3,0)</f>
        <v>PRODUCCION</v>
      </c>
      <c r="H615" s="191" t="str">
        <f>VLOOKUP(MP_registro[[#This Row],[TAG]],'DB-EQUIPOS GEN'!$C$11:$H$833,4,0)</f>
        <v>CENTRIFUGACIÓN DE AZÚCAR</v>
      </c>
      <c r="I615" s="191" t="str">
        <f>VLOOKUP(MP_registro[[#This Row],[TAG]],'DB-EQUIPOS GEN'!$C$11:$H$833,5,0)</f>
        <v>CENTRIFUGA CONTINUA 1 - C (FRANCIA)</v>
      </c>
      <c r="J615" s="191" t="str">
        <f>VLOOKUP(MP_registro[[#This Row],[TAG]],'DB-EQUIPOS GEN'!$C$11:$H$833,6,0)</f>
        <v>0345SQ160</v>
      </c>
      <c r="K615" s="192">
        <v>44769</v>
      </c>
      <c r="L615" s="193" t="s">
        <v>247</v>
      </c>
      <c r="M615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15" s="144" t="s">
        <v>1664</v>
      </c>
      <c r="O615" s="64" t="s">
        <v>1696</v>
      </c>
    </row>
    <row r="616" spans="1:15" ht="33.6" customHeight="1">
      <c r="A616" s="64">
        <v>615</v>
      </c>
      <c r="B616" s="77" t="s">
        <v>1374</v>
      </c>
      <c r="C616" s="64" t="s">
        <v>2525</v>
      </c>
      <c r="D616" s="191" t="s">
        <v>2539</v>
      </c>
      <c r="E616" s="191" t="s">
        <v>1657</v>
      </c>
      <c r="F616" s="77" t="str">
        <f>VLOOKUP(MP_registro[[#This Row],[TAG]],'DB-EQUIPOS GEN'!$C$11:$H$833,2,0)</f>
        <v>Pug mill B, Cabezal C de centrifugas continuas</v>
      </c>
      <c r="G616" s="191" t="str">
        <f>VLOOKUP(MP_registro[[#This Row],[TAG]],'DB-EQUIPOS GEN'!$C$11:$H$833,3,0)</f>
        <v>PRODUCCION</v>
      </c>
      <c r="H616" s="191" t="str">
        <f>VLOOKUP(MP_registro[[#This Row],[TAG]],'DB-EQUIPOS GEN'!$C$11:$H$833,4,0)</f>
        <v>CENTRIFUGACIÓN DE AZÚCAR</v>
      </c>
      <c r="I616" s="191" t="str">
        <f>VLOOKUP(MP_registro[[#This Row],[TAG]],'DB-EQUIPOS GEN'!$C$11:$H$833,5,0)</f>
        <v>PUG MILL - B</v>
      </c>
      <c r="J616" s="191" t="str">
        <f>VLOOKUP(MP_registro[[#This Row],[TAG]],'DB-EQUIPOS GEN'!$C$11:$H$833,6,0)</f>
        <v>0345MM020</v>
      </c>
      <c r="K616" s="192">
        <v>44769</v>
      </c>
      <c r="L616" s="193" t="s">
        <v>247</v>
      </c>
      <c r="M61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16" s="144" t="s">
        <v>1664</v>
      </c>
      <c r="O616" s="64" t="s">
        <v>1696</v>
      </c>
    </row>
    <row r="617" spans="1:15" ht="33.6" customHeight="1">
      <c r="A617" s="65">
        <v>616</v>
      </c>
      <c r="B617" s="77" t="s">
        <v>1374</v>
      </c>
      <c r="C617" s="64" t="s">
        <v>2525</v>
      </c>
      <c r="D617" s="191" t="s">
        <v>2540</v>
      </c>
      <c r="E617" s="191" t="s">
        <v>1658</v>
      </c>
      <c r="F617" s="77" t="str">
        <f>VLOOKUP(MP_registro[[#This Row],[TAG]],'DB-EQUIPOS GEN'!$C$11:$H$833,2,0)</f>
        <v>Pug mill A - Centrifugas batch</v>
      </c>
      <c r="G617" s="191" t="str">
        <f>VLOOKUP(MP_registro[[#This Row],[TAG]],'DB-EQUIPOS GEN'!$C$11:$H$833,3,0)</f>
        <v>PRODUCCION</v>
      </c>
      <c r="H617" s="191" t="str">
        <f>VLOOKUP(MP_registro[[#This Row],[TAG]],'DB-EQUIPOS GEN'!$C$11:$H$833,4,0)</f>
        <v>CENTRIFUGACIÓN DE AZÚCAR</v>
      </c>
      <c r="I617" s="191" t="str">
        <f>VLOOKUP(MP_registro[[#This Row],[TAG]],'DB-EQUIPOS GEN'!$C$11:$H$833,5,0)</f>
        <v>PUG MILL - A</v>
      </c>
      <c r="J617" s="191" t="str">
        <f>VLOOKUP(MP_registro[[#This Row],[TAG]],'DB-EQUIPOS GEN'!$C$11:$H$833,6,0)</f>
        <v>0345MM010</v>
      </c>
      <c r="K617" s="192">
        <v>44769</v>
      </c>
      <c r="L617" s="193" t="s">
        <v>247</v>
      </c>
      <c r="M61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17" s="144" t="s">
        <v>1664</v>
      </c>
      <c r="O617" s="64" t="s">
        <v>1696</v>
      </c>
    </row>
    <row r="618" spans="1:15" ht="33.6" customHeight="1">
      <c r="A618" s="64">
        <v>617</v>
      </c>
      <c r="B618" s="77" t="s">
        <v>1374</v>
      </c>
      <c r="C618" s="64" t="s">
        <v>2525</v>
      </c>
      <c r="D618" s="191" t="s">
        <v>2541</v>
      </c>
      <c r="E618" s="191" t="s">
        <v>1661</v>
      </c>
      <c r="F618" s="77" t="str">
        <f>VLOOKUP(MP_registro[[#This Row],[TAG]],'DB-EQUIPOS GEN'!$C$11:$H$833,2,0)</f>
        <v xml:space="preserve">Faja de azucar seca a Silo </v>
      </c>
      <c r="G618" s="191" t="str">
        <f>VLOOKUP(MP_registro[[#This Row],[TAG]],'DB-EQUIPOS GEN'!$C$11:$H$833,3,0)</f>
        <v>PRODUCCION</v>
      </c>
      <c r="H618" s="191" t="str">
        <f>VLOOKUP(MP_registro[[#This Row],[TAG]],'DB-EQUIPOS GEN'!$C$11:$H$833,4,0)</f>
        <v>ENVASADO DE AZÚCAR RUBIA</v>
      </c>
      <c r="I618" s="191" t="str">
        <f>VLOOKUP(MP_registro[[#This Row],[TAG]],'DB-EQUIPOS GEN'!$C$11:$H$833,5,0)</f>
        <v>SILO DE AZUCAR 1</v>
      </c>
      <c r="J618" s="191" t="str">
        <f>VLOOKUP(MP_registro[[#This Row],[TAG]],'DB-EQUIPOS GEN'!$C$11:$H$833,6,0)</f>
        <v>0355BI090</v>
      </c>
      <c r="K618" s="192">
        <v>44769</v>
      </c>
      <c r="L618" s="193" t="s">
        <v>247</v>
      </c>
      <c r="M61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18" s="144" t="s">
        <v>1664</v>
      </c>
      <c r="O618" s="64" t="s">
        <v>1696</v>
      </c>
    </row>
    <row r="619" spans="1:15" ht="33.6" customHeight="1">
      <c r="A619" s="65">
        <v>618</v>
      </c>
      <c r="B619" s="77" t="s">
        <v>1374</v>
      </c>
      <c r="C619" s="64" t="s">
        <v>2525</v>
      </c>
      <c r="D619" s="191" t="s">
        <v>2542</v>
      </c>
      <c r="E619" s="191" t="s">
        <v>1648</v>
      </c>
      <c r="F619" s="77" t="str">
        <f>VLOOKUP(MP_registro[[#This Row],[TAG]],'DB-EQUIPOS GEN'!$C$11:$H$833,2,0)</f>
        <v>Nivel de agua en domo</v>
      </c>
      <c r="G619" s="191" t="str">
        <f>VLOOKUP(MP_registro[[#This Row],[TAG]],'DB-EQUIPOS GEN'!$C$11:$H$833,3,0)</f>
        <v>E. TERMICA</v>
      </c>
      <c r="H619" s="191" t="str">
        <f>VLOOKUP(MP_registro[[#This Row],[TAG]],'DB-EQUIPOS GEN'!$C$11:$H$833,4,0)</f>
        <v>GENERACIÓN DE VAPOR</v>
      </c>
      <c r="I619" s="191" t="str">
        <f>VLOOKUP(MP_registro[[#This Row],[TAG]],'DB-EQUIPOS GEN'!$C$11:$H$833,5,0)</f>
        <v>DOMO SUPERIOR</v>
      </c>
      <c r="J619" s="191" t="str">
        <f>VLOOKUP(MP_registro[[#This Row],[TAG]],'DB-EQUIPOS GEN'!$C$11:$H$833,6,0)</f>
        <v>0405DO020</v>
      </c>
      <c r="K619" s="192">
        <v>44769</v>
      </c>
      <c r="L619" s="193" t="s">
        <v>248</v>
      </c>
      <c r="M619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619" s="144" t="s">
        <v>13</v>
      </c>
      <c r="O619" s="64" t="s">
        <v>1696</v>
      </c>
    </row>
    <row r="620" spans="1:15" ht="33.6" customHeight="1">
      <c r="A620" s="64">
        <v>619</v>
      </c>
      <c r="B620" s="77" t="s">
        <v>1374</v>
      </c>
      <c r="C620" s="64" t="s">
        <v>2525</v>
      </c>
      <c r="D620" s="191" t="s">
        <v>2543</v>
      </c>
      <c r="E620" s="191" t="s">
        <v>1177</v>
      </c>
      <c r="F620" s="77" t="str">
        <f>VLOOKUP(MP_registro[[#This Row],[TAG]],'DB-EQUIPOS GEN'!$C$11:$H$833,2,0)</f>
        <v>Valvula control de nivel FFE - 4A</v>
      </c>
      <c r="G620" s="191" t="str">
        <f>VLOOKUP(MP_registro[[#This Row],[TAG]],'DB-EQUIPOS GEN'!$C$11:$H$833,3,0)</f>
        <v>PRODUCCION</v>
      </c>
      <c r="H620" s="191" t="str">
        <f>VLOOKUP(MP_registro[[#This Row],[TAG]],'DB-EQUIPOS GEN'!$C$11:$H$833,4,0)</f>
        <v>EVAPORACION DE JUGO</v>
      </c>
      <c r="I620" s="191" t="str">
        <f>VLOOKUP(MP_registro[[#This Row],[TAG]],'DB-EQUIPOS GEN'!$C$11:$H$833,5,0)</f>
        <v>EVAPORADOR FFE 4A</v>
      </c>
      <c r="J620" s="191" t="str">
        <f>VLOOKUP(MP_registro[[#This Row],[TAG]],'DB-EQUIPOS GEN'!$C$11:$H$833,6,0)</f>
        <v>0320EV050</v>
      </c>
      <c r="K620" s="192">
        <v>44770</v>
      </c>
      <c r="L620" s="193" t="s">
        <v>245</v>
      </c>
      <c r="M62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20" s="144" t="s">
        <v>1664</v>
      </c>
      <c r="O620" s="64" t="s">
        <v>1696</v>
      </c>
    </row>
    <row r="621" spans="1:15" ht="33.6" customHeight="1">
      <c r="A621" s="65">
        <v>620</v>
      </c>
      <c r="B621" s="77" t="s">
        <v>1374</v>
      </c>
      <c r="C621" s="64" t="s">
        <v>2525</v>
      </c>
      <c r="D621" s="191" t="s">
        <v>2544</v>
      </c>
      <c r="E621" s="191" t="s">
        <v>1352</v>
      </c>
      <c r="F621" s="77" t="str">
        <f>VLOOKUP(MP_registro[[#This Row],[TAG]],'DB-EQUIPOS GEN'!$C$11:$H$833,2,0)</f>
        <v>Switch de la red FTE -  green</v>
      </c>
      <c r="G621" s="191" t="str">
        <f>VLOOKUP(MP_registro[[#This Row],[TAG]],'DB-EQUIPOS GEN'!$C$11:$H$833,3,0)</f>
        <v>E. ELECTRICA</v>
      </c>
      <c r="H621" s="191" t="str">
        <f>VLOOKUP(MP_registro[[#This Row],[TAG]],'DB-EQUIPOS GEN'!$C$11:$H$833,4,0)</f>
        <v>SISTEMA DE CONTROL DISTRIBUIDO</v>
      </c>
      <c r="I621" s="191" t="str">
        <f>VLOOKUP(MP_registro[[#This Row],[TAG]],'DB-EQUIPOS GEN'!$C$11:$H$833,5,0)</f>
        <v>SISTEMA DE CONTROL DISTRIBUIDO</v>
      </c>
      <c r="J621" s="191" t="str">
        <f>VLOOKUP(MP_registro[[#This Row],[TAG]],'DB-EQUIPOS GEN'!$C$11:$H$833,6,0)</f>
        <v>DCS</v>
      </c>
      <c r="K621" s="192">
        <v>44770</v>
      </c>
      <c r="L621" s="193" t="s">
        <v>248</v>
      </c>
      <c r="M621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621" s="144" t="s">
        <v>1664</v>
      </c>
      <c r="O621" s="64" t="s">
        <v>1696</v>
      </c>
    </row>
    <row r="622" spans="1:15" ht="33.6" customHeight="1">
      <c r="A622" s="64">
        <v>621</v>
      </c>
      <c r="B622" s="77" t="s">
        <v>1374</v>
      </c>
      <c r="C622" s="64" t="s">
        <v>2525</v>
      </c>
      <c r="D622" s="191" t="s">
        <v>2545</v>
      </c>
      <c r="E622" s="191" t="s">
        <v>1354</v>
      </c>
      <c r="F622" s="77" t="str">
        <f>VLOOKUP(MP_registro[[#This Row],[TAG]],'DB-EQUIPOS GEN'!$C$11:$H$833,2,0)</f>
        <v>Switch de la red FTE -  yellow</v>
      </c>
      <c r="G622" s="191" t="str">
        <f>VLOOKUP(MP_registro[[#This Row],[TAG]],'DB-EQUIPOS GEN'!$C$11:$H$833,3,0)</f>
        <v>E. ELECTRICA</v>
      </c>
      <c r="H622" s="191" t="str">
        <f>VLOOKUP(MP_registro[[#This Row],[TAG]],'DB-EQUIPOS GEN'!$C$11:$H$833,4,0)</f>
        <v>SISTEMA DE CONTROL DISTRIBUIDO</v>
      </c>
      <c r="I622" s="191" t="str">
        <f>VLOOKUP(MP_registro[[#This Row],[TAG]],'DB-EQUIPOS GEN'!$C$11:$H$833,5,0)</f>
        <v>SISTEMA DE CONTROL DISTRIBUIDO</v>
      </c>
      <c r="J622" s="191" t="str">
        <f>VLOOKUP(MP_registro[[#This Row],[TAG]],'DB-EQUIPOS GEN'!$C$11:$H$833,6,0)</f>
        <v>DCS</v>
      </c>
      <c r="K622" s="192">
        <v>44770</v>
      </c>
      <c r="L622" s="193" t="s">
        <v>248</v>
      </c>
      <c r="M622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622" s="144" t="s">
        <v>1664</v>
      </c>
      <c r="O622" s="64" t="s">
        <v>1696</v>
      </c>
    </row>
    <row r="623" spans="1:15" ht="33.6" customHeight="1">
      <c r="A623" s="65">
        <v>622</v>
      </c>
      <c r="B623" s="77" t="s">
        <v>1374</v>
      </c>
      <c r="C623" s="64" t="s">
        <v>2525</v>
      </c>
      <c r="D623" s="191" t="s">
        <v>2546</v>
      </c>
      <c r="E623" s="191" t="s">
        <v>2407</v>
      </c>
      <c r="F623" s="77" t="str">
        <f>VLOOKUP(MP_registro[[#This Row],[TAG]],'DB-EQUIPOS GEN'!$C$11:$H$833,2,0)</f>
        <v>Vista Molino Secador - Conductor Intermedio</v>
      </c>
      <c r="G623" s="191" t="str">
        <f>VLOOKUP(MP_registro[[#This Row],[TAG]],'DB-EQUIPOS GEN'!$C$11:$H$833,3,0)</f>
        <v>EXTRACCION</v>
      </c>
      <c r="H623" s="191" t="str">
        <f>VLOOKUP(MP_registro[[#This Row],[TAG]],'DB-EQUIPOS GEN'!$C$11:$H$833,4,0)</f>
        <v>MOLINOS</v>
      </c>
      <c r="I623" s="191" t="str">
        <f>VLOOKUP(MP_registro[[#This Row],[TAG]],'DB-EQUIPOS GEN'!$C$11:$H$833,5,0)</f>
        <v>CONDUCTOR INTERMEDIO - MOLINO SECADOR</v>
      </c>
      <c r="J623" s="191" t="str">
        <f>VLOOKUP(MP_registro[[#This Row],[TAG]],'DB-EQUIPOS GEN'!$C$11:$H$833,6,0)</f>
        <v>0210CV070</v>
      </c>
      <c r="K623" s="192">
        <v>44770</v>
      </c>
      <c r="L623" s="193" t="s">
        <v>249</v>
      </c>
      <c r="M62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23" s="144" t="s">
        <v>1664</v>
      </c>
      <c r="O623" s="64" t="s">
        <v>1696</v>
      </c>
    </row>
    <row r="624" spans="1:15" ht="33.6" customHeight="1">
      <c r="A624" s="64">
        <v>623</v>
      </c>
      <c r="B624" s="77" t="s">
        <v>1374</v>
      </c>
      <c r="C624" s="64" t="s">
        <v>2525</v>
      </c>
      <c r="D624" s="191" t="s">
        <v>2547</v>
      </c>
      <c r="E624" s="191" t="s">
        <v>1642</v>
      </c>
      <c r="F624" s="77" t="str">
        <f>VLOOKUP(MP_registro[[#This Row],[TAG]],'DB-EQUIPOS GEN'!$C$11:$H$833,2,0)</f>
        <v>Salida de bagazo de molino secador</v>
      </c>
      <c r="G624" s="191" t="str">
        <f>VLOOKUP(MP_registro[[#This Row],[TAG]],'DB-EQUIPOS GEN'!$C$11:$H$833,3,0)</f>
        <v>EXTRACCION</v>
      </c>
      <c r="H624" s="191" t="str">
        <f>VLOOKUP(MP_registro[[#This Row],[TAG]],'DB-EQUIPOS GEN'!$C$11:$H$833,4,0)</f>
        <v>MOLINOS</v>
      </c>
      <c r="I624" s="191" t="str">
        <f>VLOOKUP(MP_registro[[#This Row],[TAG]],'DB-EQUIPOS GEN'!$C$11:$H$833,5,0)</f>
        <v>MOLINO SECADOR</v>
      </c>
      <c r="J624" s="191" t="str">
        <f>VLOOKUP(MP_registro[[#This Row],[TAG]],'DB-EQUIPOS GEN'!$C$11:$H$833,6,0)</f>
        <v>0210MM090</v>
      </c>
      <c r="K624" s="192">
        <v>44770</v>
      </c>
      <c r="L624" s="193" t="s">
        <v>249</v>
      </c>
      <c r="M62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24" s="144" t="s">
        <v>1664</v>
      </c>
      <c r="O624" s="64" t="s">
        <v>1696</v>
      </c>
    </row>
    <row r="625" spans="1:15" ht="33.6" customHeight="1">
      <c r="A625" s="65">
        <v>624</v>
      </c>
      <c r="B625" s="77" t="s">
        <v>1374</v>
      </c>
      <c r="C625" s="64" t="s">
        <v>2525</v>
      </c>
      <c r="D625" s="191" t="s">
        <v>2548</v>
      </c>
      <c r="E625" s="191" t="s">
        <v>1651</v>
      </c>
      <c r="F625" s="77" t="str">
        <f>VLOOKUP(MP_registro[[#This Row],[TAG]],'DB-EQUIPOS GEN'!$C$11:$H$833,2,0)</f>
        <v>Faja 1008 - Tolva de retorno de bagazo</v>
      </c>
      <c r="G625" s="191" t="str">
        <f>VLOOKUP(MP_registro[[#This Row],[TAG]],'DB-EQUIPOS GEN'!$C$11:$H$833,3,0)</f>
        <v>E. TERMICA</v>
      </c>
      <c r="H625" s="191" t="str">
        <f>VLOOKUP(MP_registro[[#This Row],[TAG]],'DB-EQUIPOS GEN'!$C$11:$H$833,4,0)</f>
        <v>TRANSPORTE DE BAGAZO</v>
      </c>
      <c r="I625" s="191" t="str">
        <f>VLOOKUP(MP_registro[[#This Row],[TAG]],'DB-EQUIPOS GEN'!$C$11:$H$833,5,0)</f>
        <v>FAJA TRANSPORTADORA 1008</v>
      </c>
      <c r="J625" s="191" t="str">
        <f>VLOOKUP(MP_registro[[#This Row],[TAG]],'DB-EQUIPOS GEN'!$C$11:$H$833,6,0)</f>
        <v>0805CV100</v>
      </c>
      <c r="K625" s="192">
        <v>44770</v>
      </c>
      <c r="L625" s="193" t="s">
        <v>249</v>
      </c>
      <c r="M625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25" s="144" t="s">
        <v>1664</v>
      </c>
      <c r="O625" s="64" t="s">
        <v>1696</v>
      </c>
    </row>
    <row r="626" spans="1:15" ht="33.6" customHeight="1">
      <c r="A626" s="64">
        <v>625</v>
      </c>
      <c r="B626" s="77" t="s">
        <v>1374</v>
      </c>
      <c r="C626" s="64" t="s">
        <v>2525</v>
      </c>
      <c r="D626" s="191" t="s">
        <v>2549</v>
      </c>
      <c r="E626" s="191" t="s">
        <v>1652</v>
      </c>
      <c r="F626" s="77" t="str">
        <f>VLOOKUP(MP_registro[[#This Row],[TAG]],'DB-EQUIPOS GEN'!$C$11:$H$833,2,0)</f>
        <v>Faja 1006A - Patio de Bagazo</v>
      </c>
      <c r="G626" s="191" t="str">
        <f>VLOOKUP(MP_registro[[#This Row],[TAG]],'DB-EQUIPOS GEN'!$C$11:$H$833,3,0)</f>
        <v>E. TERMICA</v>
      </c>
      <c r="H626" s="191" t="str">
        <f>VLOOKUP(MP_registro[[#This Row],[TAG]],'DB-EQUIPOS GEN'!$C$11:$H$833,4,0)</f>
        <v>TRANSPORTE DE BAGAZO</v>
      </c>
      <c r="I626" s="191" t="str">
        <f>VLOOKUP(MP_registro[[#This Row],[TAG]],'DB-EQUIPOS GEN'!$C$11:$H$833,5,0)</f>
        <v>FAJA TRANSPORTADORA 1006 A</v>
      </c>
      <c r="J626" s="191" t="str">
        <f>VLOOKUP(MP_registro[[#This Row],[TAG]],'DB-EQUIPOS GEN'!$C$11:$H$833,6,0)</f>
        <v>0805CV080</v>
      </c>
      <c r="K626" s="192">
        <v>44770</v>
      </c>
      <c r="L626" s="193" t="s">
        <v>249</v>
      </c>
      <c r="M62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26" s="144" t="s">
        <v>1664</v>
      </c>
      <c r="O626" s="64" t="s">
        <v>1696</v>
      </c>
    </row>
    <row r="627" spans="1:15" ht="33.6" customHeight="1">
      <c r="A627" s="65">
        <v>626</v>
      </c>
      <c r="B627" s="77" t="s">
        <v>1374</v>
      </c>
      <c r="C627" s="64" t="s">
        <v>2525</v>
      </c>
      <c r="D627" s="191" t="s">
        <v>2550</v>
      </c>
      <c r="E627" s="191" t="s">
        <v>282</v>
      </c>
      <c r="F627" s="77" t="str">
        <f>VLOOKUP(MP_registro[[#This Row],[TAG]],'DB-EQUIPOS GEN'!$C$11:$H$833,2,0)</f>
        <v>Presion de aire instrumentacion casa de procesos</v>
      </c>
      <c r="G627" s="191" t="str">
        <f>VLOOKUP(MP_registro[[#This Row],[TAG]],'DB-EQUIPOS GEN'!$C$11:$H$833,3,0)</f>
        <v>PRODUCCION</v>
      </c>
      <c r="H627" s="191" t="str">
        <f>VLOOKUP(MP_registro[[#This Row],[TAG]],'DB-EQUIPOS GEN'!$C$11:$H$833,4,0)</f>
        <v>CENTRIFUGACION DE AZUCAR</v>
      </c>
      <c r="I627" s="191" t="str">
        <f>VLOOKUP(MP_registro[[#This Row],[TAG]],'DB-EQUIPOS GEN'!$C$11:$H$833,5,0)</f>
        <v xml:space="preserve">COMPRESOR 1 </v>
      </c>
      <c r="J627" s="191" t="str">
        <f>VLOOKUP(MP_registro[[#This Row],[TAG]],'DB-EQUIPOS GEN'!$C$11:$H$833,6,0)</f>
        <v>0625CO010</v>
      </c>
      <c r="K627" s="192">
        <v>44771</v>
      </c>
      <c r="L627" s="193" t="s">
        <v>245</v>
      </c>
      <c r="M62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27" s="144" t="s">
        <v>1664</v>
      </c>
      <c r="O627" s="64" t="s">
        <v>1696</v>
      </c>
    </row>
    <row r="628" spans="1:15" ht="33.6" customHeight="1">
      <c r="A628" s="64">
        <v>627</v>
      </c>
      <c r="B628" s="77" t="s">
        <v>1374</v>
      </c>
      <c r="C628" s="64" t="s">
        <v>2525</v>
      </c>
      <c r="D628" s="191" t="s">
        <v>2551</v>
      </c>
      <c r="E628" s="191" t="s">
        <v>340</v>
      </c>
      <c r="F628" s="77" t="str">
        <f>VLOOKUP(MP_registro[[#This Row],[TAG]],'DB-EQUIPOS GEN'!$C$11:$H$833,2,0)</f>
        <v>Presion de lubricacion de alta - principal</v>
      </c>
      <c r="G628" s="191" t="str">
        <f>VLOOKUP(MP_registro[[#This Row],[TAG]],'DB-EQUIPOS GEN'!$C$11:$H$833,3,0)</f>
        <v>EXTRACCION</v>
      </c>
      <c r="H628" s="191" t="str">
        <f>VLOOKUP(MP_registro[[#This Row],[TAG]],'DB-EQUIPOS GEN'!$C$11:$H$833,4,0)</f>
        <v>MOLINOS</v>
      </c>
      <c r="I628" s="191" t="str">
        <f>VLOOKUP(MP_registro[[#This Row],[TAG]],'DB-EQUIPOS GEN'!$C$11:$H$833,5,0)</f>
        <v xml:space="preserve">MOLINO SECADOR </v>
      </c>
      <c r="J628" s="191" t="str">
        <f>VLOOKUP(MP_registro[[#This Row],[TAG]],'DB-EQUIPOS GEN'!$C$11:$H$833,6,0)</f>
        <v>0210MM090</v>
      </c>
      <c r="K628" s="192">
        <v>44771</v>
      </c>
      <c r="L628" s="193" t="s">
        <v>245</v>
      </c>
      <c r="M62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28" s="144" t="s">
        <v>1664</v>
      </c>
      <c r="O628" s="64" t="s">
        <v>1696</v>
      </c>
    </row>
    <row r="629" spans="1:15" ht="33.6" customHeight="1">
      <c r="A629" s="65">
        <v>628</v>
      </c>
      <c r="B629" s="77" t="s">
        <v>1374</v>
      </c>
      <c r="C629" s="64" t="s">
        <v>2525</v>
      </c>
      <c r="D629" s="191" t="s">
        <v>2552</v>
      </c>
      <c r="E629" s="191" t="s">
        <v>341</v>
      </c>
      <c r="F629" s="77" t="str">
        <f>VLOOKUP(MP_registro[[#This Row],[TAG]],'DB-EQUIPOS GEN'!$C$11:$H$833,2,0)</f>
        <v>Presion de lubricacion de alta - secundario</v>
      </c>
      <c r="G629" s="191" t="str">
        <f>VLOOKUP(MP_registro[[#This Row],[TAG]],'DB-EQUIPOS GEN'!$C$11:$H$833,3,0)</f>
        <v>EXTRACCION</v>
      </c>
      <c r="H629" s="191" t="str">
        <f>VLOOKUP(MP_registro[[#This Row],[TAG]],'DB-EQUIPOS GEN'!$C$11:$H$833,4,0)</f>
        <v>MOLINOS</v>
      </c>
      <c r="I629" s="191" t="str">
        <f>VLOOKUP(MP_registro[[#This Row],[TAG]],'DB-EQUIPOS GEN'!$C$11:$H$833,5,0)</f>
        <v xml:space="preserve">MOLINO SECADOR </v>
      </c>
      <c r="J629" s="191" t="str">
        <f>VLOOKUP(MP_registro[[#This Row],[TAG]],'DB-EQUIPOS GEN'!$C$11:$H$833,6,0)</f>
        <v>0210MM090</v>
      </c>
      <c r="K629" s="192">
        <v>44771</v>
      </c>
      <c r="L629" s="193" t="s">
        <v>249</v>
      </c>
      <c r="M62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29" s="144" t="s">
        <v>1664</v>
      </c>
      <c r="O629" s="64" t="s">
        <v>1696</v>
      </c>
    </row>
    <row r="630" spans="1:15" ht="33.6" customHeight="1">
      <c r="A630" s="64">
        <v>629</v>
      </c>
      <c r="B630" s="77" t="s">
        <v>1374</v>
      </c>
      <c r="C630" s="64" t="s">
        <v>2525</v>
      </c>
      <c r="D630" s="191" t="s">
        <v>2553</v>
      </c>
      <c r="E630" s="191" t="s">
        <v>342</v>
      </c>
      <c r="F630" s="77" t="str">
        <f>VLOOKUP(MP_registro[[#This Row],[TAG]],'DB-EQUIPOS GEN'!$C$11:$H$833,2,0)</f>
        <v>Presion de lubricacion de baja - principal</v>
      </c>
      <c r="G630" s="191" t="str">
        <f>VLOOKUP(MP_registro[[#This Row],[TAG]],'DB-EQUIPOS GEN'!$C$11:$H$833,3,0)</f>
        <v>EXTRACCION</v>
      </c>
      <c r="H630" s="191" t="str">
        <f>VLOOKUP(MP_registro[[#This Row],[TAG]],'DB-EQUIPOS GEN'!$C$11:$H$833,4,0)</f>
        <v>MOLINOS</v>
      </c>
      <c r="I630" s="191" t="str">
        <f>VLOOKUP(MP_registro[[#This Row],[TAG]],'DB-EQUIPOS GEN'!$C$11:$H$833,5,0)</f>
        <v xml:space="preserve">MOLINO SECADOR </v>
      </c>
      <c r="J630" s="191" t="str">
        <f>VLOOKUP(MP_registro[[#This Row],[TAG]],'DB-EQUIPOS GEN'!$C$11:$H$833,6,0)</f>
        <v>0210MM090</v>
      </c>
      <c r="K630" s="192">
        <v>44771</v>
      </c>
      <c r="L630" s="193" t="s">
        <v>245</v>
      </c>
      <c r="M63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30" s="144" t="s">
        <v>1664</v>
      </c>
      <c r="O630" s="64" t="s">
        <v>1696</v>
      </c>
    </row>
    <row r="631" spans="1:15" ht="33.6" customHeight="1">
      <c r="A631" s="65">
        <v>630</v>
      </c>
      <c r="B631" s="77" t="s">
        <v>1374</v>
      </c>
      <c r="C631" s="64" t="s">
        <v>2525</v>
      </c>
      <c r="D631" s="191" t="s">
        <v>2554</v>
      </c>
      <c r="E631" s="191" t="s">
        <v>343</v>
      </c>
      <c r="F631" s="77" t="str">
        <f>VLOOKUP(MP_registro[[#This Row],[TAG]],'DB-EQUIPOS GEN'!$C$11:$H$833,2,0)</f>
        <v>Presion de lubricacion de baja - secundario</v>
      </c>
      <c r="G631" s="191" t="str">
        <f>VLOOKUP(MP_registro[[#This Row],[TAG]],'DB-EQUIPOS GEN'!$C$11:$H$833,3,0)</f>
        <v>EXTRACCION</v>
      </c>
      <c r="H631" s="191" t="str">
        <f>VLOOKUP(MP_registro[[#This Row],[TAG]],'DB-EQUIPOS GEN'!$C$11:$H$833,4,0)</f>
        <v>MOLINOS</v>
      </c>
      <c r="I631" s="191" t="str">
        <f>VLOOKUP(MP_registro[[#This Row],[TAG]],'DB-EQUIPOS GEN'!$C$11:$H$833,5,0)</f>
        <v xml:space="preserve">MOLINO SECADOR </v>
      </c>
      <c r="J631" s="191" t="str">
        <f>VLOOKUP(MP_registro[[#This Row],[TAG]],'DB-EQUIPOS GEN'!$C$11:$H$833,6,0)</f>
        <v>0210MM090</v>
      </c>
      <c r="K631" s="192">
        <v>44771</v>
      </c>
      <c r="L631" s="193" t="s">
        <v>249</v>
      </c>
      <c r="M63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31" s="144" t="s">
        <v>1664</v>
      </c>
      <c r="O631" s="64" t="s">
        <v>1696</v>
      </c>
    </row>
    <row r="632" spans="1:15" ht="33.6" customHeight="1">
      <c r="A632" s="64">
        <v>631</v>
      </c>
      <c r="B632" s="77" t="s">
        <v>1374</v>
      </c>
      <c r="C632" s="64" t="s">
        <v>2525</v>
      </c>
      <c r="D632" s="191" t="s">
        <v>2555</v>
      </c>
      <c r="E632" s="191" t="s">
        <v>1644</v>
      </c>
      <c r="F632" s="77" t="str">
        <f>VLOOKUP(MP_registro[[#This Row],[TAG]],'DB-EQUIPOS GEN'!$C$11:$H$833,2,0)</f>
        <v>Explanada de Turbina Triveni</v>
      </c>
      <c r="G632" s="191" t="str">
        <f>VLOOKUP(MP_registro[[#This Row],[TAG]],'DB-EQUIPOS GEN'!$C$11:$H$833,3,0)</f>
        <v>E. ELECTRICA</v>
      </c>
      <c r="H632" s="191" t="str">
        <f>VLOOKUP(MP_registro[[#This Row],[TAG]],'DB-EQUIPOS GEN'!$C$11:$H$833,4,0)</f>
        <v>GENERACIÓN ENERG. ELEC. TURBO GENERADOR</v>
      </c>
      <c r="I632" s="191" t="str">
        <f>VLOOKUP(MP_registro[[#This Row],[TAG]],'DB-EQUIPOS GEN'!$C$11:$H$833,5,0)</f>
        <v>TURBOGENERADOR TRIVENI 23.2 MW</v>
      </c>
      <c r="J632" s="191" t="str">
        <f>VLOOKUP(MP_registro[[#This Row],[TAG]],'DB-EQUIPOS GEN'!$C$11:$H$833,6,0)</f>
        <v>0430TG020</v>
      </c>
      <c r="K632" s="192">
        <v>44771</v>
      </c>
      <c r="L632" s="193" t="s">
        <v>245</v>
      </c>
      <c r="M632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32" s="144" t="s">
        <v>1664</v>
      </c>
      <c r="O632" s="64" t="s">
        <v>1696</v>
      </c>
    </row>
    <row r="633" spans="1:15" ht="33.6" customHeight="1">
      <c r="A633" s="65">
        <v>632</v>
      </c>
      <c r="B633" s="77" t="s">
        <v>1374</v>
      </c>
      <c r="C633" s="64" t="s">
        <v>2525</v>
      </c>
      <c r="D633" s="191" t="s">
        <v>2556</v>
      </c>
      <c r="E633" s="191" t="s">
        <v>1646</v>
      </c>
      <c r="F633" s="77" t="str">
        <f>VLOOKUP(MP_registro[[#This Row],[TAG]],'DB-EQUIPOS GEN'!$C$11:$H$833,2,0)</f>
        <v>Segundo nivel de Turbina TGM</v>
      </c>
      <c r="G633" s="191" t="str">
        <f>VLOOKUP(MP_registro[[#This Row],[TAG]],'DB-EQUIPOS GEN'!$C$11:$H$833,3,0)</f>
        <v>E. ELECTRICA</v>
      </c>
      <c r="H633" s="191" t="str">
        <f>VLOOKUP(MP_registro[[#This Row],[TAG]],'DB-EQUIPOS GEN'!$C$11:$H$833,4,0)</f>
        <v>SISTEMA DE ENFRIAMIENTO</v>
      </c>
      <c r="I633" s="191" t="str">
        <f>VLOOKUP(MP_registro[[#This Row],[TAG]],'DB-EQUIPOS GEN'!$C$11:$H$833,5,0)</f>
        <v>TORRE DE ENFRIAMIENTO MARLEY - TG TGM</v>
      </c>
      <c r="J633" s="191" t="str">
        <f>VLOOKUP(MP_registro[[#This Row],[TAG]],'DB-EQUIPOS GEN'!$C$11:$H$833,6,0)</f>
        <v>0430CT050</v>
      </c>
      <c r="K633" s="192">
        <v>44771</v>
      </c>
      <c r="L633" s="193" t="s">
        <v>245</v>
      </c>
      <c r="M63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33" s="144" t="s">
        <v>1664</v>
      </c>
      <c r="O633" s="64" t="s">
        <v>1696</v>
      </c>
    </row>
    <row r="634" spans="1:15" ht="33.6" customHeight="1">
      <c r="A634" s="64">
        <v>633</v>
      </c>
      <c r="B634" s="77" t="s">
        <v>1374</v>
      </c>
      <c r="C634" s="64" t="s">
        <v>2525</v>
      </c>
      <c r="D634" s="191" t="s">
        <v>2557</v>
      </c>
      <c r="E634" s="191" t="s">
        <v>1647</v>
      </c>
      <c r="F634" s="77" t="str">
        <f>VLOOKUP(MP_registro[[#This Row],[TAG]],'DB-EQUIPOS GEN'!$C$11:$H$833,2,0)</f>
        <v>Explanada frontal de Turbina Triveni</v>
      </c>
      <c r="G634" s="191" t="str">
        <f>VLOOKUP(MP_registro[[#This Row],[TAG]],'DB-EQUIPOS GEN'!$C$11:$H$833,3,0)</f>
        <v>E. ELECTRICA</v>
      </c>
      <c r="H634" s="191" t="str">
        <f>VLOOKUP(MP_registro[[#This Row],[TAG]],'DB-EQUIPOS GEN'!$C$11:$H$833,4,0)</f>
        <v>GENERACIÓN ENERG. ELEC. TURBO GENERADOR</v>
      </c>
      <c r="I634" s="191" t="str">
        <f>VLOOKUP(MP_registro[[#This Row],[TAG]],'DB-EQUIPOS GEN'!$C$11:$H$833,5,0)</f>
        <v>TURBOGENERADOR TRIVENI 23.2 MW</v>
      </c>
      <c r="J634" s="191" t="str">
        <f>VLOOKUP(MP_registro[[#This Row],[TAG]],'DB-EQUIPOS GEN'!$C$11:$H$833,6,0)</f>
        <v>0430TG020</v>
      </c>
      <c r="K634" s="192">
        <v>44771</v>
      </c>
      <c r="L634" s="193" t="s">
        <v>245</v>
      </c>
      <c r="M63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34" s="144" t="s">
        <v>1664</v>
      </c>
      <c r="O634" s="64" t="s">
        <v>1696</v>
      </c>
    </row>
    <row r="635" spans="1:15" ht="33.6" customHeight="1">
      <c r="A635" s="65">
        <v>634</v>
      </c>
      <c r="B635" s="77" t="s">
        <v>1374</v>
      </c>
      <c r="C635" s="64" t="s">
        <v>2525</v>
      </c>
      <c r="D635" s="191" t="s">
        <v>2558</v>
      </c>
      <c r="E635" s="191" t="s">
        <v>1650</v>
      </c>
      <c r="F635" s="77" t="str">
        <f>VLOOKUP(MP_registro[[#This Row],[TAG]],'DB-EQUIPOS GEN'!$C$11:$H$833,2,0)</f>
        <v>Faja 1003 - Conductor distribuidor de bagazo</v>
      </c>
      <c r="G635" s="191" t="str">
        <f>VLOOKUP(MP_registro[[#This Row],[TAG]],'DB-EQUIPOS GEN'!$C$11:$H$833,3,0)</f>
        <v>E. TERMICA</v>
      </c>
      <c r="H635" s="191" t="str">
        <f>VLOOKUP(MP_registro[[#This Row],[TAG]],'DB-EQUIPOS GEN'!$C$11:$H$833,4,0)</f>
        <v>TRANSPORTE DE BAGAZO</v>
      </c>
      <c r="I635" s="191" t="str">
        <f>VLOOKUP(MP_registro[[#This Row],[TAG]],'DB-EQUIPOS GEN'!$C$11:$H$833,5,0)</f>
        <v>TRANSPORTADOR DE BAGAZO 1003</v>
      </c>
      <c r="J635" s="191" t="str">
        <f>VLOOKUP(MP_registro[[#This Row],[TAG]],'DB-EQUIPOS GEN'!$C$11:$H$833,6,0)</f>
        <v>0805CV060</v>
      </c>
      <c r="K635" s="192">
        <v>44771</v>
      </c>
      <c r="L635" s="193" t="s">
        <v>245</v>
      </c>
      <c r="M63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35" s="144" t="s">
        <v>1664</v>
      </c>
      <c r="O635" s="64" t="s">
        <v>1696</v>
      </c>
    </row>
    <row r="636" spans="1:15" ht="33.6" customHeight="1">
      <c r="A636" s="64">
        <v>635</v>
      </c>
      <c r="B636" s="77" t="s">
        <v>1374</v>
      </c>
      <c r="C636" s="64" t="s">
        <v>2525</v>
      </c>
      <c r="D636" s="191" t="s">
        <v>2559</v>
      </c>
      <c r="E636" s="191" t="s">
        <v>1654</v>
      </c>
      <c r="F636" s="77" t="str">
        <f>VLOOKUP(MP_registro[[#This Row],[TAG]],'DB-EQUIPOS GEN'!$C$11:$H$833,2,0)</f>
        <v>Vista global de sala turbina TGM</v>
      </c>
      <c r="G636" s="191" t="str">
        <f>VLOOKUP(MP_registro[[#This Row],[TAG]],'DB-EQUIPOS GEN'!$C$11:$H$833,3,0)</f>
        <v>E. ELECTRICA</v>
      </c>
      <c r="H636" s="191" t="str">
        <f>VLOOKUP(MP_registro[[#This Row],[TAG]],'DB-EQUIPOS GEN'!$C$11:$H$833,4,0)</f>
        <v>SISTEMA DE ENFRIAMIENTO</v>
      </c>
      <c r="I636" s="191" t="str">
        <f>VLOOKUP(MP_registro[[#This Row],[TAG]],'DB-EQUIPOS GEN'!$C$11:$H$833,5,0)</f>
        <v>TORRE DE ENFRIAMIENTO MARLEY - TG TGM</v>
      </c>
      <c r="J636" s="191" t="str">
        <f>VLOOKUP(MP_registro[[#This Row],[TAG]],'DB-EQUIPOS GEN'!$C$11:$H$833,6,0)</f>
        <v>0430CT050</v>
      </c>
      <c r="K636" s="192">
        <v>44771</v>
      </c>
      <c r="L636" s="193" t="s">
        <v>248</v>
      </c>
      <c r="M636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636" s="144" t="s">
        <v>13</v>
      </c>
      <c r="O636" s="64" t="s">
        <v>1696</v>
      </c>
    </row>
    <row r="637" spans="1:15" ht="33.6" customHeight="1">
      <c r="A637" s="65">
        <v>636</v>
      </c>
      <c r="B637" s="77" t="s">
        <v>1374</v>
      </c>
      <c r="C637" s="64" t="s">
        <v>2525</v>
      </c>
      <c r="D637" s="191" t="s">
        <v>2560</v>
      </c>
      <c r="E637" s="191" t="s">
        <v>1328</v>
      </c>
      <c r="F637" s="77" t="str">
        <f>VLOOKUP(MP_registro[[#This Row],[TAG]],'DB-EQUIPOS GEN'!$C$11:$H$833,2,0)</f>
        <v xml:space="preserve">Estacion de Ingenieria </v>
      </c>
      <c r="G637" s="191" t="str">
        <f>VLOOKUP(MP_registro[[#This Row],[TAG]],'DB-EQUIPOS GEN'!$C$11:$H$833,3,0)</f>
        <v>E. ELECTRICA</v>
      </c>
      <c r="H637" s="191" t="str">
        <f>VLOOKUP(MP_registro[[#This Row],[TAG]],'DB-EQUIPOS GEN'!$C$11:$H$833,4,0)</f>
        <v>SISTEMA DE CONTROL DISTRIBUIDO</v>
      </c>
      <c r="I637" s="191" t="str">
        <f>VLOOKUP(MP_registro[[#This Row],[TAG]],'DB-EQUIPOS GEN'!$C$11:$H$833,5,0)</f>
        <v>SISTEMA DE CONTROL DISTRIBUIDO</v>
      </c>
      <c r="J637" s="191" t="str">
        <f>VLOOKUP(MP_registro[[#This Row],[TAG]],'DB-EQUIPOS GEN'!$C$11:$H$833,6,0)</f>
        <v>DCS</v>
      </c>
      <c r="K637" s="192">
        <v>44772</v>
      </c>
      <c r="L637" s="193" t="s">
        <v>248</v>
      </c>
      <c r="M637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637" s="144" t="s">
        <v>1664</v>
      </c>
      <c r="O637" s="64" t="s">
        <v>1696</v>
      </c>
    </row>
    <row r="638" spans="1:15" ht="33.6" customHeight="1">
      <c r="A638" s="64">
        <v>637</v>
      </c>
      <c r="B638" s="77" t="s">
        <v>1374</v>
      </c>
      <c r="C638" s="64" t="s">
        <v>2525</v>
      </c>
      <c r="D638" s="191" t="s">
        <v>2561</v>
      </c>
      <c r="E638" s="191" t="s">
        <v>1643</v>
      </c>
      <c r="F638" s="77" t="str">
        <f>VLOOKUP(MP_registro[[#This Row],[TAG]],'DB-EQUIPOS GEN'!$C$11:$H$833,2,0)</f>
        <v>Nivelador de cama de bagazo en difusor</v>
      </c>
      <c r="G638" s="191" t="str">
        <f>VLOOKUP(MP_registro[[#This Row],[TAG]],'DB-EQUIPOS GEN'!$C$11:$H$833,3,0)</f>
        <v>EXTRACCION</v>
      </c>
      <c r="H638" s="191" t="str">
        <f>VLOOKUP(MP_registro[[#This Row],[TAG]],'DB-EQUIPOS GEN'!$C$11:$H$833,4,0)</f>
        <v>DIFUSOR</v>
      </c>
      <c r="I638" s="191" t="str">
        <f>VLOOKUP(MP_registro[[#This Row],[TAG]],'DB-EQUIPOS GEN'!$C$11:$H$833,5,0)</f>
        <v>CONDUCTOR TRANSVERSAL</v>
      </c>
      <c r="J638" s="191" t="str">
        <f>VLOOKUP(MP_registro[[#This Row],[TAG]],'DB-EQUIPOS GEN'!$C$11:$H$833,6,0)</f>
        <v>0205CV190</v>
      </c>
      <c r="K638" s="192">
        <v>44772</v>
      </c>
      <c r="L638" s="193" t="s">
        <v>249</v>
      </c>
      <c r="M63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38" s="144" t="s">
        <v>1664</v>
      </c>
      <c r="O638" s="64" t="s">
        <v>1696</v>
      </c>
    </row>
    <row r="639" spans="1:15" ht="33.6" customHeight="1">
      <c r="A639" s="65">
        <v>638</v>
      </c>
      <c r="B639" s="77" t="s">
        <v>1374</v>
      </c>
      <c r="C639" s="64" t="s">
        <v>2525</v>
      </c>
      <c r="D639" s="191" t="s">
        <v>2562</v>
      </c>
      <c r="E639" s="191" t="s">
        <v>1645</v>
      </c>
      <c r="F639" s="77" t="str">
        <f>VLOOKUP(MP_registro[[#This Row],[TAG]],'DB-EQUIPOS GEN'!$C$11:$H$833,2,0)</f>
        <v>Tamiz rotativo</v>
      </c>
      <c r="G639" s="191" t="str">
        <f>VLOOKUP(MP_registro[[#This Row],[TAG]],'DB-EQUIPOS GEN'!$C$11:$H$833,3,0)</f>
        <v>EXTRACCION</v>
      </c>
      <c r="H639" s="191" t="str">
        <f>VLOOKUP(MP_registro[[#This Row],[TAG]],'DB-EQUIPOS GEN'!$C$11:$H$833,4,0)</f>
        <v>DIFUSOR</v>
      </c>
      <c r="I639" s="191" t="str">
        <f>VLOOKUP(MP_registro[[#This Row],[TAG]],'DB-EQUIPOS GEN'!$C$11:$H$833,5,0)</f>
        <v>TAMIZ ROTATIVO</v>
      </c>
      <c r="J639" s="191" t="str">
        <f>VLOOKUP(MP_registro[[#This Row],[TAG]],'DB-EQUIPOS GEN'!$C$11:$H$833,6,0)</f>
        <v>0305FL010</v>
      </c>
      <c r="K639" s="192">
        <v>44772</v>
      </c>
      <c r="L639" s="193" t="s">
        <v>249</v>
      </c>
      <c r="M63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39" s="144" t="s">
        <v>1664</v>
      </c>
      <c r="O639" s="64" t="s">
        <v>1696</v>
      </c>
    </row>
    <row r="640" spans="1:15" ht="33.6" customHeight="1">
      <c r="A640" s="64">
        <v>639</v>
      </c>
      <c r="B640" s="77" t="s">
        <v>1374</v>
      </c>
      <c r="C640" s="64" t="s">
        <v>2525</v>
      </c>
      <c r="D640" s="191" t="s">
        <v>2563</v>
      </c>
      <c r="E640" s="191" t="s">
        <v>2416</v>
      </c>
      <c r="F640" s="77" t="str">
        <f>VLOOKUP(MP_registro[[#This Row],[TAG]],'DB-EQUIPOS GEN'!$C$11:$H$833,2,0)</f>
        <v>Vista Conductor Auxiliar - Superior</v>
      </c>
      <c r="G640" s="191" t="str">
        <f>VLOOKUP(MP_registro[[#This Row],[TAG]],'DB-EQUIPOS GEN'!$C$11:$H$833,3,0)</f>
        <v>EXTRACCION</v>
      </c>
      <c r="H640" s="191" t="str">
        <f>VLOOKUP(MP_registro[[#This Row],[TAG]],'DB-EQUIPOS GEN'!$C$11:$H$833,4,0)</f>
        <v>PREPARACIÓN DE CAÑA</v>
      </c>
      <c r="I640" s="191" t="str">
        <f>VLOOKUP(MP_registro[[#This Row],[TAG]],'DB-EQUIPOS GEN'!$C$11:$H$833,5,0)</f>
        <v>CONDUCTOR AUXILIAR DE CAÑA</v>
      </c>
      <c r="J640" s="191" t="str">
        <f>VLOOKUP(MP_registro[[#This Row],[TAG]],'DB-EQUIPOS GEN'!$C$11:$H$833,6,0)</f>
        <v>0115CV010</v>
      </c>
      <c r="K640" s="192">
        <v>44773</v>
      </c>
      <c r="L640" s="193" t="s">
        <v>249</v>
      </c>
      <c r="M64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40" s="144" t="s">
        <v>1664</v>
      </c>
      <c r="O640" s="64" t="s">
        <v>1696</v>
      </c>
    </row>
    <row r="641" spans="1:15" ht="33.6" customHeight="1">
      <c r="A641" s="65">
        <v>640</v>
      </c>
      <c r="B641" s="77" t="s">
        <v>1374</v>
      </c>
      <c r="C641" s="64" t="s">
        <v>2525</v>
      </c>
      <c r="D641" s="191" t="s">
        <v>2564</v>
      </c>
      <c r="E641" s="191" t="s">
        <v>2406</v>
      </c>
      <c r="F641" s="77" t="str">
        <f>VLOOKUP(MP_registro[[#This Row],[TAG]],'DB-EQUIPOS GEN'!$C$11:$H$833,2,0)</f>
        <v>Vista Mesa de Caña - Descarga de Tetras</v>
      </c>
      <c r="G641" s="191" t="str">
        <f>VLOOKUP(MP_registro[[#This Row],[TAG]],'DB-EQUIPOS GEN'!$C$11:$H$833,3,0)</f>
        <v>EXTRACCION</v>
      </c>
      <c r="H641" s="191" t="str">
        <f>VLOOKUP(MP_registro[[#This Row],[TAG]],'DB-EQUIPOS GEN'!$C$11:$H$833,4,0)</f>
        <v>RECEPCIÓN DE CAÑA</v>
      </c>
      <c r="I641" s="191" t="str">
        <f>VLOOKUP(MP_registro[[#This Row],[TAG]],'DB-EQUIPOS GEN'!$C$11:$H$833,5,0)</f>
        <v>MESA DE CAÑA</v>
      </c>
      <c r="J641" s="191" t="str">
        <f>VLOOKUP(MP_registro[[#This Row],[TAG]],'DB-EQUIPOS GEN'!$C$11:$H$833,6,0)</f>
        <v>0110FE019</v>
      </c>
      <c r="K641" s="192">
        <v>44773</v>
      </c>
      <c r="L641" s="193" t="s">
        <v>249</v>
      </c>
      <c r="M64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41" s="144" t="s">
        <v>1664</v>
      </c>
      <c r="O641" s="64" t="s">
        <v>1696</v>
      </c>
    </row>
    <row r="642" spans="1:15" ht="33" customHeight="1">
      <c r="A642" s="64">
        <v>641</v>
      </c>
      <c r="B642" s="199" t="s">
        <v>2565</v>
      </c>
      <c r="C642" s="64" t="s">
        <v>2566</v>
      </c>
      <c r="D642" s="199" t="s">
        <v>2567</v>
      </c>
      <c r="E642" s="202" t="s">
        <v>1657</v>
      </c>
      <c r="F642" s="199" t="str">
        <f>VLOOKUP(MP_registro[[#This Row],[TAG]],'DB-EQUIPOS GEN'!$C$11:$H$833,2,0)</f>
        <v>Pug mill B, Cabezal C de centrifugas continuas</v>
      </c>
      <c r="G642" s="199" t="str">
        <f>VLOOKUP(MP_registro[[#This Row],[TAG]],'DB-EQUIPOS GEN'!$C$11:$H$833,3,0)</f>
        <v>PRODUCCION</v>
      </c>
      <c r="H642" s="199" t="str">
        <f>VLOOKUP(MP_registro[[#This Row],[TAG]],'DB-EQUIPOS GEN'!$C$11:$H$833,4,0)</f>
        <v>CENTRIFUGACIÓN DE AZÚCAR</v>
      </c>
      <c r="I642" s="199" t="str">
        <f>VLOOKUP(MP_registro[[#This Row],[TAG]],'DB-EQUIPOS GEN'!$C$11:$H$833,5,0)</f>
        <v>PUG MILL - B</v>
      </c>
      <c r="J642" s="199" t="str">
        <f>VLOOKUP(MP_registro[[#This Row],[TAG]],'DB-EQUIPOS GEN'!$C$11:$H$833,6,0)</f>
        <v>0345MM020</v>
      </c>
      <c r="K642" s="200">
        <v>44774</v>
      </c>
      <c r="L642" s="198" t="s">
        <v>249</v>
      </c>
      <c r="M64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42" s="201" t="s">
        <v>1664</v>
      </c>
      <c r="O642" s="64" t="s">
        <v>1696</v>
      </c>
    </row>
    <row r="643" spans="1:15" ht="33" customHeight="1">
      <c r="A643" s="65">
        <v>642</v>
      </c>
      <c r="B643" s="199" t="s">
        <v>2565</v>
      </c>
      <c r="C643" s="64" t="s">
        <v>2566</v>
      </c>
      <c r="D643" s="199" t="s">
        <v>2568</v>
      </c>
      <c r="E643" s="202" t="s">
        <v>1653</v>
      </c>
      <c r="F643" s="199" t="str">
        <f>VLOOKUP(MP_registro[[#This Row],[TAG]],'DB-EQUIPOS GEN'!$C$11:$H$833,2,0)</f>
        <v>Operación del desviador de bagazo</v>
      </c>
      <c r="G643" s="199" t="str">
        <f>VLOOKUP(MP_registro[[#This Row],[TAG]],'DB-EQUIPOS GEN'!$C$11:$H$833,3,0)</f>
        <v>E. TERMICA</v>
      </c>
      <c r="H643" s="199" t="str">
        <f>VLOOKUP(MP_registro[[#This Row],[TAG]],'DB-EQUIPOS GEN'!$C$11:$H$833,4,0)</f>
        <v>TRANSPORTE DE BAGAZO</v>
      </c>
      <c r="I643" s="199" t="str">
        <f>VLOOKUP(MP_registro[[#This Row],[TAG]],'DB-EQUIPOS GEN'!$C$11:$H$833,5,0)</f>
        <v>FAJA TRANSPORTADORA 1004</v>
      </c>
      <c r="J643" s="199" t="str">
        <f>VLOOKUP(MP_registro[[#This Row],[TAG]],'DB-EQUIPOS GEN'!$C$11:$H$833,6,0)</f>
        <v>0805CV070</v>
      </c>
      <c r="K643" s="200">
        <v>44774</v>
      </c>
      <c r="L643" s="198" t="s">
        <v>249</v>
      </c>
      <c r="M64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43" s="201" t="s">
        <v>1664</v>
      </c>
      <c r="O643" s="64" t="s">
        <v>1696</v>
      </c>
    </row>
    <row r="644" spans="1:15" ht="33" customHeight="1">
      <c r="A644" s="64">
        <v>643</v>
      </c>
      <c r="B644" s="199" t="s">
        <v>2565</v>
      </c>
      <c r="C644" s="64" t="s">
        <v>2566</v>
      </c>
      <c r="D644" s="191" t="s">
        <v>2569</v>
      </c>
      <c r="E644" s="202" t="s">
        <v>1655</v>
      </c>
      <c r="F644" s="191" t="str">
        <f>VLOOKUP(MP_registro[[#This Row],[TAG]],'DB-EQUIPOS GEN'!$C$11:$H$833,2,0)</f>
        <v>Vista global de planta de osmosis</v>
      </c>
      <c r="G644" s="191" t="str">
        <f>VLOOKUP(MP_registro[[#This Row],[TAG]],'DB-EQUIPOS GEN'!$C$11:$H$833,3,0)</f>
        <v>E. TERMICA</v>
      </c>
      <c r="H644" s="191" t="str">
        <f>VLOOKUP(MP_registro[[#This Row],[TAG]],'DB-EQUIPOS GEN'!$C$11:$H$833,4,0)</f>
        <v>PLANTA TRATAMIENTO OSMOSIS INVERSA</v>
      </c>
      <c r="I644" s="191" t="str">
        <f>VLOOKUP(MP_registro[[#This Row],[TAG]],'DB-EQUIPOS GEN'!$C$11:$H$833,5,0)</f>
        <v>PLANTA DE OSMOSIS INVERSA</v>
      </c>
      <c r="J644" s="191" t="str">
        <f>VLOOKUP(MP_registro[[#This Row],[TAG]],'DB-EQUIPOS GEN'!$C$11:$H$833,6,0)</f>
        <v>0425OI101</v>
      </c>
      <c r="K644" s="192">
        <v>44774</v>
      </c>
      <c r="L644" s="193" t="s">
        <v>249</v>
      </c>
      <c r="M64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44" s="201" t="s">
        <v>1664</v>
      </c>
      <c r="O644" s="64" t="s">
        <v>1696</v>
      </c>
    </row>
    <row r="645" spans="1:15" ht="33" customHeight="1">
      <c r="A645" s="65">
        <v>644</v>
      </c>
      <c r="B645" s="199" t="s">
        <v>2565</v>
      </c>
      <c r="C645" s="64" t="s">
        <v>2566</v>
      </c>
      <c r="D645" s="191" t="s">
        <v>2570</v>
      </c>
      <c r="E645" s="202" t="s">
        <v>2407</v>
      </c>
      <c r="F645" s="191" t="str">
        <f>VLOOKUP(MP_registro[[#This Row],[TAG]],'DB-EQUIPOS GEN'!$C$11:$H$833,2,0)</f>
        <v>Vista Molino Secador - Conductor Intermedio</v>
      </c>
      <c r="G645" s="191" t="str">
        <f>VLOOKUP(MP_registro[[#This Row],[TAG]],'DB-EQUIPOS GEN'!$C$11:$H$833,3,0)</f>
        <v>EXTRACCION</v>
      </c>
      <c r="H645" s="191" t="str">
        <f>VLOOKUP(MP_registro[[#This Row],[TAG]],'DB-EQUIPOS GEN'!$C$11:$H$833,4,0)</f>
        <v>MOLINOS</v>
      </c>
      <c r="I645" s="191" t="str">
        <f>VLOOKUP(MP_registro[[#This Row],[TAG]],'DB-EQUIPOS GEN'!$C$11:$H$833,5,0)</f>
        <v>CONDUCTOR INTERMEDIO - MOLINO SECADOR</v>
      </c>
      <c r="J645" s="191" t="str">
        <f>VLOOKUP(MP_registro[[#This Row],[TAG]],'DB-EQUIPOS GEN'!$C$11:$H$833,6,0)</f>
        <v>0210CV070</v>
      </c>
      <c r="K645" s="192">
        <v>44775</v>
      </c>
      <c r="L645" s="193" t="s">
        <v>249</v>
      </c>
      <c r="M645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45" s="201" t="s">
        <v>1664</v>
      </c>
      <c r="O645" s="64" t="s">
        <v>1696</v>
      </c>
    </row>
    <row r="646" spans="1:15" ht="33" customHeight="1">
      <c r="A646" s="64">
        <v>645</v>
      </c>
      <c r="B646" s="199" t="s">
        <v>2565</v>
      </c>
      <c r="C646" s="64" t="s">
        <v>2566</v>
      </c>
      <c r="D646" s="191" t="s">
        <v>2571</v>
      </c>
      <c r="E646" s="202" t="s">
        <v>1640</v>
      </c>
      <c r="F646" s="191" t="str">
        <f>VLOOKUP(MP_registro[[#This Row],[TAG]],'DB-EQUIPOS GEN'!$C$11:$H$833,2,0)</f>
        <v>Conductor de alimentación a difusor y retorno</v>
      </c>
      <c r="G646" s="191" t="str">
        <f>VLOOKUP(MP_registro[[#This Row],[TAG]],'DB-EQUIPOS GEN'!$C$11:$H$833,3,0)</f>
        <v>EXTRACCION</v>
      </c>
      <c r="H646" s="191" t="str">
        <f>VLOOKUP(MP_registro[[#This Row],[TAG]],'DB-EQUIPOS GEN'!$C$11:$H$833,4,0)</f>
        <v>PREPARACIÓN DE CAÑA</v>
      </c>
      <c r="I646" s="191" t="str">
        <f>VLOOKUP(MP_registro[[#This Row],[TAG]],'DB-EQUIPOS GEN'!$C$11:$H$833,5,0)</f>
        <v>CONDUCTOR DE RETORNO</v>
      </c>
      <c r="J646" s="191" t="str">
        <f>VLOOKUP(MP_registro[[#This Row],[TAG]],'DB-EQUIPOS GEN'!$C$11:$H$833,6,0)</f>
        <v>0115CV090</v>
      </c>
      <c r="K646" s="192">
        <v>44775</v>
      </c>
      <c r="L646" s="193" t="s">
        <v>249</v>
      </c>
      <c r="M64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46" s="201" t="s">
        <v>1664</v>
      </c>
      <c r="O646" s="64" t="s">
        <v>1696</v>
      </c>
    </row>
    <row r="647" spans="1:15" ht="33" customHeight="1">
      <c r="A647" s="65">
        <v>646</v>
      </c>
      <c r="B647" s="199" t="s">
        <v>2565</v>
      </c>
      <c r="C647" s="64" t="s">
        <v>2566</v>
      </c>
      <c r="D647" s="191" t="s">
        <v>2572</v>
      </c>
      <c r="E647" s="202" t="s">
        <v>1641</v>
      </c>
      <c r="F647" s="191" t="str">
        <f>VLOOKUP(MP_registro[[#This Row],[TAG]],'DB-EQUIPOS GEN'!$C$11:$H$833,2,0)</f>
        <v>Mesa de caña</v>
      </c>
      <c r="G647" s="191" t="str">
        <f>VLOOKUP(MP_registro[[#This Row],[TAG]],'DB-EQUIPOS GEN'!$C$11:$H$833,3,0)</f>
        <v>EXTRACCION</v>
      </c>
      <c r="H647" s="191" t="str">
        <f>VLOOKUP(MP_registro[[#This Row],[TAG]],'DB-EQUIPOS GEN'!$C$11:$H$833,4,0)</f>
        <v>RECEPCIÓN DE CAÑA</v>
      </c>
      <c r="I647" s="191" t="str">
        <f>VLOOKUP(MP_registro[[#This Row],[TAG]],'DB-EQUIPOS GEN'!$C$11:$H$833,5,0)</f>
        <v>MESA DE CAÑA</v>
      </c>
      <c r="J647" s="191" t="str">
        <f>VLOOKUP(MP_registro[[#This Row],[TAG]],'DB-EQUIPOS GEN'!$C$11:$H$833,6,0)</f>
        <v>0110FE019</v>
      </c>
      <c r="K647" s="192">
        <v>44775</v>
      </c>
      <c r="L647" s="193" t="s">
        <v>249</v>
      </c>
      <c r="M647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47" s="201" t="s">
        <v>1664</v>
      </c>
      <c r="O647" s="64" t="s">
        <v>1696</v>
      </c>
    </row>
    <row r="648" spans="1:15" ht="33" customHeight="1">
      <c r="A648" s="64">
        <v>647</v>
      </c>
      <c r="B648" s="199" t="s">
        <v>2565</v>
      </c>
      <c r="C648" s="64" t="s">
        <v>2566</v>
      </c>
      <c r="D648" s="191" t="s">
        <v>2573</v>
      </c>
      <c r="E648" s="202" t="s">
        <v>1642</v>
      </c>
      <c r="F648" s="191" t="str">
        <f>VLOOKUP(MP_registro[[#This Row],[TAG]],'DB-EQUIPOS GEN'!$C$11:$H$833,2,0)</f>
        <v>Salida de bagazo de molino secador</v>
      </c>
      <c r="G648" s="191" t="str">
        <f>VLOOKUP(MP_registro[[#This Row],[TAG]],'DB-EQUIPOS GEN'!$C$11:$H$833,3,0)</f>
        <v>EXTRACCION</v>
      </c>
      <c r="H648" s="191" t="str">
        <f>VLOOKUP(MP_registro[[#This Row],[TAG]],'DB-EQUIPOS GEN'!$C$11:$H$833,4,0)</f>
        <v>MOLINOS</v>
      </c>
      <c r="I648" s="191" t="str">
        <f>VLOOKUP(MP_registro[[#This Row],[TAG]],'DB-EQUIPOS GEN'!$C$11:$H$833,5,0)</f>
        <v>MOLINO SECADOR</v>
      </c>
      <c r="J648" s="191" t="str">
        <f>VLOOKUP(MP_registro[[#This Row],[TAG]],'DB-EQUIPOS GEN'!$C$11:$H$833,6,0)</f>
        <v>0210MM090</v>
      </c>
      <c r="K648" s="192">
        <v>44775</v>
      </c>
      <c r="L648" s="193" t="s">
        <v>245</v>
      </c>
      <c r="M64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48" s="201" t="s">
        <v>1664</v>
      </c>
      <c r="O648" s="64" t="s">
        <v>1696</v>
      </c>
    </row>
    <row r="649" spans="1:15" ht="33" customHeight="1">
      <c r="A649" s="65">
        <v>648</v>
      </c>
      <c r="B649" s="199" t="s">
        <v>2565</v>
      </c>
      <c r="C649" s="64" t="s">
        <v>2566</v>
      </c>
      <c r="D649" s="191" t="s">
        <v>2574</v>
      </c>
      <c r="E649" s="202" t="s">
        <v>1658</v>
      </c>
      <c r="F649" s="191" t="str">
        <f>VLOOKUP(MP_registro[[#This Row],[TAG]],'DB-EQUIPOS GEN'!$C$11:$H$833,2,0)</f>
        <v>Pug mill A - Centrifugas batch</v>
      </c>
      <c r="G649" s="191" t="str">
        <f>VLOOKUP(MP_registro[[#This Row],[TAG]],'DB-EQUIPOS GEN'!$C$11:$H$833,3,0)</f>
        <v>PRODUCCION</v>
      </c>
      <c r="H649" s="191" t="str">
        <f>VLOOKUP(MP_registro[[#This Row],[TAG]],'DB-EQUIPOS GEN'!$C$11:$H$833,4,0)</f>
        <v>CENTRIFUGACIÓN DE AZÚCAR</v>
      </c>
      <c r="I649" s="191" t="str">
        <f>VLOOKUP(MP_registro[[#This Row],[TAG]],'DB-EQUIPOS GEN'!$C$11:$H$833,5,0)</f>
        <v>PUG MILL - A</v>
      </c>
      <c r="J649" s="191" t="str">
        <f>VLOOKUP(MP_registro[[#This Row],[TAG]],'DB-EQUIPOS GEN'!$C$11:$H$833,6,0)</f>
        <v>0345MM010</v>
      </c>
      <c r="K649" s="192">
        <v>44775</v>
      </c>
      <c r="L649" s="193" t="s">
        <v>249</v>
      </c>
      <c r="M64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49" s="201" t="s">
        <v>1664</v>
      </c>
      <c r="O649" s="64" t="s">
        <v>1696</v>
      </c>
    </row>
    <row r="650" spans="1:15" ht="33" customHeight="1">
      <c r="A650" s="64">
        <v>649</v>
      </c>
      <c r="B650" s="199" t="s">
        <v>2565</v>
      </c>
      <c r="C650" s="64" t="s">
        <v>2566</v>
      </c>
      <c r="D650" s="191" t="s">
        <v>2575</v>
      </c>
      <c r="E650" s="202" t="s">
        <v>1659</v>
      </c>
      <c r="F650" s="191" t="str">
        <f>VLOOKUP(MP_registro[[#This Row],[TAG]],'DB-EQUIPOS GEN'!$C$11:$H$833,2,0)</f>
        <v>Vista global de tanques de jarabe 1,2 y 3</v>
      </c>
      <c r="G650" s="191" t="str">
        <f>VLOOKUP(MP_registro[[#This Row],[TAG]],'DB-EQUIPOS GEN'!$C$11:$H$833,3,0)</f>
        <v>PRODUCCION</v>
      </c>
      <c r="H650" s="191" t="str">
        <f>VLOOKUP(MP_registro[[#This Row],[TAG]],'DB-EQUIPOS GEN'!$C$11:$H$833,4,0)</f>
        <v>CRISTALIZACIÓN POR COCCIÓN</v>
      </c>
      <c r="I650" s="191" t="str">
        <f>VLOOKUP(MP_registro[[#This Row],[TAG]],'DB-EQUIPOS GEN'!$C$11:$H$833,5,0)</f>
        <v>TANQUE DE JARABE 1</v>
      </c>
      <c r="J650" s="191" t="str">
        <f>VLOOKUP(MP_registro[[#This Row],[TAG]],'DB-EQUIPOS GEN'!$C$11:$H$833,6,0)</f>
        <v>0335TK010</v>
      </c>
      <c r="K650" s="192">
        <v>44775</v>
      </c>
      <c r="L650" s="193" t="s">
        <v>245</v>
      </c>
      <c r="M65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50" s="201" t="s">
        <v>1664</v>
      </c>
      <c r="O650" s="64" t="s">
        <v>1696</v>
      </c>
    </row>
    <row r="651" spans="1:15" ht="33" customHeight="1">
      <c r="A651" s="65">
        <v>650</v>
      </c>
      <c r="B651" s="199" t="s">
        <v>2565</v>
      </c>
      <c r="C651" s="64" t="s">
        <v>2566</v>
      </c>
      <c r="D651" s="191" t="s">
        <v>2576</v>
      </c>
      <c r="E651" s="202" t="s">
        <v>1660</v>
      </c>
      <c r="F651" s="191" t="str">
        <f>VLOOKUP(MP_registro[[#This Row],[TAG]],'DB-EQUIPOS GEN'!$C$11:$H$833,2,0)</f>
        <v>Vista global de tacho continuo A.</v>
      </c>
      <c r="G651" s="191" t="str">
        <f>VLOOKUP(MP_registro[[#This Row],[TAG]],'DB-EQUIPOS GEN'!$C$11:$H$833,3,0)</f>
        <v>PRODUCCION</v>
      </c>
      <c r="H651" s="191" t="str">
        <f>VLOOKUP(MP_registro[[#This Row],[TAG]],'DB-EQUIPOS GEN'!$C$11:$H$833,4,0)</f>
        <v>CRISTALIZACIÓN POR COCCIÓN</v>
      </c>
      <c r="I651" s="191" t="str">
        <f>VLOOKUP(MP_registro[[#This Row],[TAG]],'DB-EQUIPOS GEN'!$C$11:$H$833,5,0)</f>
        <v>TACHO CONTINUO - A</v>
      </c>
      <c r="J651" s="191" t="str">
        <f>VLOOKUP(MP_registro[[#This Row],[TAG]],'DB-EQUIPOS GEN'!$C$11:$H$833,6,0)</f>
        <v>0335HX200</v>
      </c>
      <c r="K651" s="192">
        <v>44775</v>
      </c>
      <c r="L651" s="193" t="s">
        <v>249</v>
      </c>
      <c r="M65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51" s="201" t="s">
        <v>1664</v>
      </c>
      <c r="O651" s="64" t="s">
        <v>1696</v>
      </c>
    </row>
    <row r="652" spans="1:15" ht="33" customHeight="1">
      <c r="A652" s="64">
        <v>651</v>
      </c>
      <c r="B652" s="199" t="s">
        <v>2565</v>
      </c>
      <c r="C652" s="64" t="s">
        <v>2566</v>
      </c>
      <c r="D652" s="191" t="s">
        <v>2577</v>
      </c>
      <c r="E652" s="203" t="s">
        <v>1649</v>
      </c>
      <c r="F652" s="191" t="str">
        <f>VLOOKUP(MP_registro[[#This Row],[TAG]],'DB-EQUIPOS GEN'!$C$11:$H$833,2,0)</f>
        <v>Chute alimentadores de bagazo</v>
      </c>
      <c r="G652" s="191" t="str">
        <f>VLOOKUP(MP_registro[[#This Row],[TAG]],'DB-EQUIPOS GEN'!$C$11:$H$833,3,0)</f>
        <v>E. TERMICA</v>
      </c>
      <c r="H652" s="191" t="str">
        <f>VLOOKUP(MP_registro[[#This Row],[TAG]],'DB-EQUIPOS GEN'!$C$11:$H$833,4,0)</f>
        <v>TRANSPORTE DE BAGAZO</v>
      </c>
      <c r="I652" s="191" t="str">
        <f>VLOOKUP(MP_registro[[#This Row],[TAG]],'DB-EQUIPOS GEN'!$C$11:$H$833,5,0)</f>
        <v>ALIMENTADOR DE BAGAZO 1</v>
      </c>
      <c r="J652" s="191" t="str">
        <f>VLOOKUP(MP_registro[[#This Row],[TAG]],'DB-EQUIPOS GEN'!$C$11:$H$833,6,0)</f>
        <v>0405RV240</v>
      </c>
      <c r="K652" s="192">
        <v>44775</v>
      </c>
      <c r="L652" s="193" t="s">
        <v>247</v>
      </c>
      <c r="M65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52" s="194" t="s">
        <v>1695</v>
      </c>
      <c r="O652" s="64" t="s">
        <v>1696</v>
      </c>
    </row>
    <row r="653" spans="1:15" ht="33" customHeight="1">
      <c r="A653" s="65">
        <v>652</v>
      </c>
      <c r="B653" s="199" t="s">
        <v>2565</v>
      </c>
      <c r="C653" s="64" t="s">
        <v>2566</v>
      </c>
      <c r="D653" s="191" t="s">
        <v>2578</v>
      </c>
      <c r="E653" s="202" t="s">
        <v>1656</v>
      </c>
      <c r="F653" s="191" t="str">
        <f>VLOOKUP(MP_registro[[#This Row],[TAG]],'DB-EQUIPOS GEN'!$C$11:$H$833,2,0)</f>
        <v>Descarga de centrifugas continuas</v>
      </c>
      <c r="G653" s="191" t="str">
        <f>VLOOKUP(MP_registro[[#This Row],[TAG]],'DB-EQUIPOS GEN'!$C$11:$H$833,3,0)</f>
        <v>PRODUCCION</v>
      </c>
      <c r="H653" s="191" t="str">
        <f>VLOOKUP(MP_registro[[#This Row],[TAG]],'DB-EQUIPOS GEN'!$C$11:$H$833,4,0)</f>
        <v>CENTRIFUGACIÓN DE AZÚCAR</v>
      </c>
      <c r="I653" s="191" t="str">
        <f>VLOOKUP(MP_registro[[#This Row],[TAG]],'DB-EQUIPOS GEN'!$C$11:$H$833,5,0)</f>
        <v>CENTRIFUGA CONTINUA 1 - C (FRANCIA)</v>
      </c>
      <c r="J653" s="191" t="str">
        <f>VLOOKUP(MP_registro[[#This Row],[TAG]],'DB-EQUIPOS GEN'!$C$11:$H$833,6,0)</f>
        <v>0345SQ160</v>
      </c>
      <c r="K653" s="192">
        <v>44776</v>
      </c>
      <c r="L653" s="193" t="s">
        <v>245</v>
      </c>
      <c r="M65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53" s="201" t="s">
        <v>1664</v>
      </c>
      <c r="O653" s="64" t="s">
        <v>1696</v>
      </c>
    </row>
    <row r="654" spans="1:15" ht="33" customHeight="1">
      <c r="A654" s="64">
        <v>653</v>
      </c>
      <c r="B654" s="199" t="s">
        <v>2565</v>
      </c>
      <c r="C654" s="64" t="s">
        <v>2566</v>
      </c>
      <c r="D654" s="191" t="s">
        <v>2579</v>
      </c>
      <c r="E654" s="202" t="s">
        <v>1661</v>
      </c>
      <c r="F654" s="191" t="str">
        <f>VLOOKUP(MP_registro[[#This Row],[TAG]],'DB-EQUIPOS GEN'!$C$11:$H$833,2,0)</f>
        <v xml:space="preserve">Faja de azucar seca a Silo </v>
      </c>
      <c r="G654" s="191" t="str">
        <f>VLOOKUP(MP_registro[[#This Row],[TAG]],'DB-EQUIPOS GEN'!$C$11:$H$833,3,0)</f>
        <v>PRODUCCION</v>
      </c>
      <c r="H654" s="191" t="str">
        <f>VLOOKUP(MP_registro[[#This Row],[TAG]],'DB-EQUIPOS GEN'!$C$11:$H$833,4,0)</f>
        <v>ENVASADO DE AZÚCAR RUBIA</v>
      </c>
      <c r="I654" s="191" t="str">
        <f>VLOOKUP(MP_registro[[#This Row],[TAG]],'DB-EQUIPOS GEN'!$C$11:$H$833,5,0)</f>
        <v>SILO DE AZUCAR 1</v>
      </c>
      <c r="J654" s="191" t="str">
        <f>VLOOKUP(MP_registro[[#This Row],[TAG]],'DB-EQUIPOS GEN'!$C$11:$H$833,6,0)</f>
        <v>0355BI090</v>
      </c>
      <c r="K654" s="192">
        <v>44776</v>
      </c>
      <c r="L654" s="193" t="s">
        <v>249</v>
      </c>
      <c r="M65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54" s="201" t="s">
        <v>1664</v>
      </c>
      <c r="O654" s="64" t="s">
        <v>1696</v>
      </c>
    </row>
    <row r="655" spans="1:15" ht="33" customHeight="1">
      <c r="A655" s="65">
        <v>654</v>
      </c>
      <c r="B655" s="199" t="s">
        <v>2565</v>
      </c>
      <c r="C655" s="64" t="s">
        <v>2566</v>
      </c>
      <c r="D655" s="191" t="s">
        <v>2580</v>
      </c>
      <c r="E655" s="203" t="s">
        <v>1648</v>
      </c>
      <c r="F655" s="191" t="str">
        <f>VLOOKUP(MP_registro[[#This Row],[TAG]],'DB-EQUIPOS GEN'!$C$11:$H$833,2,0)</f>
        <v>Nivel de agua en domo</v>
      </c>
      <c r="G655" s="191" t="str">
        <f>VLOOKUP(MP_registro[[#This Row],[TAG]],'DB-EQUIPOS GEN'!$C$11:$H$833,3,0)</f>
        <v>E. TERMICA</v>
      </c>
      <c r="H655" s="191" t="str">
        <f>VLOOKUP(MP_registro[[#This Row],[TAG]],'DB-EQUIPOS GEN'!$C$11:$H$833,4,0)</f>
        <v>GENERACIÓN DE VAPOR</v>
      </c>
      <c r="I655" s="191" t="str">
        <f>VLOOKUP(MP_registro[[#This Row],[TAG]],'DB-EQUIPOS GEN'!$C$11:$H$833,5,0)</f>
        <v>DOMO SUPERIOR</v>
      </c>
      <c r="J655" s="191" t="str">
        <f>VLOOKUP(MP_registro[[#This Row],[TAG]],'DB-EQUIPOS GEN'!$C$11:$H$833,6,0)</f>
        <v>0405DO020</v>
      </c>
      <c r="K655" s="192">
        <v>44776</v>
      </c>
      <c r="L655" s="193" t="s">
        <v>245</v>
      </c>
      <c r="M65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55" s="194" t="s">
        <v>1695</v>
      </c>
      <c r="O655" s="64" t="s">
        <v>1696</v>
      </c>
    </row>
    <row r="656" spans="1:15" ht="33" customHeight="1">
      <c r="A656" s="64">
        <v>655</v>
      </c>
      <c r="B656" s="199" t="s">
        <v>2565</v>
      </c>
      <c r="C656" s="64" t="s">
        <v>2566</v>
      </c>
      <c r="D656" s="191" t="s">
        <v>2581</v>
      </c>
      <c r="E656" s="202" t="s">
        <v>1652</v>
      </c>
      <c r="F656" s="191" t="str">
        <f>VLOOKUP(MP_registro[[#This Row],[TAG]],'DB-EQUIPOS GEN'!$C$11:$H$833,2,0)</f>
        <v>Faja 1006A - Patio de Bagazo</v>
      </c>
      <c r="G656" s="191" t="str">
        <f>VLOOKUP(MP_registro[[#This Row],[TAG]],'DB-EQUIPOS GEN'!$C$11:$H$833,3,0)</f>
        <v>E. TERMICA</v>
      </c>
      <c r="H656" s="191" t="str">
        <f>VLOOKUP(MP_registro[[#This Row],[TAG]],'DB-EQUIPOS GEN'!$C$11:$H$833,4,0)</f>
        <v>TRANSPORTE DE BAGAZO</v>
      </c>
      <c r="I656" s="191" t="str">
        <f>VLOOKUP(MP_registro[[#This Row],[TAG]],'DB-EQUIPOS GEN'!$C$11:$H$833,5,0)</f>
        <v>FAJA TRANSPORTADORA 1006 A</v>
      </c>
      <c r="J656" s="191" t="str">
        <f>VLOOKUP(MP_registro[[#This Row],[TAG]],'DB-EQUIPOS GEN'!$C$11:$H$833,6,0)</f>
        <v>0805CV080</v>
      </c>
      <c r="K656" s="192">
        <v>44776</v>
      </c>
      <c r="L656" s="193" t="s">
        <v>245</v>
      </c>
      <c r="M65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56" s="201" t="s">
        <v>1664</v>
      </c>
      <c r="O656" s="64" t="s">
        <v>1696</v>
      </c>
    </row>
    <row r="657" spans="1:15" ht="33" customHeight="1">
      <c r="A657" s="65">
        <v>656</v>
      </c>
      <c r="B657" s="199" t="s">
        <v>2565</v>
      </c>
      <c r="C657" s="64" t="s">
        <v>2566</v>
      </c>
      <c r="D657" s="191" t="s">
        <v>2582</v>
      </c>
      <c r="E657" s="202" t="s">
        <v>2605</v>
      </c>
      <c r="F657" s="191" t="e">
        <f>VLOOKUP(MP_registro[[#This Row],[TAG]],'DB-EQUIPOS GEN'!$C$11:$H$833,2,0)</f>
        <v>#N/A</v>
      </c>
      <c r="G657" s="191" t="e">
        <f>VLOOKUP(MP_registro[[#This Row],[TAG]],'DB-EQUIPOS GEN'!$C$11:$H$833,3,0)</f>
        <v>#N/A</v>
      </c>
      <c r="H657" s="191" t="e">
        <f>VLOOKUP(MP_registro[[#This Row],[TAG]],'DB-EQUIPOS GEN'!$C$11:$H$833,4,0)</f>
        <v>#N/A</v>
      </c>
      <c r="I657" s="191" t="e">
        <f>VLOOKUP(MP_registro[[#This Row],[TAG]],'DB-EQUIPOS GEN'!$C$11:$H$833,5,0)</f>
        <v>#N/A</v>
      </c>
      <c r="J657" s="191" t="e">
        <f>VLOOKUP(MP_registro[[#This Row],[TAG]],'DB-EQUIPOS GEN'!$C$11:$H$833,6,0)</f>
        <v>#N/A</v>
      </c>
      <c r="K657" s="192">
        <v>44776</v>
      </c>
      <c r="L657" s="193" t="s">
        <v>249</v>
      </c>
      <c r="M657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57" s="201" t="s">
        <v>1664</v>
      </c>
      <c r="O657" s="64" t="s">
        <v>1696</v>
      </c>
    </row>
    <row r="658" spans="1:15" ht="33" customHeight="1">
      <c r="A658" s="64">
        <v>657</v>
      </c>
      <c r="B658" s="199" t="s">
        <v>2565</v>
      </c>
      <c r="C658" s="64" t="s">
        <v>2566</v>
      </c>
      <c r="D658" s="191" t="s">
        <v>2583</v>
      </c>
      <c r="E658" s="202" t="s">
        <v>2606</v>
      </c>
      <c r="F658" s="191" t="e">
        <f>VLOOKUP(MP_registro[[#This Row],[TAG]],'DB-EQUIPOS GEN'!$C$11:$H$833,2,0)</f>
        <v>#N/A</v>
      </c>
      <c r="G658" s="191" t="e">
        <f>VLOOKUP(MP_registro[[#This Row],[TAG]],'DB-EQUIPOS GEN'!$C$11:$H$833,3,0)</f>
        <v>#N/A</v>
      </c>
      <c r="H658" s="191" t="e">
        <f>VLOOKUP(MP_registro[[#This Row],[TAG]],'DB-EQUIPOS GEN'!$C$11:$H$833,4,0)</f>
        <v>#N/A</v>
      </c>
      <c r="I658" s="191" t="e">
        <f>VLOOKUP(MP_registro[[#This Row],[TAG]],'DB-EQUIPOS GEN'!$C$11:$H$833,5,0)</f>
        <v>#N/A</v>
      </c>
      <c r="J658" s="191" t="e">
        <f>VLOOKUP(MP_registro[[#This Row],[TAG]],'DB-EQUIPOS GEN'!$C$11:$H$833,6,0)</f>
        <v>#N/A</v>
      </c>
      <c r="K658" s="192">
        <v>44777</v>
      </c>
      <c r="L658" s="193" t="s">
        <v>247</v>
      </c>
      <c r="M65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58" s="201" t="s">
        <v>1664</v>
      </c>
      <c r="O658" s="64" t="s">
        <v>1696</v>
      </c>
    </row>
    <row r="659" spans="1:15" ht="33" customHeight="1">
      <c r="A659" s="65">
        <v>658</v>
      </c>
      <c r="B659" s="199" t="s">
        <v>2565</v>
      </c>
      <c r="C659" s="64" t="s">
        <v>2566</v>
      </c>
      <c r="D659" s="191" t="s">
        <v>2584</v>
      </c>
      <c r="E659" s="202" t="s">
        <v>1643</v>
      </c>
      <c r="F659" s="191" t="str">
        <f>VLOOKUP(MP_registro[[#This Row],[TAG]],'DB-EQUIPOS GEN'!$C$11:$H$833,2,0)</f>
        <v>Nivelador de cama de bagazo en difusor</v>
      </c>
      <c r="G659" s="191" t="str">
        <f>VLOOKUP(MP_registro[[#This Row],[TAG]],'DB-EQUIPOS GEN'!$C$11:$H$833,3,0)</f>
        <v>EXTRACCION</v>
      </c>
      <c r="H659" s="191" t="str">
        <f>VLOOKUP(MP_registro[[#This Row],[TAG]],'DB-EQUIPOS GEN'!$C$11:$H$833,4,0)</f>
        <v>DIFUSOR</v>
      </c>
      <c r="I659" s="191" t="str">
        <f>VLOOKUP(MP_registro[[#This Row],[TAG]],'DB-EQUIPOS GEN'!$C$11:$H$833,5,0)</f>
        <v>CONDUCTOR TRANSVERSAL</v>
      </c>
      <c r="J659" s="191" t="str">
        <f>VLOOKUP(MP_registro[[#This Row],[TAG]],'DB-EQUIPOS GEN'!$C$11:$H$833,6,0)</f>
        <v>0205CV190</v>
      </c>
      <c r="K659" s="192">
        <v>44778</v>
      </c>
      <c r="L659" s="193" t="s">
        <v>247</v>
      </c>
      <c r="M65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59" s="201" t="s">
        <v>1664</v>
      </c>
      <c r="O659" s="64" t="s">
        <v>1696</v>
      </c>
    </row>
    <row r="660" spans="1:15" ht="33" customHeight="1">
      <c r="A660" s="64">
        <v>659</v>
      </c>
      <c r="B660" s="199" t="s">
        <v>2565</v>
      </c>
      <c r="C660" s="64" t="s">
        <v>2566</v>
      </c>
      <c r="D660" s="191" t="s">
        <v>2585</v>
      </c>
      <c r="E660" s="202" t="s">
        <v>1645</v>
      </c>
      <c r="F660" s="191" t="str">
        <f>VLOOKUP(MP_registro[[#This Row],[TAG]],'DB-EQUIPOS GEN'!$C$11:$H$833,2,0)</f>
        <v>Tamiz rotativo</v>
      </c>
      <c r="G660" s="191" t="str">
        <f>VLOOKUP(MP_registro[[#This Row],[TAG]],'DB-EQUIPOS GEN'!$C$11:$H$833,3,0)</f>
        <v>EXTRACCION</v>
      </c>
      <c r="H660" s="191" t="str">
        <f>VLOOKUP(MP_registro[[#This Row],[TAG]],'DB-EQUIPOS GEN'!$C$11:$H$833,4,0)</f>
        <v>DIFUSOR</v>
      </c>
      <c r="I660" s="191" t="str">
        <f>VLOOKUP(MP_registro[[#This Row],[TAG]],'DB-EQUIPOS GEN'!$C$11:$H$833,5,0)</f>
        <v>TAMIZ ROTATIVO</v>
      </c>
      <c r="J660" s="191" t="str">
        <f>VLOOKUP(MP_registro[[#This Row],[TAG]],'DB-EQUIPOS GEN'!$C$11:$H$833,6,0)</f>
        <v>0305FL010</v>
      </c>
      <c r="K660" s="192">
        <v>44778</v>
      </c>
      <c r="L660" s="193" t="s">
        <v>247</v>
      </c>
      <c r="M660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60" s="201" t="s">
        <v>1664</v>
      </c>
      <c r="O660" s="64" t="s">
        <v>1696</v>
      </c>
    </row>
    <row r="661" spans="1:15" ht="33" customHeight="1">
      <c r="A661" s="65">
        <v>660</v>
      </c>
      <c r="B661" s="199" t="s">
        <v>2565</v>
      </c>
      <c r="C661" s="64" t="s">
        <v>2566</v>
      </c>
      <c r="D661" s="191" t="s">
        <v>2586</v>
      </c>
      <c r="E661" s="202" t="s">
        <v>1646</v>
      </c>
      <c r="F661" s="191" t="str">
        <f>VLOOKUP(MP_registro[[#This Row],[TAG]],'DB-EQUIPOS GEN'!$C$11:$H$833,2,0)</f>
        <v>Segundo nivel de Turbina TGM</v>
      </c>
      <c r="G661" s="191" t="str">
        <f>VLOOKUP(MP_registro[[#This Row],[TAG]],'DB-EQUIPOS GEN'!$C$11:$H$833,3,0)</f>
        <v>E. ELECTRICA</v>
      </c>
      <c r="H661" s="191" t="str">
        <f>VLOOKUP(MP_registro[[#This Row],[TAG]],'DB-EQUIPOS GEN'!$C$11:$H$833,4,0)</f>
        <v>SISTEMA DE ENFRIAMIENTO</v>
      </c>
      <c r="I661" s="191" t="str">
        <f>VLOOKUP(MP_registro[[#This Row],[TAG]],'DB-EQUIPOS GEN'!$C$11:$H$833,5,0)</f>
        <v>TORRE DE ENFRIAMIENTO MARLEY - TG TGM</v>
      </c>
      <c r="J661" s="191" t="str">
        <f>VLOOKUP(MP_registro[[#This Row],[TAG]],'DB-EQUIPOS GEN'!$C$11:$H$833,6,0)</f>
        <v>0430CT050</v>
      </c>
      <c r="K661" s="192">
        <v>44778</v>
      </c>
      <c r="L661" s="193" t="s">
        <v>247</v>
      </c>
      <c r="M66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61" s="201" t="s">
        <v>1664</v>
      </c>
      <c r="O661" s="64" t="s">
        <v>1696</v>
      </c>
    </row>
    <row r="662" spans="1:15" ht="33" customHeight="1">
      <c r="A662" s="64">
        <v>661</v>
      </c>
      <c r="B662" s="199" t="s">
        <v>2565</v>
      </c>
      <c r="C662" s="64" t="s">
        <v>2566</v>
      </c>
      <c r="D662" s="191" t="s">
        <v>2587</v>
      </c>
      <c r="E662" s="202" t="s">
        <v>1650</v>
      </c>
      <c r="F662" s="191" t="str">
        <f>VLOOKUP(MP_registro[[#This Row],[TAG]],'DB-EQUIPOS GEN'!$C$11:$H$833,2,0)</f>
        <v>Faja 1003 - Conductor distribuidor de bagazo</v>
      </c>
      <c r="G662" s="191" t="str">
        <f>VLOOKUP(MP_registro[[#This Row],[TAG]],'DB-EQUIPOS GEN'!$C$11:$H$833,3,0)</f>
        <v>E. TERMICA</v>
      </c>
      <c r="H662" s="191" t="str">
        <f>VLOOKUP(MP_registro[[#This Row],[TAG]],'DB-EQUIPOS GEN'!$C$11:$H$833,4,0)</f>
        <v>TRANSPORTE DE BAGAZO</v>
      </c>
      <c r="I662" s="191" t="str">
        <f>VLOOKUP(MP_registro[[#This Row],[TAG]],'DB-EQUIPOS GEN'!$C$11:$H$833,5,0)</f>
        <v>TRANSPORTADOR DE BAGAZO 1003</v>
      </c>
      <c r="J662" s="191" t="str">
        <f>VLOOKUP(MP_registro[[#This Row],[TAG]],'DB-EQUIPOS GEN'!$C$11:$H$833,6,0)</f>
        <v>0805CV060</v>
      </c>
      <c r="K662" s="192">
        <v>44778</v>
      </c>
      <c r="L662" s="193" t="s">
        <v>247</v>
      </c>
      <c r="M66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62" s="201" t="s">
        <v>1664</v>
      </c>
      <c r="O662" s="64" t="s">
        <v>1696</v>
      </c>
    </row>
    <row r="663" spans="1:15" ht="33" customHeight="1">
      <c r="A663" s="65">
        <v>662</v>
      </c>
      <c r="B663" s="199" t="s">
        <v>2565</v>
      </c>
      <c r="C663" s="64" t="s">
        <v>2566</v>
      </c>
      <c r="D663" s="191" t="s">
        <v>2588</v>
      </c>
      <c r="E663" s="202" t="s">
        <v>1651</v>
      </c>
      <c r="F663" s="191" t="str">
        <f>VLOOKUP(MP_registro[[#This Row],[TAG]],'DB-EQUIPOS GEN'!$C$11:$H$833,2,0)</f>
        <v>Faja 1008 - Tolva de retorno de bagazo</v>
      </c>
      <c r="G663" s="191" t="str">
        <f>VLOOKUP(MP_registro[[#This Row],[TAG]],'DB-EQUIPOS GEN'!$C$11:$H$833,3,0)</f>
        <v>E. TERMICA</v>
      </c>
      <c r="H663" s="191" t="str">
        <f>VLOOKUP(MP_registro[[#This Row],[TAG]],'DB-EQUIPOS GEN'!$C$11:$H$833,4,0)</f>
        <v>TRANSPORTE DE BAGAZO</v>
      </c>
      <c r="I663" s="191" t="str">
        <f>VLOOKUP(MP_registro[[#This Row],[TAG]],'DB-EQUIPOS GEN'!$C$11:$H$833,5,0)</f>
        <v>FAJA TRANSPORTADORA 1008</v>
      </c>
      <c r="J663" s="191" t="str">
        <f>VLOOKUP(MP_registro[[#This Row],[TAG]],'DB-EQUIPOS GEN'!$C$11:$H$833,6,0)</f>
        <v>0805CV100</v>
      </c>
      <c r="K663" s="192">
        <v>44778</v>
      </c>
      <c r="L663" s="193" t="s">
        <v>247</v>
      </c>
      <c r="M663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63" s="201" t="s">
        <v>1664</v>
      </c>
      <c r="O663" s="64" t="s">
        <v>1696</v>
      </c>
    </row>
    <row r="664" spans="1:15" ht="33" customHeight="1">
      <c r="A664" s="64">
        <v>663</v>
      </c>
      <c r="B664" s="199" t="s">
        <v>2565</v>
      </c>
      <c r="C664" s="64" t="s">
        <v>2566</v>
      </c>
      <c r="D664" s="191" t="s">
        <v>2589</v>
      </c>
      <c r="E664" s="203" t="s">
        <v>1654</v>
      </c>
      <c r="F664" s="191" t="str">
        <f>VLOOKUP(MP_registro[[#This Row],[TAG]],'DB-EQUIPOS GEN'!$C$11:$H$833,2,0)</f>
        <v>Vista global de sala turbina TGM</v>
      </c>
      <c r="G664" s="191" t="str">
        <f>VLOOKUP(MP_registro[[#This Row],[TAG]],'DB-EQUIPOS GEN'!$C$11:$H$833,3,0)</f>
        <v>E. ELECTRICA</v>
      </c>
      <c r="H664" s="191" t="str">
        <f>VLOOKUP(MP_registro[[#This Row],[TAG]],'DB-EQUIPOS GEN'!$C$11:$H$833,4,0)</f>
        <v>SISTEMA DE ENFRIAMIENTO</v>
      </c>
      <c r="I664" s="191" t="str">
        <f>VLOOKUP(MP_registro[[#This Row],[TAG]],'DB-EQUIPOS GEN'!$C$11:$H$833,5,0)</f>
        <v>TORRE DE ENFRIAMIENTO MARLEY - TG TGM</v>
      </c>
      <c r="J664" s="191" t="str">
        <f>VLOOKUP(MP_registro[[#This Row],[TAG]],'DB-EQUIPOS GEN'!$C$11:$H$833,6,0)</f>
        <v>0430CT050</v>
      </c>
      <c r="K664" s="192">
        <v>44778</v>
      </c>
      <c r="L664" s="193" t="s">
        <v>249</v>
      </c>
      <c r="M66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64" s="194" t="s">
        <v>1695</v>
      </c>
      <c r="O664" s="64" t="s">
        <v>1696</v>
      </c>
    </row>
    <row r="665" spans="1:15" ht="33" customHeight="1">
      <c r="A665" s="65">
        <v>664</v>
      </c>
      <c r="B665" s="199" t="s">
        <v>2565</v>
      </c>
      <c r="C665" s="64" t="s">
        <v>2566</v>
      </c>
      <c r="D665" s="191" t="s">
        <v>2590</v>
      </c>
      <c r="E665" s="202" t="s">
        <v>2607</v>
      </c>
      <c r="F665" s="191" t="e">
        <f>VLOOKUP(MP_registro[[#This Row],[TAG]],'DB-EQUIPOS GEN'!$C$11:$H$833,2,0)</f>
        <v>#N/A</v>
      </c>
      <c r="G665" s="191" t="e">
        <f>VLOOKUP(MP_registro[[#This Row],[TAG]],'DB-EQUIPOS GEN'!$C$11:$H$833,3,0)</f>
        <v>#N/A</v>
      </c>
      <c r="H665" s="191" t="e">
        <f>VLOOKUP(MP_registro[[#This Row],[TAG]],'DB-EQUIPOS GEN'!$C$11:$H$833,4,0)</f>
        <v>#N/A</v>
      </c>
      <c r="I665" s="191" t="e">
        <f>VLOOKUP(MP_registro[[#This Row],[TAG]],'DB-EQUIPOS GEN'!$C$11:$H$833,5,0)</f>
        <v>#N/A</v>
      </c>
      <c r="J665" s="191" t="e">
        <f>VLOOKUP(MP_registro[[#This Row],[TAG]],'DB-EQUIPOS GEN'!$C$11:$H$833,6,0)</f>
        <v>#N/A</v>
      </c>
      <c r="K665" s="192">
        <v>44778</v>
      </c>
      <c r="L665" s="193" t="s">
        <v>247</v>
      </c>
      <c r="M665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65" s="201" t="s">
        <v>1664</v>
      </c>
      <c r="O665" s="64" t="s">
        <v>1696</v>
      </c>
    </row>
    <row r="666" spans="1:15" ht="33" customHeight="1">
      <c r="A666" s="64">
        <v>665</v>
      </c>
      <c r="B666" s="199" t="s">
        <v>2565</v>
      </c>
      <c r="C666" s="64" t="s">
        <v>2566</v>
      </c>
      <c r="D666" s="191" t="s">
        <v>2591</v>
      </c>
      <c r="E666" s="202" t="s">
        <v>754</v>
      </c>
      <c r="F666" s="191" t="str">
        <f>VLOOKUP(MP_registro[[#This Row],[TAG]],'DB-EQUIPOS GEN'!$C$11:$H$833,2,0)</f>
        <v>Brix de masa B - Celda 3</v>
      </c>
      <c r="G666" s="191" t="str">
        <f>VLOOKUP(MP_registro[[#This Row],[TAG]],'DB-EQUIPOS GEN'!$C$11:$H$833,3,0)</f>
        <v>PRODUCCION</v>
      </c>
      <c r="H666" s="191" t="str">
        <f>VLOOKUP(MP_registro[[#This Row],[TAG]],'DB-EQUIPOS GEN'!$C$11:$H$833,4,0)</f>
        <v>CRISTALIZACION POR COCCION</v>
      </c>
      <c r="I666" s="191" t="str">
        <f>VLOOKUP(MP_registro[[#This Row],[TAG]],'DB-EQUIPOS GEN'!$C$11:$H$833,5,0)</f>
        <v xml:space="preserve">TACHO CONTINUO B </v>
      </c>
      <c r="J666" s="191" t="str">
        <f>VLOOKUP(MP_registro[[#This Row],[TAG]],'DB-EQUIPOS GEN'!$C$11:$H$833,6,0)</f>
        <v xml:space="preserve"> 0335HX230</v>
      </c>
      <c r="K666" s="192">
        <v>44779</v>
      </c>
      <c r="L666" s="193" t="s">
        <v>247</v>
      </c>
      <c r="M66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66" s="201" t="s">
        <v>1664</v>
      </c>
      <c r="O666" s="64" t="s">
        <v>1696</v>
      </c>
    </row>
    <row r="667" spans="1:15" ht="33" customHeight="1">
      <c r="A667" s="65">
        <v>666</v>
      </c>
      <c r="B667" s="199" t="s">
        <v>2565</v>
      </c>
      <c r="C667" s="64" t="s">
        <v>2566</v>
      </c>
      <c r="D667" s="191" t="s">
        <v>2592</v>
      </c>
      <c r="E667" s="202" t="s">
        <v>756</v>
      </c>
      <c r="F667" s="191" t="str">
        <f>VLOOKUP(MP_registro[[#This Row],[TAG]],'DB-EQUIPOS GEN'!$C$11:$H$833,2,0)</f>
        <v>Brix de masa B - Celda 4</v>
      </c>
      <c r="G667" s="191" t="str">
        <f>VLOOKUP(MP_registro[[#This Row],[TAG]],'DB-EQUIPOS GEN'!$C$11:$H$833,3,0)</f>
        <v>PRODUCCION</v>
      </c>
      <c r="H667" s="191" t="str">
        <f>VLOOKUP(MP_registro[[#This Row],[TAG]],'DB-EQUIPOS GEN'!$C$11:$H$833,4,0)</f>
        <v>CRISTALIZACION POR COCCION</v>
      </c>
      <c r="I667" s="191" t="str">
        <f>VLOOKUP(MP_registro[[#This Row],[TAG]],'DB-EQUIPOS GEN'!$C$11:$H$833,5,0)</f>
        <v xml:space="preserve">TACHO CONTINUO B </v>
      </c>
      <c r="J667" s="191" t="str">
        <f>VLOOKUP(MP_registro[[#This Row],[TAG]],'DB-EQUIPOS GEN'!$C$11:$H$833,6,0)</f>
        <v xml:space="preserve"> 0335HX230</v>
      </c>
      <c r="K667" s="192">
        <v>44779</v>
      </c>
      <c r="L667" s="193" t="s">
        <v>247</v>
      </c>
      <c r="M66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67" s="201" t="s">
        <v>1664</v>
      </c>
      <c r="O667" s="64" t="s">
        <v>1696</v>
      </c>
    </row>
    <row r="668" spans="1:15" ht="33" customHeight="1">
      <c r="A668" s="64">
        <v>667</v>
      </c>
      <c r="B668" s="199" t="s">
        <v>2565</v>
      </c>
      <c r="C668" s="64" t="s">
        <v>2566</v>
      </c>
      <c r="D668" s="191" t="s">
        <v>2593</v>
      </c>
      <c r="E668" s="202" t="s">
        <v>758</v>
      </c>
      <c r="F668" s="191" t="str">
        <f>VLOOKUP(MP_registro[[#This Row],[TAG]],'DB-EQUIPOS GEN'!$C$11:$H$833,2,0)</f>
        <v>Brix de masa B - Celda 5</v>
      </c>
      <c r="G668" s="191" t="str">
        <f>VLOOKUP(MP_registro[[#This Row],[TAG]],'DB-EQUIPOS GEN'!$C$11:$H$833,3,0)</f>
        <v>PRODUCCION</v>
      </c>
      <c r="H668" s="191" t="str">
        <f>VLOOKUP(MP_registro[[#This Row],[TAG]],'DB-EQUIPOS GEN'!$C$11:$H$833,4,0)</f>
        <v>CRISTALIZACION POR COCCION</v>
      </c>
      <c r="I668" s="191" t="str">
        <f>VLOOKUP(MP_registro[[#This Row],[TAG]],'DB-EQUIPOS GEN'!$C$11:$H$833,5,0)</f>
        <v xml:space="preserve">TACHO CONTINUO B </v>
      </c>
      <c r="J668" s="191" t="str">
        <f>VLOOKUP(MP_registro[[#This Row],[TAG]],'DB-EQUIPOS GEN'!$C$11:$H$833,6,0)</f>
        <v xml:space="preserve"> 0335HX230</v>
      </c>
      <c r="K668" s="192">
        <v>44779</v>
      </c>
      <c r="L668" s="193" t="s">
        <v>247</v>
      </c>
      <c r="M66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68" s="201" t="s">
        <v>1664</v>
      </c>
      <c r="O668" s="64" t="s">
        <v>1696</v>
      </c>
    </row>
    <row r="669" spans="1:15" ht="33" customHeight="1">
      <c r="A669" s="65">
        <v>668</v>
      </c>
      <c r="B669" s="199" t="s">
        <v>2565</v>
      </c>
      <c r="C669" s="64" t="s">
        <v>2566</v>
      </c>
      <c r="D669" s="191" t="s">
        <v>2594</v>
      </c>
      <c r="E669" s="204" t="s">
        <v>760</v>
      </c>
      <c r="F669" s="191" t="str">
        <f>VLOOKUP(MP_registro[[#This Row],[TAG]],'DB-EQUIPOS GEN'!$C$11:$H$833,2,0)</f>
        <v>Brix de masa B - Celda 6</v>
      </c>
      <c r="G669" s="191" t="str">
        <f>VLOOKUP(MP_registro[[#This Row],[TAG]],'DB-EQUIPOS GEN'!$C$11:$H$833,3,0)</f>
        <v>PRODUCCION</v>
      </c>
      <c r="H669" s="191" t="str">
        <f>VLOOKUP(MP_registro[[#This Row],[TAG]],'DB-EQUIPOS GEN'!$C$11:$H$833,4,0)</f>
        <v>CRISTALIZACION POR COCCION</v>
      </c>
      <c r="I669" s="191" t="str">
        <f>VLOOKUP(MP_registro[[#This Row],[TAG]],'DB-EQUIPOS GEN'!$C$11:$H$833,5,0)</f>
        <v xml:space="preserve">TACHO CONTINUO B </v>
      </c>
      <c r="J669" s="191" t="str">
        <f>VLOOKUP(MP_registro[[#This Row],[TAG]],'DB-EQUIPOS GEN'!$C$11:$H$833,6,0)</f>
        <v xml:space="preserve"> 0335HX230</v>
      </c>
      <c r="K669" s="192">
        <v>44779</v>
      </c>
      <c r="L669" s="193" t="s">
        <v>245</v>
      </c>
      <c r="M66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69" s="201" t="s">
        <v>1664</v>
      </c>
      <c r="O669" s="64" t="s">
        <v>1696</v>
      </c>
    </row>
    <row r="670" spans="1:15" ht="33" customHeight="1">
      <c r="A670" s="64">
        <v>669</v>
      </c>
      <c r="B670" s="199" t="s">
        <v>2565</v>
      </c>
      <c r="C670" s="64" t="s">
        <v>2566</v>
      </c>
      <c r="D670" s="191" t="s">
        <v>2595</v>
      </c>
      <c r="E670" s="204" t="s">
        <v>762</v>
      </c>
      <c r="F670" s="191" t="str">
        <f>VLOOKUP(MP_registro[[#This Row],[TAG]],'DB-EQUIPOS GEN'!$C$11:$H$833,2,0)</f>
        <v>Brix de masa B - Celda 7</v>
      </c>
      <c r="G670" s="191" t="str">
        <f>VLOOKUP(MP_registro[[#This Row],[TAG]],'DB-EQUIPOS GEN'!$C$11:$H$833,3,0)</f>
        <v>PRODUCCION</v>
      </c>
      <c r="H670" s="191" t="str">
        <f>VLOOKUP(MP_registro[[#This Row],[TAG]],'DB-EQUIPOS GEN'!$C$11:$H$833,4,0)</f>
        <v>CRISTALIZACION POR COCCION</v>
      </c>
      <c r="I670" s="191" t="str">
        <f>VLOOKUP(MP_registro[[#This Row],[TAG]],'DB-EQUIPOS GEN'!$C$11:$H$833,5,0)</f>
        <v xml:space="preserve">TACHO CONTINUO B </v>
      </c>
      <c r="J670" s="191" t="str">
        <f>VLOOKUP(MP_registro[[#This Row],[TAG]],'DB-EQUIPOS GEN'!$C$11:$H$833,6,0)</f>
        <v xml:space="preserve"> 0335HX230</v>
      </c>
      <c r="K670" s="192">
        <v>44779</v>
      </c>
      <c r="L670" s="193" t="s">
        <v>245</v>
      </c>
      <c r="M67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70" s="201" t="s">
        <v>1664</v>
      </c>
      <c r="O670" s="64" t="s">
        <v>1696</v>
      </c>
    </row>
    <row r="671" spans="1:15" ht="33" customHeight="1">
      <c r="A671" s="65">
        <v>670</v>
      </c>
      <c r="B671" s="199" t="s">
        <v>2565</v>
      </c>
      <c r="C671" s="64" t="s">
        <v>2566</v>
      </c>
      <c r="D671" s="191" t="s">
        <v>2596</v>
      </c>
      <c r="E671" s="204" t="s">
        <v>764</v>
      </c>
      <c r="F671" s="191" t="str">
        <f>VLOOKUP(MP_registro[[#This Row],[TAG]],'DB-EQUIPOS GEN'!$C$11:$H$833,2,0)</f>
        <v>Brix de masa B - Celda 8</v>
      </c>
      <c r="G671" s="191" t="str">
        <f>VLOOKUP(MP_registro[[#This Row],[TAG]],'DB-EQUIPOS GEN'!$C$11:$H$833,3,0)</f>
        <v>PRODUCCION</v>
      </c>
      <c r="H671" s="191" t="str">
        <f>VLOOKUP(MP_registro[[#This Row],[TAG]],'DB-EQUIPOS GEN'!$C$11:$H$833,4,0)</f>
        <v>CRISTALIZACION POR COCCION</v>
      </c>
      <c r="I671" s="191" t="str">
        <f>VLOOKUP(MP_registro[[#This Row],[TAG]],'DB-EQUIPOS GEN'!$C$11:$H$833,5,0)</f>
        <v xml:space="preserve">TACHO CONTINUO B </v>
      </c>
      <c r="J671" s="191" t="str">
        <f>VLOOKUP(MP_registro[[#This Row],[TAG]],'DB-EQUIPOS GEN'!$C$11:$H$833,6,0)</f>
        <v xml:space="preserve"> 0335HX230</v>
      </c>
      <c r="K671" s="192">
        <v>44779</v>
      </c>
      <c r="L671" s="193" t="s">
        <v>245</v>
      </c>
      <c r="M67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71" s="201" t="s">
        <v>1664</v>
      </c>
      <c r="O671" s="64" t="s">
        <v>1696</v>
      </c>
    </row>
    <row r="672" spans="1:15" ht="33" customHeight="1">
      <c r="A672" s="64">
        <v>671</v>
      </c>
      <c r="B672" s="199" t="s">
        <v>2565</v>
      </c>
      <c r="C672" s="64" t="s">
        <v>2566</v>
      </c>
      <c r="D672" s="191" t="s">
        <v>2597</v>
      </c>
      <c r="E672" s="204" t="s">
        <v>766</v>
      </c>
      <c r="F672" s="191" t="str">
        <f>VLOOKUP(MP_registro[[#This Row],[TAG]],'DB-EQUIPOS GEN'!$C$11:$H$833,2,0)</f>
        <v>Brix de masa C - Celda 1</v>
      </c>
      <c r="G672" s="191" t="str">
        <f>VLOOKUP(MP_registro[[#This Row],[TAG]],'DB-EQUIPOS GEN'!$C$11:$H$833,3,0)</f>
        <v>PRODUCCION</v>
      </c>
      <c r="H672" s="191" t="str">
        <f>VLOOKUP(MP_registro[[#This Row],[TAG]],'DB-EQUIPOS GEN'!$C$11:$H$833,4,0)</f>
        <v>CRISTALIZACION POR COCCION</v>
      </c>
      <c r="I672" s="191" t="str">
        <f>VLOOKUP(MP_registro[[#This Row],[TAG]],'DB-EQUIPOS GEN'!$C$11:$H$833,5,0)</f>
        <v xml:space="preserve">TACHO CONTINUO C </v>
      </c>
      <c r="J672" s="191" t="str">
        <f>VLOOKUP(MP_registro[[#This Row],[TAG]],'DB-EQUIPOS GEN'!$C$11:$H$833,6,0)</f>
        <v xml:space="preserve"> 0335HX260</v>
      </c>
      <c r="K672" s="192">
        <v>44779</v>
      </c>
      <c r="L672" s="193" t="s">
        <v>245</v>
      </c>
      <c r="M672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72" s="201" t="s">
        <v>1664</v>
      </c>
      <c r="O672" s="64" t="s">
        <v>1696</v>
      </c>
    </row>
    <row r="673" spans="1:15" ht="33" customHeight="1">
      <c r="A673" s="65">
        <v>672</v>
      </c>
      <c r="B673" s="199" t="s">
        <v>2565</v>
      </c>
      <c r="C673" s="64" t="s">
        <v>2566</v>
      </c>
      <c r="D673" s="191" t="s">
        <v>2598</v>
      </c>
      <c r="E673" s="204" t="s">
        <v>2416</v>
      </c>
      <c r="F673" s="191" t="str">
        <f>VLOOKUP(MP_registro[[#This Row],[TAG]],'DB-EQUIPOS GEN'!$C$11:$H$833,2,0)</f>
        <v>Vista Conductor Auxiliar - Superior</v>
      </c>
      <c r="G673" s="191" t="str">
        <f>VLOOKUP(MP_registro[[#This Row],[TAG]],'DB-EQUIPOS GEN'!$C$11:$H$833,3,0)</f>
        <v>EXTRACCION</v>
      </c>
      <c r="H673" s="191" t="str">
        <f>VLOOKUP(MP_registro[[#This Row],[TAG]],'DB-EQUIPOS GEN'!$C$11:$H$833,4,0)</f>
        <v>PREPARACIÓN DE CAÑA</v>
      </c>
      <c r="I673" s="191" t="str">
        <f>VLOOKUP(MP_registro[[#This Row],[TAG]],'DB-EQUIPOS GEN'!$C$11:$H$833,5,0)</f>
        <v>CONDUCTOR AUXILIAR DE CAÑA</v>
      </c>
      <c r="J673" s="191" t="str">
        <f>VLOOKUP(MP_registro[[#This Row],[TAG]],'DB-EQUIPOS GEN'!$C$11:$H$833,6,0)</f>
        <v>0115CV010</v>
      </c>
      <c r="K673" s="192">
        <v>44779</v>
      </c>
      <c r="L673" s="193" t="s">
        <v>245</v>
      </c>
      <c r="M67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73" s="201" t="s">
        <v>1664</v>
      </c>
      <c r="O673" s="64" t="s">
        <v>1696</v>
      </c>
    </row>
    <row r="674" spans="1:15" ht="33" customHeight="1">
      <c r="A674" s="64">
        <v>673</v>
      </c>
      <c r="B674" s="199" t="s">
        <v>2565</v>
      </c>
      <c r="C674" s="64" t="s">
        <v>2566</v>
      </c>
      <c r="D674" s="191" t="s">
        <v>2599</v>
      </c>
      <c r="E674" s="204" t="s">
        <v>2406</v>
      </c>
      <c r="F674" s="191" t="str">
        <f>VLOOKUP(MP_registro[[#This Row],[TAG]],'DB-EQUIPOS GEN'!$C$11:$H$833,2,0)</f>
        <v>Vista Mesa de Caña - Descarga de Tetras</v>
      </c>
      <c r="G674" s="191" t="str">
        <f>VLOOKUP(MP_registro[[#This Row],[TAG]],'DB-EQUIPOS GEN'!$C$11:$H$833,3,0)</f>
        <v>EXTRACCION</v>
      </c>
      <c r="H674" s="191" t="str">
        <f>VLOOKUP(MP_registro[[#This Row],[TAG]],'DB-EQUIPOS GEN'!$C$11:$H$833,4,0)</f>
        <v>RECEPCIÓN DE CAÑA</v>
      </c>
      <c r="I674" s="191" t="str">
        <f>VLOOKUP(MP_registro[[#This Row],[TAG]],'DB-EQUIPOS GEN'!$C$11:$H$833,5,0)</f>
        <v>MESA DE CAÑA</v>
      </c>
      <c r="J674" s="191" t="str">
        <f>VLOOKUP(MP_registro[[#This Row],[TAG]],'DB-EQUIPOS GEN'!$C$11:$H$833,6,0)</f>
        <v>0110FE019</v>
      </c>
      <c r="K674" s="192">
        <v>44779</v>
      </c>
      <c r="L674" s="193" t="s">
        <v>245</v>
      </c>
      <c r="M67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74" s="201" t="s">
        <v>1664</v>
      </c>
      <c r="O674" s="64" t="s">
        <v>1696</v>
      </c>
    </row>
    <row r="675" spans="1:15" ht="33" customHeight="1">
      <c r="A675" s="65">
        <v>674</v>
      </c>
      <c r="B675" s="199" t="s">
        <v>2565</v>
      </c>
      <c r="C675" s="64" t="s">
        <v>2566</v>
      </c>
      <c r="D675" s="191" t="s">
        <v>2600</v>
      </c>
      <c r="E675" s="204" t="s">
        <v>768</v>
      </c>
      <c r="F675" s="191" t="str">
        <f>VLOOKUP(MP_registro[[#This Row],[TAG]],'DB-EQUIPOS GEN'!$C$11:$H$833,2,0)</f>
        <v>Brix de masa C - Celda 2</v>
      </c>
      <c r="G675" s="191" t="str">
        <f>VLOOKUP(MP_registro[[#This Row],[TAG]],'DB-EQUIPOS GEN'!$C$11:$H$833,3,0)</f>
        <v>PRODUCCION</v>
      </c>
      <c r="H675" s="191" t="str">
        <f>VLOOKUP(MP_registro[[#This Row],[TAG]],'DB-EQUIPOS GEN'!$C$11:$H$833,4,0)</f>
        <v>CRISTALIZACION POR COCCION</v>
      </c>
      <c r="I675" s="191" t="str">
        <f>VLOOKUP(MP_registro[[#This Row],[TAG]],'DB-EQUIPOS GEN'!$C$11:$H$833,5,0)</f>
        <v xml:space="preserve">TACHO CONTINUO C </v>
      </c>
      <c r="J675" s="191" t="str">
        <f>VLOOKUP(MP_registro[[#This Row],[TAG]],'DB-EQUIPOS GEN'!$C$11:$H$833,6,0)</f>
        <v xml:space="preserve"> 0335HX260</v>
      </c>
      <c r="K675" s="192">
        <v>44780</v>
      </c>
      <c r="L675" s="193" t="s">
        <v>245</v>
      </c>
      <c r="M67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75" s="201" t="s">
        <v>1664</v>
      </c>
      <c r="O675" s="64" t="s">
        <v>1696</v>
      </c>
    </row>
    <row r="676" spans="1:15" ht="33" customHeight="1">
      <c r="A676" s="64">
        <v>675</v>
      </c>
      <c r="B676" s="199" t="s">
        <v>2565</v>
      </c>
      <c r="C676" s="64" t="s">
        <v>2566</v>
      </c>
      <c r="D676" s="191" t="s">
        <v>2601</v>
      </c>
      <c r="E676" s="204" t="s">
        <v>774</v>
      </c>
      <c r="F676" s="191" t="str">
        <f>VLOOKUP(MP_registro[[#This Row],[TAG]],'DB-EQUIPOS GEN'!$C$11:$H$833,2,0)</f>
        <v>Brix de masa C - Celda 5</v>
      </c>
      <c r="G676" s="191" t="str">
        <f>VLOOKUP(MP_registro[[#This Row],[TAG]],'DB-EQUIPOS GEN'!$C$11:$H$833,3,0)</f>
        <v>PRODUCCION</v>
      </c>
      <c r="H676" s="191" t="str">
        <f>VLOOKUP(MP_registro[[#This Row],[TAG]],'DB-EQUIPOS GEN'!$C$11:$H$833,4,0)</f>
        <v>CRISTALIZACION POR COCCION</v>
      </c>
      <c r="I676" s="191" t="str">
        <f>VLOOKUP(MP_registro[[#This Row],[TAG]],'DB-EQUIPOS GEN'!$C$11:$H$833,5,0)</f>
        <v xml:space="preserve">TACHO CONTINUO C </v>
      </c>
      <c r="J676" s="191" t="str">
        <f>VLOOKUP(MP_registro[[#This Row],[TAG]],'DB-EQUIPOS GEN'!$C$11:$H$833,6,0)</f>
        <v xml:space="preserve"> 0335HX260</v>
      </c>
      <c r="K676" s="192">
        <v>44780</v>
      </c>
      <c r="L676" s="193" t="s">
        <v>245</v>
      </c>
      <c r="M67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76" s="201" t="s">
        <v>1664</v>
      </c>
      <c r="O676" s="64" t="s">
        <v>1696</v>
      </c>
    </row>
    <row r="677" spans="1:15" ht="33" customHeight="1">
      <c r="A677" s="65">
        <v>676</v>
      </c>
      <c r="B677" s="199" t="s">
        <v>2565</v>
      </c>
      <c r="C677" s="64" t="s">
        <v>2566</v>
      </c>
      <c r="D677" s="191" t="s">
        <v>2602</v>
      </c>
      <c r="E677" s="204" t="s">
        <v>1694</v>
      </c>
      <c r="F677" s="191" t="str">
        <f>VLOOKUP(MP_registro[[#This Row],[TAG]],'DB-EQUIPOS GEN'!$C$11:$H$833,2,0)</f>
        <v>Aire Instrumentacion p/ Caldera</v>
      </c>
      <c r="G677" s="191" t="str">
        <f>VLOOKUP(MP_registro[[#This Row],[TAG]],'DB-EQUIPOS GEN'!$C$11:$H$833,3,0)</f>
        <v>E. ELECTRICA</v>
      </c>
      <c r="H677" s="191" t="str">
        <f>VLOOKUP(MP_registro[[#This Row],[TAG]],'DB-EQUIPOS GEN'!$C$11:$H$833,4,0)</f>
        <v>GENERACION ENERG. ELEC. TURBO GENERADOR</v>
      </c>
      <c r="I677" s="191" t="str">
        <f>VLOOKUP(MP_registro[[#This Row],[TAG]],'DB-EQUIPOS GEN'!$C$11:$H$833,5,0)</f>
        <v/>
      </c>
      <c r="J677" s="191" t="str">
        <f>VLOOKUP(MP_registro[[#This Row],[TAG]],'DB-EQUIPOS GEN'!$C$11:$H$833,6,0)</f>
        <v/>
      </c>
      <c r="K677" s="192">
        <v>44780</v>
      </c>
      <c r="L677" s="193" t="s">
        <v>247</v>
      </c>
      <c r="M67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77" s="201" t="s">
        <v>1664</v>
      </c>
      <c r="O677" s="64" t="s">
        <v>1696</v>
      </c>
    </row>
    <row r="678" spans="1:15" ht="33" customHeight="1">
      <c r="A678" s="64">
        <v>677</v>
      </c>
      <c r="B678" s="199" t="s">
        <v>2565</v>
      </c>
      <c r="C678" s="64" t="s">
        <v>2566</v>
      </c>
      <c r="D678" s="191" t="s">
        <v>2603</v>
      </c>
      <c r="E678" s="204" t="s">
        <v>1644</v>
      </c>
      <c r="F678" s="191" t="str">
        <f>VLOOKUP(MP_registro[[#This Row],[TAG]],'DB-EQUIPOS GEN'!$C$11:$H$833,2,0)</f>
        <v>Explanada de Turbina Triveni</v>
      </c>
      <c r="G678" s="191" t="str">
        <f>VLOOKUP(MP_registro[[#This Row],[TAG]],'DB-EQUIPOS GEN'!$C$11:$H$833,3,0)</f>
        <v>E. ELECTRICA</v>
      </c>
      <c r="H678" s="191" t="str">
        <f>VLOOKUP(MP_registro[[#This Row],[TAG]],'DB-EQUIPOS GEN'!$C$11:$H$833,4,0)</f>
        <v>GENERACIÓN ENERG. ELEC. TURBO GENERADOR</v>
      </c>
      <c r="I678" s="191" t="str">
        <f>VLOOKUP(MP_registro[[#This Row],[TAG]],'DB-EQUIPOS GEN'!$C$11:$H$833,5,0)</f>
        <v>TURBOGENERADOR TRIVENI 23.2 MW</v>
      </c>
      <c r="J678" s="191" t="str">
        <f>VLOOKUP(MP_registro[[#This Row],[TAG]],'DB-EQUIPOS GEN'!$C$11:$H$833,6,0)</f>
        <v>0430TG020</v>
      </c>
      <c r="K678" s="192">
        <v>44780</v>
      </c>
      <c r="L678" s="193" t="s">
        <v>245</v>
      </c>
      <c r="M67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78" s="201" t="s">
        <v>1664</v>
      </c>
      <c r="O678" s="64" t="s">
        <v>1696</v>
      </c>
    </row>
    <row r="679" spans="1:15" ht="33" customHeight="1">
      <c r="A679" s="218">
        <v>678</v>
      </c>
      <c r="B679" s="219" t="s">
        <v>2565</v>
      </c>
      <c r="C679" s="64" t="s">
        <v>2566</v>
      </c>
      <c r="D679" s="191" t="s">
        <v>2604</v>
      </c>
      <c r="E679" s="204" t="s">
        <v>1647</v>
      </c>
      <c r="F679" s="191" t="str">
        <f>VLOOKUP(MP_registro[[#This Row],[TAG]],'DB-EQUIPOS GEN'!$C$11:$H$833,2,0)</f>
        <v>Explanada frontal de Turbina Triveni</v>
      </c>
      <c r="G679" s="191" t="str">
        <f>VLOOKUP(MP_registro[[#This Row],[TAG]],'DB-EQUIPOS GEN'!$C$11:$H$833,3,0)</f>
        <v>E. ELECTRICA</v>
      </c>
      <c r="H679" s="191" t="str">
        <f>VLOOKUP(MP_registro[[#This Row],[TAG]],'DB-EQUIPOS GEN'!$C$11:$H$833,4,0)</f>
        <v>GENERACIÓN ENERG. ELEC. TURBO GENERADOR</v>
      </c>
      <c r="I679" s="191" t="str">
        <f>VLOOKUP(MP_registro[[#This Row],[TAG]],'DB-EQUIPOS GEN'!$C$11:$H$833,5,0)</f>
        <v>TURBOGENERADOR TRIVENI 23.2 MW</v>
      </c>
      <c r="J679" s="191" t="str">
        <f>VLOOKUP(MP_registro[[#This Row],[TAG]],'DB-EQUIPOS GEN'!$C$11:$H$833,6,0)</f>
        <v>0430TG020</v>
      </c>
      <c r="K679" s="192">
        <v>44780</v>
      </c>
      <c r="L679" s="193" t="s">
        <v>245</v>
      </c>
      <c r="M67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79" s="201" t="s">
        <v>1664</v>
      </c>
      <c r="O679" s="64" t="s">
        <v>1696</v>
      </c>
    </row>
    <row r="680" spans="1:15" ht="33" customHeight="1">
      <c r="A680" s="218">
        <v>679</v>
      </c>
      <c r="B680" s="219" t="s">
        <v>2565</v>
      </c>
      <c r="C680" s="64" t="s">
        <v>2608</v>
      </c>
      <c r="D680" s="191" t="s">
        <v>2610</v>
      </c>
      <c r="E680" s="204" t="s">
        <v>1178</v>
      </c>
      <c r="F680" s="191" t="str">
        <f>VLOOKUP(MP_registro[[#This Row],[TAG]],'DB-EQUIPOS GEN'!$C$11:$H$833,2,0)</f>
        <v>Valvula control de nivel FFE - 4B</v>
      </c>
      <c r="G680" s="191" t="str">
        <f>VLOOKUP(MP_registro[[#This Row],[TAG]],'DB-EQUIPOS GEN'!$C$11:$H$833,3,0)</f>
        <v>PRODUCCION</v>
      </c>
      <c r="H680" s="191" t="str">
        <f>VLOOKUP(MP_registro[[#This Row],[TAG]],'DB-EQUIPOS GEN'!$C$11:$H$833,4,0)</f>
        <v>EVAPORACION DE JUGO</v>
      </c>
      <c r="I680" s="191" t="str">
        <f>VLOOKUP(MP_registro[[#This Row],[TAG]],'DB-EQUIPOS GEN'!$C$11:$H$833,5,0)</f>
        <v>EVAPORADOR FFE 4B</v>
      </c>
      <c r="J680" s="191" t="str">
        <f>VLOOKUP(MP_registro[[#This Row],[TAG]],'DB-EQUIPOS GEN'!$C$11:$H$833,6,0)</f>
        <v>0320EV070</v>
      </c>
      <c r="K680" s="192">
        <v>44781</v>
      </c>
      <c r="L680" s="193" t="s">
        <v>247</v>
      </c>
      <c r="M680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80" s="201" t="s">
        <v>1664</v>
      </c>
      <c r="O680" s="64" t="s">
        <v>1696</v>
      </c>
    </row>
    <row r="681" spans="1:15" ht="33" customHeight="1">
      <c r="A681" s="218">
        <v>680</v>
      </c>
      <c r="B681" s="219" t="s">
        <v>2565</v>
      </c>
      <c r="C681" s="64" t="s">
        <v>2608</v>
      </c>
      <c r="D681" s="191" t="s">
        <v>2611</v>
      </c>
      <c r="E681" s="204" t="s">
        <v>1657</v>
      </c>
      <c r="F681" s="191" t="str">
        <f>VLOOKUP(MP_registro[[#This Row],[TAG]],'DB-EQUIPOS GEN'!$C$11:$H$833,2,0)</f>
        <v>Pug mill B, Cabezal C de centrifugas continuas</v>
      </c>
      <c r="G681" s="191" t="str">
        <f>VLOOKUP(MP_registro[[#This Row],[TAG]],'DB-EQUIPOS GEN'!$C$11:$H$833,3,0)</f>
        <v>PRODUCCION</v>
      </c>
      <c r="H681" s="191" t="str">
        <f>VLOOKUP(MP_registro[[#This Row],[TAG]],'DB-EQUIPOS GEN'!$C$11:$H$833,4,0)</f>
        <v>CENTRIFUGACIÓN DE AZÚCAR</v>
      </c>
      <c r="I681" s="191" t="str">
        <f>VLOOKUP(MP_registro[[#This Row],[TAG]],'DB-EQUIPOS GEN'!$C$11:$H$833,5,0)</f>
        <v>PUG MILL - B</v>
      </c>
      <c r="J681" s="191" t="str">
        <f>VLOOKUP(MP_registro[[#This Row],[TAG]],'DB-EQUIPOS GEN'!$C$11:$H$833,6,0)</f>
        <v>0345MM020</v>
      </c>
      <c r="K681" s="192">
        <v>44781</v>
      </c>
      <c r="L681" s="193" t="s">
        <v>245</v>
      </c>
      <c r="M68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81" s="201" t="s">
        <v>1664</v>
      </c>
      <c r="O681" s="64" t="s">
        <v>1696</v>
      </c>
    </row>
    <row r="682" spans="1:15" ht="33" customHeight="1">
      <c r="A682" s="218">
        <v>681</v>
      </c>
      <c r="B682" s="219" t="s">
        <v>2565</v>
      </c>
      <c r="C682" s="64" t="s">
        <v>2608</v>
      </c>
      <c r="D682" s="191" t="s">
        <v>2612</v>
      </c>
      <c r="E682" s="204" t="s">
        <v>1653</v>
      </c>
      <c r="F682" s="191" t="str">
        <f>VLOOKUP(MP_registro[[#This Row],[TAG]],'DB-EQUIPOS GEN'!$C$11:$H$833,2,0)</f>
        <v>Operación del desviador de bagazo</v>
      </c>
      <c r="G682" s="191" t="str">
        <f>VLOOKUP(MP_registro[[#This Row],[TAG]],'DB-EQUIPOS GEN'!$C$11:$H$833,3,0)</f>
        <v>E. TERMICA</v>
      </c>
      <c r="H682" s="191" t="str">
        <f>VLOOKUP(MP_registro[[#This Row],[TAG]],'DB-EQUIPOS GEN'!$C$11:$H$833,4,0)</f>
        <v>TRANSPORTE DE BAGAZO</v>
      </c>
      <c r="I682" s="191" t="str">
        <f>VLOOKUP(MP_registro[[#This Row],[TAG]],'DB-EQUIPOS GEN'!$C$11:$H$833,5,0)</f>
        <v>FAJA TRANSPORTADORA 1004</v>
      </c>
      <c r="J682" s="191" t="str">
        <f>VLOOKUP(MP_registro[[#This Row],[TAG]],'DB-EQUIPOS GEN'!$C$11:$H$833,6,0)</f>
        <v>0805CV070</v>
      </c>
      <c r="K682" s="192">
        <v>44781</v>
      </c>
      <c r="L682" s="193" t="s">
        <v>245</v>
      </c>
      <c r="M682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82" s="201" t="s">
        <v>1664</v>
      </c>
      <c r="O682" s="64" t="s">
        <v>1696</v>
      </c>
    </row>
    <row r="683" spans="1:15" ht="33" customHeight="1">
      <c r="A683" s="218">
        <v>682</v>
      </c>
      <c r="B683" s="219" t="s">
        <v>2565</v>
      </c>
      <c r="C683" s="64" t="s">
        <v>2608</v>
      </c>
      <c r="D683" s="191" t="s">
        <v>2613</v>
      </c>
      <c r="E683" s="204" t="s">
        <v>1655</v>
      </c>
      <c r="F683" s="191" t="str">
        <f>VLOOKUP(MP_registro[[#This Row],[TAG]],'DB-EQUIPOS GEN'!$C$11:$H$833,2,0)</f>
        <v>Vista global de planta de osmosis</v>
      </c>
      <c r="G683" s="191" t="str">
        <f>VLOOKUP(MP_registro[[#This Row],[TAG]],'DB-EQUIPOS GEN'!$C$11:$H$833,3,0)</f>
        <v>E. TERMICA</v>
      </c>
      <c r="H683" s="191" t="str">
        <f>VLOOKUP(MP_registro[[#This Row],[TAG]],'DB-EQUIPOS GEN'!$C$11:$H$833,4,0)</f>
        <v>PLANTA TRATAMIENTO OSMOSIS INVERSA</v>
      </c>
      <c r="I683" s="191" t="str">
        <f>VLOOKUP(MP_registro[[#This Row],[TAG]],'DB-EQUIPOS GEN'!$C$11:$H$833,5,0)</f>
        <v>PLANTA DE OSMOSIS INVERSA</v>
      </c>
      <c r="J683" s="191" t="str">
        <f>VLOOKUP(MP_registro[[#This Row],[TAG]],'DB-EQUIPOS GEN'!$C$11:$H$833,6,0)</f>
        <v>0425OI101</v>
      </c>
      <c r="K683" s="192">
        <v>44781</v>
      </c>
      <c r="L683" s="193" t="s">
        <v>245</v>
      </c>
      <c r="M68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83" s="201" t="s">
        <v>1664</v>
      </c>
      <c r="O683" s="64" t="s">
        <v>1696</v>
      </c>
    </row>
    <row r="684" spans="1:15" ht="33" customHeight="1">
      <c r="A684" s="218">
        <v>683</v>
      </c>
      <c r="B684" s="219" t="s">
        <v>2565</v>
      </c>
      <c r="C684" s="64" t="s">
        <v>2608</v>
      </c>
      <c r="D684" s="191" t="s">
        <v>2614</v>
      </c>
      <c r="E684" s="204" t="s">
        <v>2407</v>
      </c>
      <c r="F684" s="191" t="str">
        <f>VLOOKUP(MP_registro[[#This Row],[TAG]],'DB-EQUIPOS GEN'!$C$11:$H$833,2,0)</f>
        <v>Vista Molino Secador - Conductor Intermedio</v>
      </c>
      <c r="G684" s="191" t="str">
        <f>VLOOKUP(MP_registro[[#This Row],[TAG]],'DB-EQUIPOS GEN'!$C$11:$H$833,3,0)</f>
        <v>EXTRACCION</v>
      </c>
      <c r="H684" s="191" t="str">
        <f>VLOOKUP(MP_registro[[#This Row],[TAG]],'DB-EQUIPOS GEN'!$C$11:$H$833,4,0)</f>
        <v>MOLINOS</v>
      </c>
      <c r="I684" s="191" t="str">
        <f>VLOOKUP(MP_registro[[#This Row],[TAG]],'DB-EQUIPOS GEN'!$C$11:$H$833,5,0)</f>
        <v>CONDUCTOR INTERMEDIO - MOLINO SECADOR</v>
      </c>
      <c r="J684" s="191" t="str">
        <f>VLOOKUP(MP_registro[[#This Row],[TAG]],'DB-EQUIPOS GEN'!$C$11:$H$833,6,0)</f>
        <v>0210CV070</v>
      </c>
      <c r="K684" s="192">
        <v>44782</v>
      </c>
      <c r="L684" s="193" t="s">
        <v>245</v>
      </c>
      <c r="M68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84" s="201" t="s">
        <v>1664</v>
      </c>
      <c r="O684" s="64" t="s">
        <v>1696</v>
      </c>
    </row>
    <row r="685" spans="1:15" ht="33" customHeight="1">
      <c r="A685" s="218">
        <v>684</v>
      </c>
      <c r="B685" s="219" t="s">
        <v>2565</v>
      </c>
      <c r="C685" s="64" t="s">
        <v>2608</v>
      </c>
      <c r="D685" s="191" t="s">
        <v>2615</v>
      </c>
      <c r="E685" s="204" t="s">
        <v>1640</v>
      </c>
      <c r="F685" s="191" t="str">
        <f>VLOOKUP(MP_registro[[#This Row],[TAG]],'DB-EQUIPOS GEN'!$C$11:$H$833,2,0)</f>
        <v>Conductor de alimentación a difusor y retorno</v>
      </c>
      <c r="G685" s="191" t="str">
        <f>VLOOKUP(MP_registro[[#This Row],[TAG]],'DB-EQUIPOS GEN'!$C$11:$H$833,3,0)</f>
        <v>EXTRACCION</v>
      </c>
      <c r="H685" s="191" t="str">
        <f>VLOOKUP(MP_registro[[#This Row],[TAG]],'DB-EQUIPOS GEN'!$C$11:$H$833,4,0)</f>
        <v>PREPARACIÓN DE CAÑA</v>
      </c>
      <c r="I685" s="191" t="str">
        <f>VLOOKUP(MP_registro[[#This Row],[TAG]],'DB-EQUIPOS GEN'!$C$11:$H$833,5,0)</f>
        <v>CONDUCTOR DE RETORNO</v>
      </c>
      <c r="J685" s="191" t="str">
        <f>VLOOKUP(MP_registro[[#This Row],[TAG]],'DB-EQUIPOS GEN'!$C$11:$H$833,6,0)</f>
        <v>0115CV090</v>
      </c>
      <c r="K685" s="192">
        <v>44782</v>
      </c>
      <c r="L685" s="193" t="s">
        <v>245</v>
      </c>
      <c r="M68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85" s="201" t="s">
        <v>1664</v>
      </c>
      <c r="O685" s="64" t="s">
        <v>1696</v>
      </c>
    </row>
    <row r="686" spans="1:15" ht="33" customHeight="1">
      <c r="A686" s="218">
        <v>685</v>
      </c>
      <c r="B686" s="219" t="s">
        <v>2565</v>
      </c>
      <c r="C686" s="64" t="s">
        <v>2608</v>
      </c>
      <c r="D686" s="191" t="s">
        <v>2616</v>
      </c>
      <c r="E686" s="204" t="s">
        <v>1641</v>
      </c>
      <c r="F686" s="191" t="str">
        <f>VLOOKUP(MP_registro[[#This Row],[TAG]],'DB-EQUIPOS GEN'!$C$11:$H$833,2,0)</f>
        <v>Mesa de caña</v>
      </c>
      <c r="G686" s="191" t="str">
        <f>VLOOKUP(MP_registro[[#This Row],[TAG]],'DB-EQUIPOS GEN'!$C$11:$H$833,3,0)</f>
        <v>EXTRACCION</v>
      </c>
      <c r="H686" s="191" t="str">
        <f>VLOOKUP(MP_registro[[#This Row],[TAG]],'DB-EQUIPOS GEN'!$C$11:$H$833,4,0)</f>
        <v>RECEPCIÓN DE CAÑA</v>
      </c>
      <c r="I686" s="191" t="str">
        <f>VLOOKUP(MP_registro[[#This Row],[TAG]],'DB-EQUIPOS GEN'!$C$11:$H$833,5,0)</f>
        <v>MESA DE CAÑA</v>
      </c>
      <c r="J686" s="191" t="str">
        <f>VLOOKUP(MP_registro[[#This Row],[TAG]],'DB-EQUIPOS GEN'!$C$11:$H$833,6,0)</f>
        <v>0110FE019</v>
      </c>
      <c r="K686" s="192">
        <v>44782</v>
      </c>
      <c r="L686" s="193" t="s">
        <v>245</v>
      </c>
      <c r="M68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86" s="201" t="s">
        <v>1664</v>
      </c>
      <c r="O686" s="64" t="s">
        <v>1696</v>
      </c>
    </row>
    <row r="687" spans="1:15" ht="33" customHeight="1">
      <c r="A687" s="218">
        <v>686</v>
      </c>
      <c r="B687" s="219" t="s">
        <v>2565</v>
      </c>
      <c r="C687" s="64" t="s">
        <v>2608</v>
      </c>
      <c r="D687" s="191" t="s">
        <v>2617</v>
      </c>
      <c r="E687" s="204" t="s">
        <v>1642</v>
      </c>
      <c r="F687" s="191" t="str">
        <f>VLOOKUP(MP_registro[[#This Row],[TAG]],'DB-EQUIPOS GEN'!$C$11:$H$833,2,0)</f>
        <v>Salida de bagazo de molino secador</v>
      </c>
      <c r="G687" s="191" t="str">
        <f>VLOOKUP(MP_registro[[#This Row],[TAG]],'DB-EQUIPOS GEN'!$C$11:$H$833,3,0)</f>
        <v>EXTRACCION</v>
      </c>
      <c r="H687" s="191" t="str">
        <f>VLOOKUP(MP_registro[[#This Row],[TAG]],'DB-EQUIPOS GEN'!$C$11:$H$833,4,0)</f>
        <v>MOLINOS</v>
      </c>
      <c r="I687" s="191" t="str">
        <f>VLOOKUP(MP_registro[[#This Row],[TAG]],'DB-EQUIPOS GEN'!$C$11:$H$833,5,0)</f>
        <v>MOLINO SECADOR</v>
      </c>
      <c r="J687" s="191" t="str">
        <f>VLOOKUP(MP_registro[[#This Row],[TAG]],'DB-EQUIPOS GEN'!$C$11:$H$833,6,0)</f>
        <v>0210MM090</v>
      </c>
      <c r="K687" s="192">
        <v>44782</v>
      </c>
      <c r="L687" s="193" t="s">
        <v>245</v>
      </c>
      <c r="M68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87" s="201" t="s">
        <v>1664</v>
      </c>
      <c r="O687" s="64" t="s">
        <v>1696</v>
      </c>
    </row>
    <row r="688" spans="1:15" ht="33" customHeight="1">
      <c r="A688" s="218">
        <v>687</v>
      </c>
      <c r="B688" s="219" t="s">
        <v>2565</v>
      </c>
      <c r="C688" s="64" t="s">
        <v>2608</v>
      </c>
      <c r="D688" s="191" t="s">
        <v>2618</v>
      </c>
      <c r="E688" s="204" t="s">
        <v>1658</v>
      </c>
      <c r="F688" s="191" t="str">
        <f>VLOOKUP(MP_registro[[#This Row],[TAG]],'DB-EQUIPOS GEN'!$C$11:$H$833,2,0)</f>
        <v>Pug mill A - Centrifugas batch</v>
      </c>
      <c r="G688" s="191" t="str">
        <f>VLOOKUP(MP_registro[[#This Row],[TAG]],'DB-EQUIPOS GEN'!$C$11:$H$833,3,0)</f>
        <v>PRODUCCION</v>
      </c>
      <c r="H688" s="191" t="str">
        <f>VLOOKUP(MP_registro[[#This Row],[TAG]],'DB-EQUIPOS GEN'!$C$11:$H$833,4,0)</f>
        <v>CENTRIFUGACIÓN DE AZÚCAR</v>
      </c>
      <c r="I688" s="191" t="str">
        <f>VLOOKUP(MP_registro[[#This Row],[TAG]],'DB-EQUIPOS GEN'!$C$11:$H$833,5,0)</f>
        <v>PUG MILL - A</v>
      </c>
      <c r="J688" s="191" t="str">
        <f>VLOOKUP(MP_registro[[#This Row],[TAG]],'DB-EQUIPOS GEN'!$C$11:$H$833,6,0)</f>
        <v>0345MM010</v>
      </c>
      <c r="K688" s="192">
        <v>44782</v>
      </c>
      <c r="L688" s="193" t="s">
        <v>245</v>
      </c>
      <c r="M68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88" s="201" t="s">
        <v>1664</v>
      </c>
      <c r="O688" s="64" t="s">
        <v>1696</v>
      </c>
    </row>
    <row r="689" spans="1:15" ht="33" customHeight="1">
      <c r="A689" s="218">
        <v>688</v>
      </c>
      <c r="B689" s="219" t="s">
        <v>2565</v>
      </c>
      <c r="C689" s="64" t="s">
        <v>2608</v>
      </c>
      <c r="D689" s="191" t="s">
        <v>2619</v>
      </c>
      <c r="E689" s="204" t="s">
        <v>1659</v>
      </c>
      <c r="F689" s="191" t="str">
        <f>VLOOKUP(MP_registro[[#This Row],[TAG]],'DB-EQUIPOS GEN'!$C$11:$H$833,2,0)</f>
        <v>Vista global de tanques de jarabe 1,2 y 3</v>
      </c>
      <c r="G689" s="191" t="str">
        <f>VLOOKUP(MP_registro[[#This Row],[TAG]],'DB-EQUIPOS GEN'!$C$11:$H$833,3,0)</f>
        <v>PRODUCCION</v>
      </c>
      <c r="H689" s="191" t="str">
        <f>VLOOKUP(MP_registro[[#This Row],[TAG]],'DB-EQUIPOS GEN'!$C$11:$H$833,4,0)</f>
        <v>CRISTALIZACIÓN POR COCCIÓN</v>
      </c>
      <c r="I689" s="191" t="str">
        <f>VLOOKUP(MP_registro[[#This Row],[TAG]],'DB-EQUIPOS GEN'!$C$11:$H$833,5,0)</f>
        <v>TANQUE DE JARABE 1</v>
      </c>
      <c r="J689" s="191" t="str">
        <f>VLOOKUP(MP_registro[[#This Row],[TAG]],'DB-EQUIPOS GEN'!$C$11:$H$833,6,0)</f>
        <v>0335TK010</v>
      </c>
      <c r="K689" s="192">
        <v>44782</v>
      </c>
      <c r="L689" s="193" t="s">
        <v>247</v>
      </c>
      <c r="M68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89" s="201" t="s">
        <v>1664</v>
      </c>
      <c r="O689" s="64" t="s">
        <v>1696</v>
      </c>
    </row>
    <row r="690" spans="1:15" ht="33" customHeight="1">
      <c r="A690" s="218">
        <v>689</v>
      </c>
      <c r="B690" s="219" t="s">
        <v>2565</v>
      </c>
      <c r="C690" s="64" t="s">
        <v>2608</v>
      </c>
      <c r="D690" s="191" t="s">
        <v>2620</v>
      </c>
      <c r="E690" s="204" t="s">
        <v>1660</v>
      </c>
      <c r="F690" s="191" t="str">
        <f>VLOOKUP(MP_registro[[#This Row],[TAG]],'DB-EQUIPOS GEN'!$C$11:$H$833,2,0)</f>
        <v>Vista global de tacho continuo A.</v>
      </c>
      <c r="G690" s="191" t="str">
        <f>VLOOKUP(MP_registro[[#This Row],[TAG]],'DB-EQUIPOS GEN'!$C$11:$H$833,3,0)</f>
        <v>PRODUCCION</v>
      </c>
      <c r="H690" s="191" t="str">
        <f>VLOOKUP(MP_registro[[#This Row],[TAG]],'DB-EQUIPOS GEN'!$C$11:$H$833,4,0)</f>
        <v>CRISTALIZACIÓN POR COCCIÓN</v>
      </c>
      <c r="I690" s="191" t="str">
        <f>VLOOKUP(MP_registro[[#This Row],[TAG]],'DB-EQUIPOS GEN'!$C$11:$H$833,5,0)</f>
        <v>TACHO CONTINUO - A</v>
      </c>
      <c r="J690" s="191" t="str">
        <f>VLOOKUP(MP_registro[[#This Row],[TAG]],'DB-EQUIPOS GEN'!$C$11:$H$833,6,0)</f>
        <v>0335HX200</v>
      </c>
      <c r="K690" s="192">
        <v>44782</v>
      </c>
      <c r="L690" s="193" t="s">
        <v>245</v>
      </c>
      <c r="M69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90" s="201" t="s">
        <v>1664</v>
      </c>
      <c r="O690" s="64" t="s">
        <v>1696</v>
      </c>
    </row>
    <row r="691" spans="1:15" ht="33" customHeight="1">
      <c r="A691" s="218">
        <v>690</v>
      </c>
      <c r="B691" s="219" t="s">
        <v>2565</v>
      </c>
      <c r="C691" s="64" t="s">
        <v>2608</v>
      </c>
      <c r="D691" s="191" t="s">
        <v>2621</v>
      </c>
      <c r="E691" s="204" t="s">
        <v>1649</v>
      </c>
      <c r="F691" s="191" t="str">
        <f>VLOOKUP(MP_registro[[#This Row],[TAG]],'DB-EQUIPOS GEN'!$C$11:$H$833,2,0)</f>
        <v>Chute alimentadores de bagazo</v>
      </c>
      <c r="G691" s="191" t="str">
        <f>VLOOKUP(MP_registro[[#This Row],[TAG]],'DB-EQUIPOS GEN'!$C$11:$H$833,3,0)</f>
        <v>E. TERMICA</v>
      </c>
      <c r="H691" s="191" t="str">
        <f>VLOOKUP(MP_registro[[#This Row],[TAG]],'DB-EQUIPOS GEN'!$C$11:$H$833,4,0)</f>
        <v>TRANSPORTE DE BAGAZO</v>
      </c>
      <c r="I691" s="191" t="str">
        <f>VLOOKUP(MP_registro[[#This Row],[TAG]],'DB-EQUIPOS GEN'!$C$11:$H$833,5,0)</f>
        <v>ALIMENTADOR DE BAGAZO 1</v>
      </c>
      <c r="J691" s="191" t="str">
        <f>VLOOKUP(MP_registro[[#This Row],[TAG]],'DB-EQUIPOS GEN'!$C$11:$H$833,6,0)</f>
        <v>0405RV240</v>
      </c>
      <c r="K691" s="192">
        <v>44782</v>
      </c>
      <c r="L691" s="193"/>
      <c r="M691" s="77"/>
      <c r="N691" s="201" t="s">
        <v>1695</v>
      </c>
      <c r="O691" s="64" t="s">
        <v>1696</v>
      </c>
    </row>
    <row r="692" spans="1:15" ht="33" customHeight="1">
      <c r="A692" s="218">
        <v>691</v>
      </c>
      <c r="B692" s="219" t="s">
        <v>2565</v>
      </c>
      <c r="C692" s="64" t="s">
        <v>2608</v>
      </c>
      <c r="D692" s="191" t="s">
        <v>2622</v>
      </c>
      <c r="E692" s="204" t="s">
        <v>252</v>
      </c>
      <c r="F692" s="191" t="str">
        <f>VLOOKUP(MP_registro[[#This Row],[TAG]],'DB-EQUIPOS GEN'!$C$11:$H$833,2,0)</f>
        <v>Valvula reductora 2</v>
      </c>
      <c r="G692" s="191" t="str">
        <f>VLOOKUP(MP_registro[[#This Row],[TAG]],'DB-EQUIPOS GEN'!$C$11:$H$833,3,0)</f>
        <v>E. TERMICA</v>
      </c>
      <c r="H692" s="191" t="str">
        <f>VLOOKUP(MP_registro[[#This Row],[TAG]],'DB-EQUIPOS GEN'!$C$11:$H$833,4,0)</f>
        <v>DISTRIBUCION DE VAPOR</v>
      </c>
      <c r="I692" s="191" t="str">
        <f>VLOOKUP(MP_registro[[#This Row],[TAG]],'DB-EQUIPOS GEN'!$C$11:$H$833,5,0)</f>
        <v>REDUCTOR DE DESPACHO DE VAPOR 2</v>
      </c>
      <c r="J692" s="191" t="str">
        <f>VLOOKUP(MP_registro[[#This Row],[TAG]],'DB-EQUIPOS GEN'!$C$11:$H$833,6,0)</f>
        <v>0405RE020</v>
      </c>
      <c r="K692" s="192">
        <v>44783</v>
      </c>
      <c r="L692" s="193" t="s">
        <v>247</v>
      </c>
      <c r="M69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92" s="201" t="s">
        <v>1664</v>
      </c>
      <c r="O692" s="64" t="s">
        <v>1696</v>
      </c>
    </row>
    <row r="693" spans="1:15" ht="33" customHeight="1">
      <c r="A693" s="218">
        <v>692</v>
      </c>
      <c r="B693" s="219" t="s">
        <v>2565</v>
      </c>
      <c r="C693" s="64" t="s">
        <v>2608</v>
      </c>
      <c r="D693" s="191" t="s">
        <v>2623</v>
      </c>
      <c r="E693" s="204" t="s">
        <v>770</v>
      </c>
      <c r="F693" s="191" t="str">
        <f>VLOOKUP(MP_registro[[#This Row],[TAG]],'DB-EQUIPOS GEN'!$C$11:$H$833,2,0)</f>
        <v>Brix de masa C - Celda 3</v>
      </c>
      <c r="G693" s="191" t="str">
        <f>VLOOKUP(MP_registro[[#This Row],[TAG]],'DB-EQUIPOS GEN'!$C$11:$H$833,3,0)</f>
        <v>PRODUCCION</v>
      </c>
      <c r="H693" s="191" t="str">
        <f>VLOOKUP(MP_registro[[#This Row],[TAG]],'DB-EQUIPOS GEN'!$C$11:$H$833,4,0)</f>
        <v>CRISTALIZACION POR COCCION</v>
      </c>
      <c r="I693" s="191" t="str">
        <f>VLOOKUP(MP_registro[[#This Row],[TAG]],'DB-EQUIPOS GEN'!$C$11:$H$833,5,0)</f>
        <v xml:space="preserve">TACHO CONTINUO C </v>
      </c>
      <c r="J693" s="191" t="str">
        <f>VLOOKUP(MP_registro[[#This Row],[TAG]],'DB-EQUIPOS GEN'!$C$11:$H$833,6,0)</f>
        <v xml:space="preserve"> 0335HX260</v>
      </c>
      <c r="K693" s="192">
        <v>44783</v>
      </c>
      <c r="L693" s="193" t="s">
        <v>245</v>
      </c>
      <c r="M69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693" s="201" t="s">
        <v>1664</v>
      </c>
      <c r="O693" s="64" t="s">
        <v>1696</v>
      </c>
    </row>
    <row r="694" spans="1:15" ht="33" customHeight="1">
      <c r="A694" s="218">
        <v>693</v>
      </c>
      <c r="B694" s="219" t="s">
        <v>2565</v>
      </c>
      <c r="C694" s="64" t="s">
        <v>2608</v>
      </c>
      <c r="D694" s="191" t="s">
        <v>2624</v>
      </c>
      <c r="E694" s="204" t="s">
        <v>1656</v>
      </c>
      <c r="F694" s="191" t="str">
        <f>VLOOKUP(MP_registro[[#This Row],[TAG]],'DB-EQUIPOS GEN'!$C$11:$H$833,2,0)</f>
        <v>Descarga de centrifugas continuas</v>
      </c>
      <c r="G694" s="191" t="str">
        <f>VLOOKUP(MP_registro[[#This Row],[TAG]],'DB-EQUIPOS GEN'!$C$11:$H$833,3,0)</f>
        <v>PRODUCCION</v>
      </c>
      <c r="H694" s="191" t="str">
        <f>VLOOKUP(MP_registro[[#This Row],[TAG]],'DB-EQUIPOS GEN'!$C$11:$H$833,4,0)</f>
        <v>CENTRIFUGACIÓN DE AZÚCAR</v>
      </c>
      <c r="I694" s="191" t="str">
        <f>VLOOKUP(MP_registro[[#This Row],[TAG]],'DB-EQUIPOS GEN'!$C$11:$H$833,5,0)</f>
        <v>CENTRIFUGA CONTINUA 1 - C (FRANCIA)</v>
      </c>
      <c r="J694" s="191" t="str">
        <f>VLOOKUP(MP_registro[[#This Row],[TAG]],'DB-EQUIPOS GEN'!$C$11:$H$833,6,0)</f>
        <v>0345SQ160</v>
      </c>
      <c r="K694" s="192">
        <v>44783</v>
      </c>
      <c r="L694" s="193" t="s">
        <v>249</v>
      </c>
      <c r="M69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94" s="201" t="s">
        <v>1664</v>
      </c>
      <c r="O694" s="64" t="s">
        <v>1696</v>
      </c>
    </row>
    <row r="695" spans="1:15" ht="33" customHeight="1">
      <c r="A695" s="218">
        <v>694</v>
      </c>
      <c r="B695" s="219" t="s">
        <v>2565</v>
      </c>
      <c r="C695" s="64" t="s">
        <v>2608</v>
      </c>
      <c r="D695" s="191" t="s">
        <v>2625</v>
      </c>
      <c r="E695" s="204" t="s">
        <v>1661</v>
      </c>
      <c r="F695" s="191" t="str">
        <f>VLOOKUP(MP_registro[[#This Row],[TAG]],'DB-EQUIPOS GEN'!$C$11:$H$833,2,0)</f>
        <v xml:space="preserve">Faja de azucar seca a Silo </v>
      </c>
      <c r="G695" s="191" t="str">
        <f>VLOOKUP(MP_registro[[#This Row],[TAG]],'DB-EQUIPOS GEN'!$C$11:$H$833,3,0)</f>
        <v>PRODUCCION</v>
      </c>
      <c r="H695" s="191" t="str">
        <f>VLOOKUP(MP_registro[[#This Row],[TAG]],'DB-EQUIPOS GEN'!$C$11:$H$833,4,0)</f>
        <v>ENVASADO DE AZÚCAR RUBIA</v>
      </c>
      <c r="I695" s="191" t="str">
        <f>VLOOKUP(MP_registro[[#This Row],[TAG]],'DB-EQUIPOS GEN'!$C$11:$H$833,5,0)</f>
        <v>SILO DE AZUCAR 1</v>
      </c>
      <c r="J695" s="191" t="str">
        <f>VLOOKUP(MP_registro[[#This Row],[TAG]],'DB-EQUIPOS GEN'!$C$11:$H$833,6,0)</f>
        <v>0355BI090</v>
      </c>
      <c r="K695" s="192">
        <v>44783</v>
      </c>
      <c r="L695" s="193" t="s">
        <v>249</v>
      </c>
      <c r="M695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95" s="201" t="s">
        <v>1664</v>
      </c>
      <c r="O695" s="64" t="s">
        <v>1696</v>
      </c>
    </row>
    <row r="696" spans="1:15" ht="33" customHeight="1">
      <c r="A696" s="218">
        <v>695</v>
      </c>
      <c r="B696" s="219" t="s">
        <v>2565</v>
      </c>
      <c r="C696" s="64" t="s">
        <v>2608</v>
      </c>
      <c r="D696" s="191" t="s">
        <v>2626</v>
      </c>
      <c r="E696" s="204" t="s">
        <v>1648</v>
      </c>
      <c r="F696" s="191" t="str">
        <f>VLOOKUP(MP_registro[[#This Row],[TAG]],'DB-EQUIPOS GEN'!$C$11:$H$833,2,0)</f>
        <v>Nivel de agua en domo</v>
      </c>
      <c r="G696" s="191" t="str">
        <f>VLOOKUP(MP_registro[[#This Row],[TAG]],'DB-EQUIPOS GEN'!$C$11:$H$833,3,0)</f>
        <v>E. TERMICA</v>
      </c>
      <c r="H696" s="191" t="str">
        <f>VLOOKUP(MP_registro[[#This Row],[TAG]],'DB-EQUIPOS GEN'!$C$11:$H$833,4,0)</f>
        <v>GENERACIÓN DE VAPOR</v>
      </c>
      <c r="I696" s="191" t="str">
        <f>VLOOKUP(MP_registro[[#This Row],[TAG]],'DB-EQUIPOS GEN'!$C$11:$H$833,5,0)</f>
        <v>DOMO SUPERIOR</v>
      </c>
      <c r="J696" s="191" t="str">
        <f>VLOOKUP(MP_registro[[#This Row],[TAG]],'DB-EQUIPOS GEN'!$C$11:$H$833,6,0)</f>
        <v>0405DO020</v>
      </c>
      <c r="K696" s="192">
        <v>44783</v>
      </c>
      <c r="L696" s="193"/>
      <c r="M696" s="77"/>
      <c r="N696" s="201" t="s">
        <v>1695</v>
      </c>
      <c r="O696" s="64" t="s">
        <v>1696</v>
      </c>
    </row>
    <row r="697" spans="1:15" ht="33" customHeight="1">
      <c r="A697" s="218">
        <v>696</v>
      </c>
      <c r="B697" s="219" t="s">
        <v>2565</v>
      </c>
      <c r="C697" s="64" t="s">
        <v>2608</v>
      </c>
      <c r="D697" s="191" t="s">
        <v>2627</v>
      </c>
      <c r="E697" s="204" t="s">
        <v>1652</v>
      </c>
      <c r="F697" s="191" t="str">
        <f>VLOOKUP(MP_registro[[#This Row],[TAG]],'DB-EQUIPOS GEN'!$C$11:$H$833,2,0)</f>
        <v>Faja 1006A - Patio de Bagazo</v>
      </c>
      <c r="G697" s="191" t="str">
        <f>VLOOKUP(MP_registro[[#This Row],[TAG]],'DB-EQUIPOS GEN'!$C$11:$H$833,3,0)</f>
        <v>E. TERMICA</v>
      </c>
      <c r="H697" s="191" t="str">
        <f>VLOOKUP(MP_registro[[#This Row],[TAG]],'DB-EQUIPOS GEN'!$C$11:$H$833,4,0)</f>
        <v>TRANSPORTE DE BAGAZO</v>
      </c>
      <c r="I697" s="191" t="str">
        <f>VLOOKUP(MP_registro[[#This Row],[TAG]],'DB-EQUIPOS GEN'!$C$11:$H$833,5,0)</f>
        <v>FAJA TRANSPORTADORA 1006 A</v>
      </c>
      <c r="J697" s="191" t="str">
        <f>VLOOKUP(MP_registro[[#This Row],[TAG]],'DB-EQUIPOS GEN'!$C$11:$H$833,6,0)</f>
        <v>0805CV080</v>
      </c>
      <c r="K697" s="192">
        <v>44783</v>
      </c>
      <c r="L697" s="193" t="s">
        <v>247</v>
      </c>
      <c r="M69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697" s="201" t="s">
        <v>1664</v>
      </c>
      <c r="O697" s="64" t="s">
        <v>1696</v>
      </c>
    </row>
    <row r="698" spans="1:15" ht="33" customHeight="1">
      <c r="A698" s="218">
        <v>697</v>
      </c>
      <c r="B698" s="219" t="s">
        <v>2565</v>
      </c>
      <c r="C698" s="64" t="s">
        <v>2608</v>
      </c>
      <c r="D698" s="191" t="s">
        <v>2628</v>
      </c>
      <c r="E698" s="204" t="s">
        <v>338</v>
      </c>
      <c r="F698" s="191" t="str">
        <f>VLOOKUP(MP_registro[[#This Row],[TAG]],'DB-EQUIPOS GEN'!$C$11:$H$833,2,0)</f>
        <v>Flotacion de masa lado motor</v>
      </c>
      <c r="G698" s="191" t="str">
        <f>VLOOKUP(MP_registro[[#This Row],[TAG]],'DB-EQUIPOS GEN'!$C$11:$H$833,3,0)</f>
        <v>EXTRACCION</v>
      </c>
      <c r="H698" s="191" t="str">
        <f>VLOOKUP(MP_registro[[#This Row],[TAG]],'DB-EQUIPOS GEN'!$C$11:$H$833,4,0)</f>
        <v>MOLINOS</v>
      </c>
      <c r="I698" s="191" t="str">
        <f>VLOOKUP(MP_registro[[#This Row],[TAG]],'DB-EQUIPOS GEN'!$C$11:$H$833,5,0)</f>
        <v xml:space="preserve">MOLINO SECADOR </v>
      </c>
      <c r="J698" s="191" t="str">
        <f>VLOOKUP(MP_registro[[#This Row],[TAG]],'DB-EQUIPOS GEN'!$C$11:$H$833,6,0)</f>
        <v>0210MM090</v>
      </c>
      <c r="K698" s="192">
        <v>44784</v>
      </c>
      <c r="L698" s="193" t="s">
        <v>249</v>
      </c>
      <c r="M69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98" s="201" t="s">
        <v>1664</v>
      </c>
      <c r="O698" s="64" t="s">
        <v>1696</v>
      </c>
    </row>
    <row r="699" spans="1:15" ht="33" customHeight="1">
      <c r="A699" s="218">
        <v>698</v>
      </c>
      <c r="B699" s="219" t="s">
        <v>2565</v>
      </c>
      <c r="C699" s="64" t="s">
        <v>2608</v>
      </c>
      <c r="D699" s="191" t="s">
        <v>2629</v>
      </c>
      <c r="E699" s="204" t="s">
        <v>2660</v>
      </c>
      <c r="F699" s="191" t="e">
        <f>VLOOKUP(MP_registro[[#This Row],[TAG]],'DB-EQUIPOS GEN'!$C$11:$H$833,2,0)</f>
        <v>#N/A</v>
      </c>
      <c r="G699" s="191" t="e">
        <f>VLOOKUP(MP_registro[[#This Row],[TAG]],'DB-EQUIPOS GEN'!$C$11:$H$833,3,0)</f>
        <v>#N/A</v>
      </c>
      <c r="H699" s="191" t="e">
        <f>VLOOKUP(MP_registro[[#This Row],[TAG]],'DB-EQUIPOS GEN'!$C$11:$H$833,4,0)</f>
        <v>#N/A</v>
      </c>
      <c r="I699" s="191" t="e">
        <f>VLOOKUP(MP_registro[[#This Row],[TAG]],'DB-EQUIPOS GEN'!$C$11:$H$833,5,0)</f>
        <v>#N/A</v>
      </c>
      <c r="J699" s="191" t="e">
        <f>VLOOKUP(MP_registro[[#This Row],[TAG]],'DB-EQUIPOS GEN'!$C$11:$H$833,6,0)</f>
        <v>#N/A</v>
      </c>
      <c r="K699" s="192">
        <v>44784</v>
      </c>
      <c r="L699" s="193" t="s">
        <v>249</v>
      </c>
      <c r="M69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699" s="201" t="s">
        <v>1664</v>
      </c>
      <c r="O699" s="64" t="s">
        <v>1696</v>
      </c>
    </row>
    <row r="700" spans="1:15" ht="33" customHeight="1">
      <c r="A700" s="218">
        <v>699</v>
      </c>
      <c r="B700" s="219" t="s">
        <v>2565</v>
      </c>
      <c r="C700" s="64" t="s">
        <v>2608</v>
      </c>
      <c r="D700" s="191" t="s">
        <v>2630</v>
      </c>
      <c r="E700" s="204" t="s">
        <v>344</v>
      </c>
      <c r="F700" s="191" t="str">
        <f>VLOOKUP(MP_registro[[#This Row],[TAG]],'DB-EQUIPOS GEN'!$C$11:$H$833,2,0)</f>
        <v>Nivel de bagazo de chute donelly de molino secador</v>
      </c>
      <c r="G700" s="191" t="str">
        <f>VLOOKUP(MP_registro[[#This Row],[TAG]],'DB-EQUIPOS GEN'!$C$11:$H$833,3,0)</f>
        <v>EXTRACCION</v>
      </c>
      <c r="H700" s="191" t="str">
        <f>VLOOKUP(MP_registro[[#This Row],[TAG]],'DB-EQUIPOS GEN'!$C$11:$H$833,4,0)</f>
        <v>MOLINOS</v>
      </c>
      <c r="I700" s="191" t="str">
        <f>VLOOKUP(MP_registro[[#This Row],[TAG]],'DB-EQUIPOS GEN'!$C$11:$H$833,5,0)</f>
        <v xml:space="preserve">MOLINO SECADOR </v>
      </c>
      <c r="J700" s="191" t="str">
        <f>VLOOKUP(MP_registro[[#This Row],[TAG]],'DB-EQUIPOS GEN'!$C$11:$H$833,6,0)</f>
        <v>0210MM090</v>
      </c>
      <c r="K700" s="192">
        <v>44785</v>
      </c>
      <c r="L700" s="193" t="s">
        <v>249</v>
      </c>
      <c r="M70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00" s="201" t="s">
        <v>1664</v>
      </c>
      <c r="O700" s="64" t="s">
        <v>1696</v>
      </c>
    </row>
    <row r="701" spans="1:15" ht="33" customHeight="1">
      <c r="A701" s="218">
        <v>700</v>
      </c>
      <c r="B701" s="219" t="s">
        <v>2565</v>
      </c>
      <c r="C701" s="64" t="s">
        <v>2608</v>
      </c>
      <c r="D701" s="191" t="s">
        <v>2631</v>
      </c>
      <c r="E701" s="204" t="s">
        <v>1750</v>
      </c>
      <c r="F701" s="191" t="str">
        <f>VLOOKUP(MP_registro[[#This Row],[TAG]],'DB-EQUIPOS GEN'!$C$11:$H$833,2,0)</f>
        <v>Aire Instrumentacion p/ Caldera</v>
      </c>
      <c r="G701" s="191" t="str">
        <f>VLOOKUP(MP_registro[[#This Row],[TAG]],'DB-EQUIPOS GEN'!$C$11:$H$833,3,0)</f>
        <v>E. ELECTRICA</v>
      </c>
      <c r="H701" s="191" t="str">
        <f>VLOOKUP(MP_registro[[#This Row],[TAG]],'DB-EQUIPOS GEN'!$C$11:$H$833,4,0)</f>
        <v>GENERACION ENERG. ELEC. TURBO GENERADOR</v>
      </c>
      <c r="I701" s="191" t="str">
        <f>VLOOKUP(MP_registro[[#This Row],[TAG]],'DB-EQUIPOS GEN'!$C$11:$H$833,5,0)</f>
        <v/>
      </c>
      <c r="J701" s="191" t="str">
        <f>VLOOKUP(MP_registro[[#This Row],[TAG]],'DB-EQUIPOS GEN'!$C$11:$H$833,6,0)</f>
        <v/>
      </c>
      <c r="K701" s="192">
        <v>44785</v>
      </c>
      <c r="L701" s="193" t="s">
        <v>249</v>
      </c>
      <c r="M70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01" s="201" t="s">
        <v>1664</v>
      </c>
      <c r="O701" s="64" t="s">
        <v>1696</v>
      </c>
    </row>
    <row r="702" spans="1:15" ht="33" customHeight="1">
      <c r="A702" s="218">
        <v>701</v>
      </c>
      <c r="B702" s="219" t="s">
        <v>2565</v>
      </c>
      <c r="C702" s="64" t="s">
        <v>2608</v>
      </c>
      <c r="D702" s="191" t="s">
        <v>2632</v>
      </c>
      <c r="E702" s="204" t="s">
        <v>254</v>
      </c>
      <c r="F702" s="191" t="str">
        <f>VLOOKUP(MP_registro[[#This Row],[TAG]],'DB-EQUIPOS GEN'!$C$11:$H$833,2,0)</f>
        <v>Tablero de periferia en Asset Caldera</v>
      </c>
      <c r="G702" s="191" t="str">
        <f>VLOOKUP(MP_registro[[#This Row],[TAG]],'DB-EQUIPOS GEN'!$C$11:$H$833,3,0)</f>
        <v>E. TERMICA</v>
      </c>
      <c r="H702" s="191" t="str">
        <f>VLOOKUP(MP_registro[[#This Row],[TAG]],'DB-EQUIPOS GEN'!$C$11:$H$833,4,0)</f>
        <v>GENERACION DE VAPOR</v>
      </c>
      <c r="I702" s="191" t="str">
        <f>VLOOKUP(MP_registro[[#This Row],[TAG]],'DB-EQUIPOS GEN'!$C$11:$H$833,5,0)</f>
        <v>CALDERA</v>
      </c>
      <c r="J702" s="191" t="str">
        <f>VLOOKUP(MP_registro[[#This Row],[TAG]],'DB-EQUIPOS GEN'!$C$11:$H$833,6,0)</f>
        <v>0405BR010</v>
      </c>
      <c r="K702" s="192">
        <v>44785</v>
      </c>
      <c r="L702" s="193" t="s">
        <v>248</v>
      </c>
      <c r="M702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702" s="201" t="s">
        <v>1664</v>
      </c>
      <c r="O702" s="64" t="s">
        <v>1696</v>
      </c>
    </row>
    <row r="703" spans="1:15" ht="33" customHeight="1">
      <c r="A703" s="218">
        <v>702</v>
      </c>
      <c r="B703" s="219" t="s">
        <v>2565</v>
      </c>
      <c r="C703" s="64" t="s">
        <v>2608</v>
      </c>
      <c r="D703" s="191" t="s">
        <v>2633</v>
      </c>
      <c r="E703" s="204" t="s">
        <v>256</v>
      </c>
      <c r="F703" s="191" t="str">
        <f>VLOOKUP(MP_registro[[#This Row],[TAG]],'DB-EQUIPOS GEN'!$C$11:$H$833,2,0)</f>
        <v>Tablero de periferia en Asset Difusor</v>
      </c>
      <c r="G703" s="191" t="str">
        <f>VLOOKUP(MP_registro[[#This Row],[TAG]],'DB-EQUIPOS GEN'!$C$11:$H$833,3,0)</f>
        <v>EXTRACCION</v>
      </c>
      <c r="H703" s="191" t="str">
        <f>VLOOKUP(MP_registro[[#This Row],[TAG]],'DB-EQUIPOS GEN'!$C$11:$H$833,4,0)</f>
        <v>DIFUSOR</v>
      </c>
      <c r="I703" s="191" t="str">
        <f>VLOOKUP(MP_registro[[#This Row],[TAG]],'DB-EQUIPOS GEN'!$C$11:$H$833,5,0)</f>
        <v>DIFUSOR</v>
      </c>
      <c r="J703" s="191" t="str">
        <f>VLOOKUP(MP_registro[[#This Row],[TAG]],'DB-EQUIPOS GEN'!$C$11:$H$833,6,0)</f>
        <v>0205DF180</v>
      </c>
      <c r="K703" s="192">
        <v>44785</v>
      </c>
      <c r="L703" s="193" t="s">
        <v>248</v>
      </c>
      <c r="M703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703" s="201" t="s">
        <v>1664</v>
      </c>
      <c r="O703" s="64" t="s">
        <v>1696</v>
      </c>
    </row>
    <row r="704" spans="1:15" ht="33" customHeight="1">
      <c r="A704" s="218">
        <v>703</v>
      </c>
      <c r="B704" s="219" t="s">
        <v>2565</v>
      </c>
      <c r="C704" s="64" t="s">
        <v>2608</v>
      </c>
      <c r="D704" s="191" t="s">
        <v>2634</v>
      </c>
      <c r="E704" s="204" t="s">
        <v>257</v>
      </c>
      <c r="F704" s="191" t="str">
        <f>VLOOKUP(MP_registro[[#This Row],[TAG]],'DB-EQUIPOS GEN'!$C$11:$H$833,2,0)</f>
        <v>Tablero de periferia en Asset Process House</v>
      </c>
      <c r="G704" s="191" t="str">
        <f>VLOOKUP(MP_registro[[#This Row],[TAG]],'DB-EQUIPOS GEN'!$C$11:$H$833,3,0)</f>
        <v>PRODUCCION</v>
      </c>
      <c r="H704" s="191" t="str">
        <f>VLOOKUP(MP_registro[[#This Row],[TAG]],'DB-EQUIPOS GEN'!$C$11:$H$833,4,0)</f>
        <v>EVAPORACION DE JUGO</v>
      </c>
      <c r="I704" s="191" t="str">
        <f>VLOOKUP(MP_registro[[#This Row],[TAG]],'DB-EQUIPOS GEN'!$C$11:$H$833,5,0)</f>
        <v>EVAPORADOR FFE 1</v>
      </c>
      <c r="J704" s="191" t="str">
        <f>VLOOKUP(MP_registro[[#This Row],[TAG]],'DB-EQUIPOS GEN'!$C$11:$H$833,6,0)</f>
        <v>0320EV010</v>
      </c>
      <c r="K704" s="192">
        <v>44785</v>
      </c>
      <c r="L704" s="193" t="s">
        <v>248</v>
      </c>
      <c r="M704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704" s="201" t="s">
        <v>1664</v>
      </c>
      <c r="O704" s="64" t="s">
        <v>1696</v>
      </c>
    </row>
    <row r="705" spans="1:15" ht="33" customHeight="1">
      <c r="A705" s="218">
        <v>704</v>
      </c>
      <c r="B705" s="219" t="s">
        <v>2565</v>
      </c>
      <c r="C705" s="64" t="s">
        <v>2608</v>
      </c>
      <c r="D705" s="191" t="s">
        <v>2635</v>
      </c>
      <c r="E705" s="204" t="s">
        <v>258</v>
      </c>
      <c r="F705" s="191" t="str">
        <f>VLOOKUP(MP_registro[[#This Row],[TAG]],'DB-EQUIPOS GEN'!$C$11:$H$833,2,0)</f>
        <v>Tablero de periferia en Asset Cocimiento</v>
      </c>
      <c r="G705" s="191" t="str">
        <f>VLOOKUP(MP_registro[[#This Row],[TAG]],'DB-EQUIPOS GEN'!$C$11:$H$833,3,0)</f>
        <v>PRODUCCION</v>
      </c>
      <c r="H705" s="191" t="str">
        <f>VLOOKUP(MP_registro[[#This Row],[TAG]],'DB-EQUIPOS GEN'!$C$11:$H$833,4,0)</f>
        <v>CRISTALIZACION POR COCCION</v>
      </c>
      <c r="I705" s="191" t="str">
        <f>VLOOKUP(MP_registro[[#This Row],[TAG]],'DB-EQUIPOS GEN'!$C$11:$H$833,5,0)</f>
        <v>TACHO CONTINUO - A</v>
      </c>
      <c r="J705" s="191" t="str">
        <f>VLOOKUP(MP_registro[[#This Row],[TAG]],'DB-EQUIPOS GEN'!$C$11:$H$833,6,0)</f>
        <v>0335HX200</v>
      </c>
      <c r="K705" s="192">
        <v>44785</v>
      </c>
      <c r="L705" s="193" t="s">
        <v>248</v>
      </c>
      <c r="M705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705" s="201" t="s">
        <v>1664</v>
      </c>
      <c r="O705" s="64" t="s">
        <v>1696</v>
      </c>
    </row>
    <row r="706" spans="1:15" ht="33" customHeight="1">
      <c r="A706" s="218">
        <v>705</v>
      </c>
      <c r="B706" s="219" t="s">
        <v>2565</v>
      </c>
      <c r="C706" s="64" t="s">
        <v>2608</v>
      </c>
      <c r="D706" s="191" t="s">
        <v>2636</v>
      </c>
      <c r="E706" s="204" t="s">
        <v>1643</v>
      </c>
      <c r="F706" s="191" t="str">
        <f>VLOOKUP(MP_registro[[#This Row],[TAG]],'DB-EQUIPOS GEN'!$C$11:$H$833,2,0)</f>
        <v>Nivelador de cama de bagazo en difusor</v>
      </c>
      <c r="G706" s="191" t="str">
        <f>VLOOKUP(MP_registro[[#This Row],[TAG]],'DB-EQUIPOS GEN'!$C$11:$H$833,3,0)</f>
        <v>EXTRACCION</v>
      </c>
      <c r="H706" s="191" t="str">
        <f>VLOOKUP(MP_registro[[#This Row],[TAG]],'DB-EQUIPOS GEN'!$C$11:$H$833,4,0)</f>
        <v>DIFUSOR</v>
      </c>
      <c r="I706" s="191" t="str">
        <f>VLOOKUP(MP_registro[[#This Row],[TAG]],'DB-EQUIPOS GEN'!$C$11:$H$833,5,0)</f>
        <v>CONDUCTOR TRANSVERSAL</v>
      </c>
      <c r="J706" s="191" t="str">
        <f>VLOOKUP(MP_registro[[#This Row],[TAG]],'DB-EQUIPOS GEN'!$C$11:$H$833,6,0)</f>
        <v>0205CV190</v>
      </c>
      <c r="K706" s="192">
        <v>44785</v>
      </c>
      <c r="L706" s="193" t="s">
        <v>247</v>
      </c>
      <c r="M70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06" s="201" t="s">
        <v>1664</v>
      </c>
      <c r="O706" s="64" t="s">
        <v>1696</v>
      </c>
    </row>
    <row r="707" spans="1:15" ht="33" customHeight="1">
      <c r="A707" s="218">
        <v>706</v>
      </c>
      <c r="B707" s="219" t="s">
        <v>2565</v>
      </c>
      <c r="C707" s="64" t="s">
        <v>2608</v>
      </c>
      <c r="D707" s="191" t="s">
        <v>2637</v>
      </c>
      <c r="E707" s="204" t="s">
        <v>1645</v>
      </c>
      <c r="F707" s="191" t="str">
        <f>VLOOKUP(MP_registro[[#This Row],[TAG]],'DB-EQUIPOS GEN'!$C$11:$H$833,2,0)</f>
        <v>Tamiz rotativo</v>
      </c>
      <c r="G707" s="191" t="str">
        <f>VLOOKUP(MP_registro[[#This Row],[TAG]],'DB-EQUIPOS GEN'!$C$11:$H$833,3,0)</f>
        <v>EXTRACCION</v>
      </c>
      <c r="H707" s="191" t="str">
        <f>VLOOKUP(MP_registro[[#This Row],[TAG]],'DB-EQUIPOS GEN'!$C$11:$H$833,4,0)</f>
        <v>DIFUSOR</v>
      </c>
      <c r="I707" s="191" t="str">
        <f>VLOOKUP(MP_registro[[#This Row],[TAG]],'DB-EQUIPOS GEN'!$C$11:$H$833,5,0)</f>
        <v>TAMIZ ROTATIVO</v>
      </c>
      <c r="J707" s="191" t="str">
        <f>VLOOKUP(MP_registro[[#This Row],[TAG]],'DB-EQUIPOS GEN'!$C$11:$H$833,6,0)</f>
        <v>0305FL010</v>
      </c>
      <c r="K707" s="192">
        <v>44785</v>
      </c>
      <c r="L707" s="193" t="s">
        <v>247</v>
      </c>
      <c r="M70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07" s="201" t="s">
        <v>1664</v>
      </c>
      <c r="O707" s="64" t="s">
        <v>1696</v>
      </c>
    </row>
    <row r="708" spans="1:15" ht="33" customHeight="1">
      <c r="A708" s="218">
        <v>707</v>
      </c>
      <c r="B708" s="219" t="s">
        <v>2565</v>
      </c>
      <c r="C708" s="64" t="s">
        <v>2608</v>
      </c>
      <c r="D708" s="191" t="s">
        <v>2638</v>
      </c>
      <c r="E708" s="204" t="s">
        <v>1646</v>
      </c>
      <c r="F708" s="191" t="str">
        <f>VLOOKUP(MP_registro[[#This Row],[TAG]],'DB-EQUIPOS GEN'!$C$11:$H$833,2,0)</f>
        <v>Segundo nivel de Turbina TGM</v>
      </c>
      <c r="G708" s="191" t="str">
        <f>VLOOKUP(MP_registro[[#This Row],[TAG]],'DB-EQUIPOS GEN'!$C$11:$H$833,3,0)</f>
        <v>E. ELECTRICA</v>
      </c>
      <c r="H708" s="191" t="str">
        <f>VLOOKUP(MP_registro[[#This Row],[TAG]],'DB-EQUIPOS GEN'!$C$11:$H$833,4,0)</f>
        <v>SISTEMA DE ENFRIAMIENTO</v>
      </c>
      <c r="I708" s="191" t="str">
        <f>VLOOKUP(MP_registro[[#This Row],[TAG]],'DB-EQUIPOS GEN'!$C$11:$H$833,5,0)</f>
        <v>TORRE DE ENFRIAMIENTO MARLEY - TG TGM</v>
      </c>
      <c r="J708" s="191" t="str">
        <f>VLOOKUP(MP_registro[[#This Row],[TAG]],'DB-EQUIPOS GEN'!$C$11:$H$833,6,0)</f>
        <v>0430CT050</v>
      </c>
      <c r="K708" s="192">
        <v>44785</v>
      </c>
      <c r="L708" s="193" t="s">
        <v>247</v>
      </c>
      <c r="M70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08" s="201" t="s">
        <v>1664</v>
      </c>
      <c r="O708" s="64" t="s">
        <v>1696</v>
      </c>
    </row>
    <row r="709" spans="1:15" ht="33" customHeight="1">
      <c r="A709" s="218">
        <v>708</v>
      </c>
      <c r="B709" s="219" t="s">
        <v>2565</v>
      </c>
      <c r="C709" s="64" t="s">
        <v>2608</v>
      </c>
      <c r="D709" s="191" t="s">
        <v>2639</v>
      </c>
      <c r="E709" s="204" t="s">
        <v>1650</v>
      </c>
      <c r="F709" s="191" t="str">
        <f>VLOOKUP(MP_registro[[#This Row],[TAG]],'DB-EQUIPOS GEN'!$C$11:$H$833,2,0)</f>
        <v>Faja 1003 - Conductor distribuidor de bagazo</v>
      </c>
      <c r="G709" s="191" t="str">
        <f>VLOOKUP(MP_registro[[#This Row],[TAG]],'DB-EQUIPOS GEN'!$C$11:$H$833,3,0)</f>
        <v>E. TERMICA</v>
      </c>
      <c r="H709" s="191" t="str">
        <f>VLOOKUP(MP_registro[[#This Row],[TAG]],'DB-EQUIPOS GEN'!$C$11:$H$833,4,0)</f>
        <v>TRANSPORTE DE BAGAZO</v>
      </c>
      <c r="I709" s="191" t="str">
        <f>VLOOKUP(MP_registro[[#This Row],[TAG]],'DB-EQUIPOS GEN'!$C$11:$H$833,5,0)</f>
        <v>TRANSPORTADOR DE BAGAZO 1003</v>
      </c>
      <c r="J709" s="191" t="str">
        <f>VLOOKUP(MP_registro[[#This Row],[TAG]],'DB-EQUIPOS GEN'!$C$11:$H$833,6,0)</f>
        <v>0805CV060</v>
      </c>
      <c r="K709" s="192">
        <v>44785</v>
      </c>
      <c r="L709" s="193" t="s">
        <v>247</v>
      </c>
      <c r="M70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09" s="201" t="s">
        <v>1664</v>
      </c>
      <c r="O709" s="64" t="s">
        <v>1696</v>
      </c>
    </row>
    <row r="710" spans="1:15" ht="33" customHeight="1">
      <c r="A710" s="218">
        <v>709</v>
      </c>
      <c r="B710" s="219" t="s">
        <v>2565</v>
      </c>
      <c r="C710" s="64" t="s">
        <v>2608</v>
      </c>
      <c r="D710" s="191" t="s">
        <v>2640</v>
      </c>
      <c r="E710" s="204" t="s">
        <v>1651</v>
      </c>
      <c r="F710" s="191" t="str">
        <f>VLOOKUP(MP_registro[[#This Row],[TAG]],'DB-EQUIPOS GEN'!$C$11:$H$833,2,0)</f>
        <v>Faja 1008 - Tolva de retorno de bagazo</v>
      </c>
      <c r="G710" s="191" t="str">
        <f>VLOOKUP(MP_registro[[#This Row],[TAG]],'DB-EQUIPOS GEN'!$C$11:$H$833,3,0)</f>
        <v>E. TERMICA</v>
      </c>
      <c r="H710" s="191" t="str">
        <f>VLOOKUP(MP_registro[[#This Row],[TAG]],'DB-EQUIPOS GEN'!$C$11:$H$833,4,0)</f>
        <v>TRANSPORTE DE BAGAZO</v>
      </c>
      <c r="I710" s="191" t="str">
        <f>VLOOKUP(MP_registro[[#This Row],[TAG]],'DB-EQUIPOS GEN'!$C$11:$H$833,5,0)</f>
        <v>FAJA TRANSPORTADORA 1008</v>
      </c>
      <c r="J710" s="191" t="str">
        <f>VLOOKUP(MP_registro[[#This Row],[TAG]],'DB-EQUIPOS GEN'!$C$11:$H$833,6,0)</f>
        <v>0805CV100</v>
      </c>
      <c r="K710" s="192">
        <v>44785</v>
      </c>
      <c r="L710" s="193" t="s">
        <v>247</v>
      </c>
      <c r="M710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10" s="201" t="s">
        <v>1664</v>
      </c>
      <c r="O710" s="64" t="s">
        <v>1696</v>
      </c>
    </row>
    <row r="711" spans="1:15" ht="33" customHeight="1">
      <c r="A711" s="218">
        <v>710</v>
      </c>
      <c r="B711" s="219" t="s">
        <v>2565</v>
      </c>
      <c r="C711" s="64" t="s">
        <v>2608</v>
      </c>
      <c r="D711" s="191" t="s">
        <v>2641</v>
      </c>
      <c r="E711" s="204" t="s">
        <v>1654</v>
      </c>
      <c r="F711" s="191" t="str">
        <f>VLOOKUP(MP_registro[[#This Row],[TAG]],'DB-EQUIPOS GEN'!$C$11:$H$833,2,0)</f>
        <v>Vista global de sala turbina TGM</v>
      </c>
      <c r="G711" s="191" t="str">
        <f>VLOOKUP(MP_registro[[#This Row],[TAG]],'DB-EQUIPOS GEN'!$C$11:$H$833,3,0)</f>
        <v>E. ELECTRICA</v>
      </c>
      <c r="H711" s="191" t="str">
        <f>VLOOKUP(MP_registro[[#This Row],[TAG]],'DB-EQUIPOS GEN'!$C$11:$H$833,4,0)</f>
        <v>SISTEMA DE ENFRIAMIENTO</v>
      </c>
      <c r="I711" s="191" t="str">
        <f>VLOOKUP(MP_registro[[#This Row],[TAG]],'DB-EQUIPOS GEN'!$C$11:$H$833,5,0)</f>
        <v>TORRE DE ENFRIAMIENTO MARLEY - TG TGM</v>
      </c>
      <c r="J711" s="191" t="str">
        <f>VLOOKUP(MP_registro[[#This Row],[TAG]],'DB-EQUIPOS GEN'!$C$11:$H$833,6,0)</f>
        <v>0430CT050</v>
      </c>
      <c r="K711" s="192">
        <v>44785</v>
      </c>
      <c r="L711" s="193"/>
      <c r="M711" s="77"/>
      <c r="N711" s="230" t="s">
        <v>1695</v>
      </c>
      <c r="O711" s="64" t="s">
        <v>1696</v>
      </c>
    </row>
    <row r="712" spans="1:15" ht="33" customHeight="1">
      <c r="A712" s="218">
        <v>711</v>
      </c>
      <c r="B712" s="219" t="s">
        <v>2565</v>
      </c>
      <c r="C712" s="64" t="s">
        <v>2608</v>
      </c>
      <c r="D712" s="191" t="s">
        <v>2642</v>
      </c>
      <c r="E712" s="204" t="s">
        <v>339</v>
      </c>
      <c r="F712" s="191" t="str">
        <f>VLOOKUP(MP_registro[[#This Row],[TAG]],'DB-EQUIPOS GEN'!$C$11:$H$833,2,0)</f>
        <v>Flotacion de masa lado libre</v>
      </c>
      <c r="G712" s="191" t="str">
        <f>VLOOKUP(MP_registro[[#This Row],[TAG]],'DB-EQUIPOS GEN'!$C$11:$H$833,3,0)</f>
        <v>EXTRACCION</v>
      </c>
      <c r="H712" s="191" t="str">
        <f>VLOOKUP(MP_registro[[#This Row],[TAG]],'DB-EQUIPOS GEN'!$C$11:$H$833,4,0)</f>
        <v>MOLINOS</v>
      </c>
      <c r="I712" s="191" t="str">
        <f>VLOOKUP(MP_registro[[#This Row],[TAG]],'DB-EQUIPOS GEN'!$C$11:$H$833,5,0)</f>
        <v xml:space="preserve">MOLINO SECADOR </v>
      </c>
      <c r="J712" s="191" t="str">
        <f>VLOOKUP(MP_registro[[#This Row],[TAG]],'DB-EQUIPOS GEN'!$C$11:$H$833,6,0)</f>
        <v>0210MM090</v>
      </c>
      <c r="K712" s="192">
        <v>44786</v>
      </c>
      <c r="L712" s="193" t="s">
        <v>249</v>
      </c>
      <c r="M71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12" s="201" t="s">
        <v>1664</v>
      </c>
      <c r="O712" s="64" t="s">
        <v>1696</v>
      </c>
    </row>
    <row r="713" spans="1:15" ht="33" customHeight="1">
      <c r="A713" s="218">
        <v>712</v>
      </c>
      <c r="B713" s="219" t="s">
        <v>2565</v>
      </c>
      <c r="C713" s="64" t="s">
        <v>2608</v>
      </c>
      <c r="D713" s="191" t="s">
        <v>2643</v>
      </c>
      <c r="E713" s="204" t="s">
        <v>1061</v>
      </c>
      <c r="F713" s="191" t="str">
        <f>VLOOKUP(MP_registro[[#This Row],[TAG]],'DB-EQUIPOS GEN'!$C$11:$H$833,2,0)</f>
        <v>Valvula reductora 1</v>
      </c>
      <c r="G713" s="191" t="str">
        <f>VLOOKUP(MP_registro[[#This Row],[TAG]],'DB-EQUIPOS GEN'!$C$11:$H$833,3,0)</f>
        <v>E. TERMICA</v>
      </c>
      <c r="H713" s="191" t="str">
        <f>VLOOKUP(MP_registro[[#This Row],[TAG]],'DB-EQUIPOS GEN'!$C$11:$H$833,4,0)</f>
        <v>DISTRIBUCION DE VAPOR</v>
      </c>
      <c r="I713" s="191" t="str">
        <f>VLOOKUP(MP_registro[[#This Row],[TAG]],'DB-EQUIPOS GEN'!$C$11:$H$833,5,0)</f>
        <v>REDUCTOR DE DESPACHO DE VAPOR 1</v>
      </c>
      <c r="J713" s="191" t="str">
        <f>VLOOKUP(MP_registro[[#This Row],[TAG]],'DB-EQUIPOS GEN'!$C$11:$H$833,6,0)</f>
        <v>0405RE010</v>
      </c>
      <c r="K713" s="192">
        <v>44786</v>
      </c>
      <c r="L713" s="193" t="s">
        <v>249</v>
      </c>
      <c r="M71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13" s="201" t="s">
        <v>1664</v>
      </c>
      <c r="O713" s="64" t="s">
        <v>1696</v>
      </c>
    </row>
    <row r="714" spans="1:15" ht="33" customHeight="1">
      <c r="A714" s="218">
        <v>713</v>
      </c>
      <c r="B714" s="219" t="s">
        <v>2565</v>
      </c>
      <c r="C714" s="64" t="s">
        <v>2608</v>
      </c>
      <c r="D714" s="191" t="s">
        <v>2644</v>
      </c>
      <c r="E714" s="204" t="s">
        <v>255</v>
      </c>
      <c r="F714" s="191" t="str">
        <f>VLOOKUP(MP_registro[[#This Row],[TAG]],'DB-EQUIPOS GEN'!$C$11:$H$833,2,0)</f>
        <v>Tablero de periferia en Asset Turbina</v>
      </c>
      <c r="G714" s="191" t="str">
        <f>VLOOKUP(MP_registro[[#This Row],[TAG]],'DB-EQUIPOS GEN'!$C$11:$H$833,3,0)</f>
        <v>E. ELECTRICA</v>
      </c>
      <c r="H714" s="191" t="str">
        <f>VLOOKUP(MP_registro[[#This Row],[TAG]],'DB-EQUIPOS GEN'!$C$11:$H$833,4,0)</f>
        <v>GENERACION ENERG. ELEC. TURBO GENERADOR</v>
      </c>
      <c r="I714" s="191" t="str">
        <f>VLOOKUP(MP_registro[[#This Row],[TAG]],'DB-EQUIPOS GEN'!$C$11:$H$833,5,0)</f>
        <v>TURBOGENERADOR 7.5 MW</v>
      </c>
      <c r="J714" s="191" t="str">
        <f>VLOOKUP(MP_registro[[#This Row],[TAG]],'DB-EQUIPOS GEN'!$C$11:$H$833,6,0)</f>
        <v>0430TG010</v>
      </c>
      <c r="K714" s="192">
        <v>44786</v>
      </c>
      <c r="L714" s="193" t="s">
        <v>248</v>
      </c>
      <c r="M714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714" s="201" t="s">
        <v>1664</v>
      </c>
      <c r="O714" s="64" t="s">
        <v>1696</v>
      </c>
    </row>
    <row r="715" spans="1:15" ht="33" customHeight="1">
      <c r="A715" s="218">
        <v>714</v>
      </c>
      <c r="B715" s="219" t="s">
        <v>2565</v>
      </c>
      <c r="C715" s="64" t="s">
        <v>2608</v>
      </c>
      <c r="D715" s="191" t="s">
        <v>2645</v>
      </c>
      <c r="E715" s="204" t="s">
        <v>259</v>
      </c>
      <c r="F715" s="191" t="str">
        <f>VLOOKUP(MP_registro[[#This Row],[TAG]],'DB-EQUIPOS GEN'!$C$11:$H$833,2,0)</f>
        <v>Tablero de periferia en Asset PH &amp; Cpan</v>
      </c>
      <c r="G715" s="191" t="str">
        <f>VLOOKUP(MP_registro[[#This Row],[TAG]],'DB-EQUIPOS GEN'!$C$11:$H$833,3,0)</f>
        <v>PRODUCCION</v>
      </c>
      <c r="H715" s="191" t="str">
        <f>VLOOKUP(MP_registro[[#This Row],[TAG]],'DB-EQUIPOS GEN'!$C$11:$H$833,4,0)</f>
        <v>CRISTALIZACION POR COCCION</v>
      </c>
      <c r="I715" s="191" t="str">
        <f>VLOOKUP(MP_registro[[#This Row],[TAG]],'DB-EQUIPOS GEN'!$C$11:$H$833,5,0)</f>
        <v>TACHO CONTINUO - A</v>
      </c>
      <c r="J715" s="191" t="str">
        <f>VLOOKUP(MP_registro[[#This Row],[TAG]],'DB-EQUIPOS GEN'!$C$11:$H$833,6,0)</f>
        <v>0335HX200</v>
      </c>
      <c r="K715" s="192">
        <v>44786</v>
      </c>
      <c r="L715" s="193" t="s">
        <v>248</v>
      </c>
      <c r="M715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715" s="201" t="s">
        <v>1664</v>
      </c>
      <c r="O715" s="64" t="s">
        <v>1696</v>
      </c>
    </row>
    <row r="716" spans="1:15" ht="33" customHeight="1">
      <c r="A716" s="218">
        <v>715</v>
      </c>
      <c r="B716" s="219" t="s">
        <v>2565</v>
      </c>
      <c r="C716" s="64" t="s">
        <v>2608</v>
      </c>
      <c r="D716" s="191" t="s">
        <v>2646</v>
      </c>
      <c r="E716" s="204" t="s">
        <v>1344</v>
      </c>
      <c r="F716" s="191" t="str">
        <f>VLOOKUP(MP_registro[[#This Row],[TAG]],'DB-EQUIPOS GEN'!$C$11:$H$833,2,0)</f>
        <v>Controlador C300 en Asset Difusor</v>
      </c>
      <c r="G716" s="191" t="str">
        <f>VLOOKUP(MP_registro[[#This Row],[TAG]],'DB-EQUIPOS GEN'!$C$11:$H$833,3,0)</f>
        <v>EXTRACCION</v>
      </c>
      <c r="H716" s="191" t="str">
        <f>VLOOKUP(MP_registro[[#This Row],[TAG]],'DB-EQUIPOS GEN'!$C$11:$H$833,4,0)</f>
        <v>DIFUSOR</v>
      </c>
      <c r="I716" s="191" t="str">
        <f>VLOOKUP(MP_registro[[#This Row],[TAG]],'DB-EQUIPOS GEN'!$C$11:$H$833,5,0)</f>
        <v>DIFUSOR</v>
      </c>
      <c r="J716" s="191" t="str">
        <f>VLOOKUP(MP_registro[[#This Row],[TAG]],'DB-EQUIPOS GEN'!$C$11:$H$833,6,0)</f>
        <v>0205DF180</v>
      </c>
      <c r="K716" s="192">
        <v>44786</v>
      </c>
      <c r="L716" s="193" t="s">
        <v>248</v>
      </c>
      <c r="M716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716" s="201" t="s">
        <v>1664</v>
      </c>
      <c r="O716" s="64" t="s">
        <v>1696</v>
      </c>
    </row>
    <row r="717" spans="1:15" ht="33" customHeight="1">
      <c r="A717" s="218">
        <v>716</v>
      </c>
      <c r="B717" s="219" t="s">
        <v>2565</v>
      </c>
      <c r="C717" s="64" t="s">
        <v>2608</v>
      </c>
      <c r="D717" s="191" t="s">
        <v>2647</v>
      </c>
      <c r="E717" s="204" t="s">
        <v>2416</v>
      </c>
      <c r="F717" s="191" t="str">
        <f>VLOOKUP(MP_registro[[#This Row],[TAG]],'DB-EQUIPOS GEN'!$C$11:$H$833,2,0)</f>
        <v>Vista Conductor Auxiliar - Superior</v>
      </c>
      <c r="G717" s="191" t="str">
        <f>VLOOKUP(MP_registro[[#This Row],[TAG]],'DB-EQUIPOS GEN'!$C$11:$H$833,3,0)</f>
        <v>EXTRACCION</v>
      </c>
      <c r="H717" s="191" t="str">
        <f>VLOOKUP(MP_registro[[#This Row],[TAG]],'DB-EQUIPOS GEN'!$C$11:$H$833,4,0)</f>
        <v>PREPARACIÓN DE CAÑA</v>
      </c>
      <c r="I717" s="191" t="str">
        <f>VLOOKUP(MP_registro[[#This Row],[TAG]],'DB-EQUIPOS GEN'!$C$11:$H$833,5,0)</f>
        <v>CONDUCTOR AUXILIAR DE CAÑA</v>
      </c>
      <c r="J717" s="191" t="str">
        <f>VLOOKUP(MP_registro[[#This Row],[TAG]],'DB-EQUIPOS GEN'!$C$11:$H$833,6,0)</f>
        <v>0115CV010</v>
      </c>
      <c r="K717" s="192">
        <v>44786</v>
      </c>
      <c r="L717" s="193" t="s">
        <v>245</v>
      </c>
      <c r="M71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717" s="201" t="s">
        <v>1664</v>
      </c>
      <c r="O717" s="64" t="s">
        <v>1696</v>
      </c>
    </row>
    <row r="718" spans="1:15" ht="33" customHeight="1">
      <c r="A718" s="218">
        <v>717</v>
      </c>
      <c r="B718" s="219" t="s">
        <v>2565</v>
      </c>
      <c r="C718" s="64" t="s">
        <v>2608</v>
      </c>
      <c r="D718" s="191" t="s">
        <v>2648</v>
      </c>
      <c r="E718" s="204" t="s">
        <v>2406</v>
      </c>
      <c r="F718" s="191" t="str">
        <f>VLOOKUP(MP_registro[[#This Row],[TAG]],'DB-EQUIPOS GEN'!$C$11:$H$833,2,0)</f>
        <v>Vista Mesa de Caña - Descarga de Tetras</v>
      </c>
      <c r="G718" s="191" t="str">
        <f>VLOOKUP(MP_registro[[#This Row],[TAG]],'DB-EQUIPOS GEN'!$C$11:$H$833,3,0)</f>
        <v>EXTRACCION</v>
      </c>
      <c r="H718" s="191" t="str">
        <f>VLOOKUP(MP_registro[[#This Row],[TAG]],'DB-EQUIPOS GEN'!$C$11:$H$833,4,0)</f>
        <v>RECEPCIÓN DE CAÑA</v>
      </c>
      <c r="I718" s="191" t="str">
        <f>VLOOKUP(MP_registro[[#This Row],[TAG]],'DB-EQUIPOS GEN'!$C$11:$H$833,5,0)</f>
        <v>MESA DE CAÑA</v>
      </c>
      <c r="J718" s="191" t="str">
        <f>VLOOKUP(MP_registro[[#This Row],[TAG]],'DB-EQUIPOS GEN'!$C$11:$H$833,6,0)</f>
        <v>0110FE019</v>
      </c>
      <c r="K718" s="192">
        <v>44786</v>
      </c>
      <c r="L718" s="193" t="s">
        <v>245</v>
      </c>
      <c r="M71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718" s="201" t="s">
        <v>1664</v>
      </c>
      <c r="O718" s="64" t="s">
        <v>1696</v>
      </c>
    </row>
    <row r="719" spans="1:15" ht="33" customHeight="1">
      <c r="A719" s="218">
        <v>718</v>
      </c>
      <c r="B719" s="219" t="s">
        <v>2565</v>
      </c>
      <c r="C719" s="64" t="s">
        <v>2608</v>
      </c>
      <c r="D719" s="191" t="s">
        <v>2649</v>
      </c>
      <c r="E719" s="204" t="s">
        <v>276</v>
      </c>
      <c r="F719" s="191" t="str">
        <f>VLOOKUP(MP_registro[[#This Row],[TAG]],'DB-EQUIPOS GEN'!$C$11:$H$833,2,0)</f>
        <v>PH de jugo encalado - Principal</v>
      </c>
      <c r="G719" s="191" t="str">
        <f>VLOOKUP(MP_registro[[#This Row],[TAG]],'DB-EQUIPOS GEN'!$C$11:$H$833,3,0)</f>
        <v>PRODUCCION</v>
      </c>
      <c r="H719" s="191" t="str">
        <f>VLOOKUP(MP_registro[[#This Row],[TAG]],'DB-EQUIPOS GEN'!$C$11:$H$833,4,0)</f>
        <v>CLARIFICACION DE JUGO</v>
      </c>
      <c r="I719" s="191" t="str">
        <f>VLOOKUP(MP_registro[[#This Row],[TAG]],'DB-EQUIPOS GEN'!$C$11:$H$833,5,0)</f>
        <v xml:space="preserve">TANQUE DE JUGO COLADO </v>
      </c>
      <c r="J719" s="191" t="str">
        <f>VLOOKUP(MP_registro[[#This Row],[TAG]],'DB-EQUIPOS GEN'!$C$11:$H$833,6,0)</f>
        <v xml:space="preserve"> 0305TK040</v>
      </c>
      <c r="K719" s="192">
        <v>44787</v>
      </c>
      <c r="L719" s="193" t="s">
        <v>247</v>
      </c>
      <c r="M71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19" s="201" t="s">
        <v>1664</v>
      </c>
      <c r="O719" s="64" t="s">
        <v>1696</v>
      </c>
    </row>
    <row r="720" spans="1:15" ht="33" customHeight="1">
      <c r="A720" s="218">
        <v>719</v>
      </c>
      <c r="B720" s="219" t="s">
        <v>2565</v>
      </c>
      <c r="C720" s="64" t="s">
        <v>2608</v>
      </c>
      <c r="D720" s="191" t="s">
        <v>2650</v>
      </c>
      <c r="E720" s="204" t="s">
        <v>290</v>
      </c>
      <c r="F720" s="191" t="str">
        <f>VLOOKUP(MP_registro[[#This Row],[TAG]],'DB-EQUIPOS GEN'!$C$11:$H$833,2,0)</f>
        <v>Nivel del tanque sacarato</v>
      </c>
      <c r="G720" s="191" t="str">
        <f>VLOOKUP(MP_registro[[#This Row],[TAG]],'DB-EQUIPOS GEN'!$C$11:$H$833,3,0)</f>
        <v>PRODUCCION</v>
      </c>
      <c r="H720" s="191" t="str">
        <f>VLOOKUP(MP_registro[[#This Row],[TAG]],'DB-EQUIPOS GEN'!$C$11:$H$833,4,0)</f>
        <v>PLANTA DE CAL</v>
      </c>
      <c r="I720" s="191" t="str">
        <f>VLOOKUP(MP_registro[[#This Row],[TAG]],'DB-EQUIPOS GEN'!$C$11:$H$833,5,0)</f>
        <v>TANQUE DE SACARATO DE CALCIO</v>
      </c>
      <c r="J720" s="191" t="str">
        <f>VLOOKUP(MP_registro[[#This Row],[TAG]],'DB-EQUIPOS GEN'!$C$11:$H$833,6,0)</f>
        <v xml:space="preserve">0315TK135 </v>
      </c>
      <c r="K720" s="192">
        <v>44787</v>
      </c>
      <c r="L720" s="193" t="s">
        <v>249</v>
      </c>
      <c r="M72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20" s="201" t="s">
        <v>1695</v>
      </c>
      <c r="O720" s="64" t="s">
        <v>1696</v>
      </c>
    </row>
    <row r="721" spans="1:15" ht="33" customHeight="1">
      <c r="A721" s="218">
        <v>720</v>
      </c>
      <c r="B721" s="219" t="s">
        <v>2565</v>
      </c>
      <c r="C721" s="64" t="s">
        <v>2608</v>
      </c>
      <c r="D721" s="191" t="s">
        <v>2651</v>
      </c>
      <c r="E721" s="204" t="s">
        <v>1073</v>
      </c>
      <c r="F721" s="191" t="str">
        <f>VLOOKUP(MP_registro[[#This Row],[TAG]],'DB-EQUIPOS GEN'!$C$11:$H$833,2,0)</f>
        <v>Valvula de control de nivel del tanque flash</v>
      </c>
      <c r="G721" s="191" t="str">
        <f>VLOOKUP(MP_registro[[#This Row],[TAG]],'DB-EQUIPOS GEN'!$C$11:$H$833,3,0)</f>
        <v>PRODUCCION</v>
      </c>
      <c r="H721" s="191" t="str">
        <f>VLOOKUP(MP_registro[[#This Row],[TAG]],'DB-EQUIPOS GEN'!$C$11:$H$833,4,0)</f>
        <v>CLARIFICACION DE JUGO</v>
      </c>
      <c r="I721" s="191" t="str">
        <f>VLOOKUP(MP_registro[[#This Row],[TAG]],'DB-EQUIPOS GEN'!$C$11:$H$833,5,0)</f>
        <v>TANQUE FLASH</v>
      </c>
      <c r="J721" s="191" t="str">
        <f>VLOOKUP(MP_registro[[#This Row],[TAG]],'DB-EQUIPOS GEN'!$C$11:$H$833,6,0)</f>
        <v>0305TK270</v>
      </c>
      <c r="K721" s="192">
        <v>44787</v>
      </c>
      <c r="L721" s="193" t="s">
        <v>249</v>
      </c>
      <c r="M72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21" s="201" t="s">
        <v>1664</v>
      </c>
      <c r="O721" s="64" t="s">
        <v>1696</v>
      </c>
    </row>
    <row r="722" spans="1:15" ht="33" customHeight="1">
      <c r="A722" s="218">
        <v>721</v>
      </c>
      <c r="B722" s="219" t="s">
        <v>2565</v>
      </c>
      <c r="C722" s="64" t="s">
        <v>2608</v>
      </c>
      <c r="D722" s="191" t="s">
        <v>2652</v>
      </c>
      <c r="E722" s="204" t="s">
        <v>772</v>
      </c>
      <c r="F722" s="191" t="str">
        <f>VLOOKUP(MP_registro[[#This Row],[TAG]],'DB-EQUIPOS GEN'!$C$11:$H$833,2,0)</f>
        <v>Brix de masa C - Celda 4</v>
      </c>
      <c r="G722" s="191" t="str">
        <f>VLOOKUP(MP_registro[[#This Row],[TAG]],'DB-EQUIPOS GEN'!$C$11:$H$833,3,0)</f>
        <v>PRODUCCION</v>
      </c>
      <c r="H722" s="191" t="str">
        <f>VLOOKUP(MP_registro[[#This Row],[TAG]],'DB-EQUIPOS GEN'!$C$11:$H$833,4,0)</f>
        <v>CRISTALIZACION POR COCCION</v>
      </c>
      <c r="I722" s="191" t="str">
        <f>VLOOKUP(MP_registro[[#This Row],[TAG]],'DB-EQUIPOS GEN'!$C$11:$H$833,5,0)</f>
        <v xml:space="preserve">TACHO CONTINUO C </v>
      </c>
      <c r="J722" s="191" t="str">
        <f>VLOOKUP(MP_registro[[#This Row],[TAG]],'DB-EQUIPOS GEN'!$C$11:$H$833,6,0)</f>
        <v xml:space="preserve"> 0335HX260</v>
      </c>
      <c r="K722" s="192">
        <v>44787</v>
      </c>
      <c r="L722" s="193" t="s">
        <v>247</v>
      </c>
      <c r="M72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22" s="201" t="s">
        <v>1664</v>
      </c>
      <c r="O722" s="64" t="s">
        <v>1696</v>
      </c>
    </row>
    <row r="723" spans="1:15" ht="33" customHeight="1">
      <c r="A723" s="218">
        <v>722</v>
      </c>
      <c r="B723" s="219" t="s">
        <v>2565</v>
      </c>
      <c r="C723" s="64" t="s">
        <v>2608</v>
      </c>
      <c r="D723" s="191" t="s">
        <v>2653</v>
      </c>
      <c r="E723" s="204" t="s">
        <v>780</v>
      </c>
      <c r="F723" s="191" t="str">
        <f>VLOOKUP(MP_registro[[#This Row],[TAG]],'DB-EQUIPOS GEN'!$C$11:$H$833,2,0)</f>
        <v>Brix de masa C - Celda 8</v>
      </c>
      <c r="G723" s="191" t="str">
        <f>VLOOKUP(MP_registro[[#This Row],[TAG]],'DB-EQUIPOS GEN'!$C$11:$H$833,3,0)</f>
        <v>PRODUCCION</v>
      </c>
      <c r="H723" s="191" t="str">
        <f>VLOOKUP(MP_registro[[#This Row],[TAG]],'DB-EQUIPOS GEN'!$C$11:$H$833,4,0)</f>
        <v>CRISTALIZACION POR COCCION</v>
      </c>
      <c r="I723" s="191" t="str">
        <f>VLOOKUP(MP_registro[[#This Row],[TAG]],'DB-EQUIPOS GEN'!$C$11:$H$833,5,0)</f>
        <v xml:space="preserve">TACHO CONTINUO C </v>
      </c>
      <c r="J723" s="191" t="str">
        <f>VLOOKUP(MP_registro[[#This Row],[TAG]],'DB-EQUIPOS GEN'!$C$11:$H$833,6,0)</f>
        <v xml:space="preserve"> 0335HX260</v>
      </c>
      <c r="K723" s="192">
        <v>44787</v>
      </c>
      <c r="L723" s="193" t="s">
        <v>249</v>
      </c>
      <c r="M72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23" s="201" t="s">
        <v>1695</v>
      </c>
      <c r="O723" s="64" t="s">
        <v>1696</v>
      </c>
    </row>
    <row r="724" spans="1:15" ht="33" customHeight="1">
      <c r="A724" s="218">
        <v>723</v>
      </c>
      <c r="B724" s="219" t="s">
        <v>2565</v>
      </c>
      <c r="C724" s="64" t="s">
        <v>2608</v>
      </c>
      <c r="D724" s="191" t="s">
        <v>2654</v>
      </c>
      <c r="E724" s="204" t="s">
        <v>1340</v>
      </c>
      <c r="F724" s="191" t="str">
        <f>VLOOKUP(MP_registro[[#This Row],[TAG]],'DB-EQUIPOS GEN'!$C$11:$H$833,2,0)</f>
        <v>Controlador C300 en Asset Caldera</v>
      </c>
      <c r="G724" s="191" t="str">
        <f>VLOOKUP(MP_registro[[#This Row],[TAG]],'DB-EQUIPOS GEN'!$C$11:$H$833,3,0)</f>
        <v>E. TERMICA</v>
      </c>
      <c r="H724" s="191" t="str">
        <f>VLOOKUP(MP_registro[[#This Row],[TAG]],'DB-EQUIPOS GEN'!$C$11:$H$833,4,0)</f>
        <v>GENERACION DE VAPOR</v>
      </c>
      <c r="I724" s="191" t="str">
        <f>VLOOKUP(MP_registro[[#This Row],[TAG]],'DB-EQUIPOS GEN'!$C$11:$H$833,5,0)</f>
        <v>CALDERA</v>
      </c>
      <c r="J724" s="191" t="str">
        <f>VLOOKUP(MP_registro[[#This Row],[TAG]],'DB-EQUIPOS GEN'!$C$11:$H$833,6,0)</f>
        <v>0405BR010</v>
      </c>
      <c r="K724" s="192">
        <v>44787</v>
      </c>
      <c r="L724" s="193" t="s">
        <v>248</v>
      </c>
      <c r="M724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724" s="201" t="s">
        <v>1664</v>
      </c>
      <c r="O724" s="64" t="s">
        <v>1696</v>
      </c>
    </row>
    <row r="725" spans="1:15" ht="33" customHeight="1">
      <c r="A725" s="218">
        <v>724</v>
      </c>
      <c r="B725" s="219" t="s">
        <v>2565</v>
      </c>
      <c r="C725" s="64" t="s">
        <v>2608</v>
      </c>
      <c r="D725" s="191" t="s">
        <v>2655</v>
      </c>
      <c r="E725" s="204" t="s">
        <v>1342</v>
      </c>
      <c r="F725" s="191" t="str">
        <f>VLOOKUP(MP_registro[[#This Row],[TAG]],'DB-EQUIPOS GEN'!$C$11:$H$833,2,0)</f>
        <v>Controlador C300 en Asset Turbina</v>
      </c>
      <c r="G725" s="191" t="str">
        <f>VLOOKUP(MP_registro[[#This Row],[TAG]],'DB-EQUIPOS GEN'!$C$11:$H$833,3,0)</f>
        <v>E. ELECTRICA</v>
      </c>
      <c r="H725" s="191" t="str">
        <f>VLOOKUP(MP_registro[[#This Row],[TAG]],'DB-EQUIPOS GEN'!$C$11:$H$833,4,0)</f>
        <v>GENERACION ENERG. ELEC. TURBO GENERADOR</v>
      </c>
      <c r="I725" s="191" t="str">
        <f>VLOOKUP(MP_registro[[#This Row],[TAG]],'DB-EQUIPOS GEN'!$C$11:$H$833,5,0)</f>
        <v>TURBOGENERADOR 7.5 MW</v>
      </c>
      <c r="J725" s="191" t="str">
        <f>VLOOKUP(MP_registro[[#This Row],[TAG]],'DB-EQUIPOS GEN'!$C$11:$H$833,6,0)</f>
        <v>0430TG010</v>
      </c>
      <c r="K725" s="192">
        <v>44787</v>
      </c>
      <c r="L725" s="193" t="s">
        <v>248</v>
      </c>
      <c r="M725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725" s="201" t="s">
        <v>1664</v>
      </c>
      <c r="O725" s="64" t="s">
        <v>1696</v>
      </c>
    </row>
    <row r="726" spans="1:15" ht="33" customHeight="1">
      <c r="A726" s="218">
        <v>725</v>
      </c>
      <c r="B726" s="219" t="s">
        <v>2565</v>
      </c>
      <c r="C726" s="64" t="s">
        <v>2608</v>
      </c>
      <c r="D726" s="191" t="s">
        <v>2656</v>
      </c>
      <c r="E726" s="204" t="s">
        <v>1348</v>
      </c>
      <c r="F726" s="191" t="str">
        <f>VLOOKUP(MP_registro[[#This Row],[TAG]],'DB-EQUIPOS GEN'!$C$11:$H$833,2,0)</f>
        <v>Controlador C300 en Asset Cocimiento</v>
      </c>
      <c r="G726" s="191" t="str">
        <f>VLOOKUP(MP_registro[[#This Row],[TAG]],'DB-EQUIPOS GEN'!$C$11:$H$833,3,0)</f>
        <v>PRODUCCION</v>
      </c>
      <c r="H726" s="191" t="str">
        <f>VLOOKUP(MP_registro[[#This Row],[TAG]],'DB-EQUIPOS GEN'!$C$11:$H$833,4,0)</f>
        <v>CRISTALIZACION POR COCCION</v>
      </c>
      <c r="I726" s="191" t="str">
        <f>VLOOKUP(MP_registro[[#This Row],[TAG]],'DB-EQUIPOS GEN'!$C$11:$H$833,5,0)</f>
        <v>TACHO CONTINUO - A</v>
      </c>
      <c r="J726" s="191" t="str">
        <f>VLOOKUP(MP_registro[[#This Row],[TAG]],'DB-EQUIPOS GEN'!$C$11:$H$833,6,0)</f>
        <v>0335HX200</v>
      </c>
      <c r="K726" s="192">
        <v>44787</v>
      </c>
      <c r="L726" s="193" t="s">
        <v>248</v>
      </c>
      <c r="M726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726" s="201" t="s">
        <v>1664</v>
      </c>
      <c r="O726" s="64" t="s">
        <v>1696</v>
      </c>
    </row>
    <row r="727" spans="1:15" ht="33" customHeight="1">
      <c r="A727" s="218">
        <v>726</v>
      </c>
      <c r="B727" s="219" t="s">
        <v>2565</v>
      </c>
      <c r="C727" s="64" t="s">
        <v>2608</v>
      </c>
      <c r="D727" s="191" t="s">
        <v>2657</v>
      </c>
      <c r="E727" s="204" t="s">
        <v>1350</v>
      </c>
      <c r="F727" s="191" t="str">
        <f>VLOOKUP(MP_registro[[#This Row],[TAG]],'DB-EQUIPOS GEN'!$C$11:$H$833,2,0)</f>
        <v>Controlador C300 en Asset PH &amp; Cpan</v>
      </c>
      <c r="G727" s="191" t="str">
        <f>VLOOKUP(MP_registro[[#This Row],[TAG]],'DB-EQUIPOS GEN'!$C$11:$H$833,3,0)</f>
        <v>PRODUCCION</v>
      </c>
      <c r="H727" s="191" t="str">
        <f>VLOOKUP(MP_registro[[#This Row],[TAG]],'DB-EQUIPOS GEN'!$C$11:$H$833,4,0)</f>
        <v>CRISTALIZACION POR COCCION</v>
      </c>
      <c r="I727" s="191" t="str">
        <f>VLOOKUP(MP_registro[[#This Row],[TAG]],'DB-EQUIPOS GEN'!$C$11:$H$833,5,0)</f>
        <v>TACHO CONTINUO - A</v>
      </c>
      <c r="J727" s="191" t="str">
        <f>VLOOKUP(MP_registro[[#This Row],[TAG]],'DB-EQUIPOS GEN'!$C$11:$H$833,6,0)</f>
        <v>0335HX200</v>
      </c>
      <c r="K727" s="192">
        <v>44787</v>
      </c>
      <c r="L727" s="193" t="s">
        <v>248</v>
      </c>
      <c r="M727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727" s="201" t="s">
        <v>1664</v>
      </c>
      <c r="O727" s="64" t="s">
        <v>1696</v>
      </c>
    </row>
    <row r="728" spans="1:15" ht="33" customHeight="1">
      <c r="A728" s="218">
        <v>727</v>
      </c>
      <c r="B728" s="219" t="s">
        <v>2565</v>
      </c>
      <c r="C728" s="64" t="s">
        <v>2608</v>
      </c>
      <c r="D728" s="191" t="s">
        <v>2658</v>
      </c>
      <c r="E728" s="204" t="s">
        <v>1644</v>
      </c>
      <c r="F728" s="191" t="str">
        <f>VLOOKUP(MP_registro[[#This Row],[TAG]],'DB-EQUIPOS GEN'!$C$11:$H$833,2,0)</f>
        <v>Explanada de Turbina Triveni</v>
      </c>
      <c r="G728" s="191" t="str">
        <f>VLOOKUP(MP_registro[[#This Row],[TAG]],'DB-EQUIPOS GEN'!$C$11:$H$833,3,0)</f>
        <v>E. ELECTRICA</v>
      </c>
      <c r="H728" s="191" t="str">
        <f>VLOOKUP(MP_registro[[#This Row],[TAG]],'DB-EQUIPOS GEN'!$C$11:$H$833,4,0)</f>
        <v>GENERACIÓN ENERG. ELEC. TURBO GENERADOR</v>
      </c>
      <c r="I728" s="191" t="str">
        <f>VLOOKUP(MP_registro[[#This Row],[TAG]],'DB-EQUIPOS GEN'!$C$11:$H$833,5,0)</f>
        <v>TURBOGENERADOR TRIVENI 23.2 MW</v>
      </c>
      <c r="J728" s="191" t="str">
        <f>VLOOKUP(MP_registro[[#This Row],[TAG]],'DB-EQUIPOS GEN'!$C$11:$H$833,6,0)</f>
        <v>0430TG020</v>
      </c>
      <c r="K728" s="192">
        <v>44787</v>
      </c>
      <c r="L728" s="193" t="s">
        <v>247</v>
      </c>
      <c r="M72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28" s="201" t="s">
        <v>1664</v>
      </c>
      <c r="O728" s="64" t="s">
        <v>1696</v>
      </c>
    </row>
    <row r="729" spans="1:15" ht="33" customHeight="1">
      <c r="A729" s="218">
        <v>728</v>
      </c>
      <c r="B729" s="219" t="s">
        <v>2565</v>
      </c>
      <c r="C729" s="64" t="s">
        <v>2608</v>
      </c>
      <c r="D729" s="191" t="s">
        <v>2659</v>
      </c>
      <c r="E729" s="204" t="s">
        <v>1647</v>
      </c>
      <c r="F729" s="191" t="str">
        <f>VLOOKUP(MP_registro[[#This Row],[TAG]],'DB-EQUIPOS GEN'!$C$11:$H$833,2,0)</f>
        <v>Explanada frontal de Turbina Triveni</v>
      </c>
      <c r="G729" s="191" t="str">
        <f>VLOOKUP(MP_registro[[#This Row],[TAG]],'DB-EQUIPOS GEN'!$C$11:$H$833,3,0)</f>
        <v>E. ELECTRICA</v>
      </c>
      <c r="H729" s="191" t="str">
        <f>VLOOKUP(MP_registro[[#This Row],[TAG]],'DB-EQUIPOS GEN'!$C$11:$H$833,4,0)</f>
        <v>GENERACIÓN ENERG. ELEC. TURBO GENERADOR</v>
      </c>
      <c r="I729" s="191" t="str">
        <f>VLOOKUP(MP_registro[[#This Row],[TAG]],'DB-EQUIPOS GEN'!$C$11:$H$833,5,0)</f>
        <v>TURBOGENERADOR TRIVENI 23.2 MW</v>
      </c>
      <c r="J729" s="191" t="str">
        <f>VLOOKUP(MP_registro[[#This Row],[TAG]],'DB-EQUIPOS GEN'!$C$11:$H$833,6,0)</f>
        <v>0430TG020</v>
      </c>
      <c r="K729" s="192">
        <v>44787</v>
      </c>
      <c r="L729" s="193" t="s">
        <v>249</v>
      </c>
      <c r="M72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29" s="201" t="s">
        <v>1664</v>
      </c>
      <c r="O729" s="64" t="s">
        <v>1696</v>
      </c>
    </row>
    <row r="730" spans="1:15" ht="33" customHeight="1">
      <c r="A730" s="218">
        <v>729</v>
      </c>
      <c r="B730" s="219" t="s">
        <v>2565</v>
      </c>
      <c r="C730" s="64" t="s">
        <v>2609</v>
      </c>
      <c r="D730" s="191" t="s">
        <v>2662</v>
      </c>
      <c r="E730" s="204" t="s">
        <v>350</v>
      </c>
      <c r="F730" s="191" t="str">
        <f>VLOOKUP(MP_registro[[#This Row],[TAG]],'DB-EQUIPOS GEN'!$C$11:$H$833,2,0)</f>
        <v xml:space="preserve">Nivel de tanque de agua lavado </v>
      </c>
      <c r="G730" s="191" t="str">
        <f>VLOOKUP(MP_registro[[#This Row],[TAG]],'DB-EQUIPOS GEN'!$C$11:$H$833,3,0)</f>
        <v>EXTRACCION</v>
      </c>
      <c r="H730" s="191" t="str">
        <f>VLOOKUP(MP_registro[[#This Row],[TAG]],'DB-EQUIPOS GEN'!$C$11:$H$833,4,0)</f>
        <v>DIFUSOR</v>
      </c>
      <c r="I730" s="191" t="str">
        <f>VLOOKUP(MP_registro[[#This Row],[TAG]],'DB-EQUIPOS GEN'!$C$11:$H$833,5,0)</f>
        <v>TANQUE DE AGUA CALIENTE PARA LAVADO DE TAMIZ</v>
      </c>
      <c r="J730" s="191" t="str">
        <f>VLOOKUP(MP_registro[[#This Row],[TAG]],'DB-EQUIPOS GEN'!$C$11:$H$833,6,0)</f>
        <v>0305TK020</v>
      </c>
      <c r="K730" s="192">
        <v>44788</v>
      </c>
      <c r="L730" s="193" t="s">
        <v>245</v>
      </c>
      <c r="M73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730" s="201" t="s">
        <v>1664</v>
      </c>
      <c r="O730" s="64" t="s">
        <v>1696</v>
      </c>
    </row>
    <row r="731" spans="1:15" ht="33" customHeight="1">
      <c r="A731" s="218">
        <v>730</v>
      </c>
      <c r="B731" s="219" t="s">
        <v>2565</v>
      </c>
      <c r="C731" s="64" t="s">
        <v>2609</v>
      </c>
      <c r="D731" s="191" t="s">
        <v>2663</v>
      </c>
      <c r="E731" s="204" t="s">
        <v>1160</v>
      </c>
      <c r="F731" s="191" t="str">
        <f>VLOOKUP(MP_registro[[#This Row],[TAG]],'DB-EQUIPOS GEN'!$C$11:$H$833,2,0)</f>
        <v>Valvula ingreso de agua de imbibicion</v>
      </c>
      <c r="G731" s="191" t="str">
        <f>VLOOKUP(MP_registro[[#This Row],[TAG]],'DB-EQUIPOS GEN'!$C$11:$H$833,3,0)</f>
        <v>EXTRACCION</v>
      </c>
      <c r="H731" s="191" t="str">
        <f>VLOOKUP(MP_registro[[#This Row],[TAG]],'DB-EQUIPOS GEN'!$C$11:$H$833,4,0)</f>
        <v>DIFUSOR</v>
      </c>
      <c r="I731" s="191" t="str">
        <f>VLOOKUP(MP_registro[[#This Row],[TAG]],'DB-EQUIPOS GEN'!$C$11:$H$833,5,0)</f>
        <v>DIFUSOR</v>
      </c>
      <c r="J731" s="191" t="str">
        <f>VLOOKUP(MP_registro[[#This Row],[TAG]],'DB-EQUIPOS GEN'!$C$11:$H$833,6,0)</f>
        <v>0205DF180</v>
      </c>
      <c r="K731" s="192">
        <v>44788</v>
      </c>
      <c r="L731" s="193" t="s">
        <v>245</v>
      </c>
      <c r="M73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731" s="201" t="s">
        <v>1664</v>
      </c>
      <c r="O731" s="64" t="s">
        <v>1696</v>
      </c>
    </row>
    <row r="732" spans="1:15" ht="33" customHeight="1">
      <c r="A732" s="218">
        <v>731</v>
      </c>
      <c r="B732" s="219" t="s">
        <v>2565</v>
      </c>
      <c r="C732" s="64" t="s">
        <v>2609</v>
      </c>
      <c r="D732" s="191" t="s">
        <v>2664</v>
      </c>
      <c r="E732" s="204" t="s">
        <v>397</v>
      </c>
      <c r="F732" s="191" t="str">
        <f>VLOOKUP(MP_registro[[#This Row],[TAG]],'DB-EQUIPOS GEN'!$C$11:$H$833,2,0)</f>
        <v>Nivel de jugo en CMA</v>
      </c>
      <c r="G732" s="191" t="str">
        <f>VLOOKUP(MP_registro[[#This Row],[TAG]],'DB-EQUIPOS GEN'!$C$11:$H$833,3,0)</f>
        <v>EXTRACCION</v>
      </c>
      <c r="H732" s="191" t="str">
        <f>VLOOKUP(MP_registro[[#This Row],[TAG]],'DB-EQUIPOS GEN'!$C$11:$H$833,4,0)</f>
        <v>DIFUSOR</v>
      </c>
      <c r="I732" s="191" t="str">
        <f>VLOOKUP(MP_registro[[#This Row],[TAG]],'DB-EQUIPOS GEN'!$C$11:$H$833,5,0)</f>
        <v xml:space="preserve">DIFUSOR </v>
      </c>
      <c r="J732" s="191" t="str">
        <f>VLOOKUP(MP_registro[[#This Row],[TAG]],'DB-EQUIPOS GEN'!$C$11:$H$833,6,0)</f>
        <v>0205DF180</v>
      </c>
      <c r="K732" s="192">
        <v>44788</v>
      </c>
      <c r="L732" s="193"/>
      <c r="M732" s="77"/>
      <c r="N732" s="201" t="s">
        <v>1695</v>
      </c>
      <c r="O732" s="64" t="s">
        <v>1696</v>
      </c>
    </row>
    <row r="733" spans="1:15" ht="33" customHeight="1">
      <c r="A733" s="218">
        <v>732</v>
      </c>
      <c r="B733" s="219" t="s">
        <v>2565</v>
      </c>
      <c r="C733" s="64" t="s">
        <v>2609</v>
      </c>
      <c r="D733" s="191" t="s">
        <v>2665</v>
      </c>
      <c r="E733" s="204" t="s">
        <v>401</v>
      </c>
      <c r="F733" s="191" t="str">
        <f>VLOOKUP(MP_registro[[#This Row],[TAG]],'DB-EQUIPOS GEN'!$C$11:$H$833,2,0)</f>
        <v>Nivel de jugo en CMB</v>
      </c>
      <c r="G733" s="191" t="str">
        <f>VLOOKUP(MP_registro[[#This Row],[TAG]],'DB-EQUIPOS GEN'!$C$11:$H$833,3,0)</f>
        <v>EXTRACCION</v>
      </c>
      <c r="H733" s="191" t="str">
        <f>VLOOKUP(MP_registro[[#This Row],[TAG]],'DB-EQUIPOS GEN'!$C$11:$H$833,4,0)</f>
        <v>DIFUSOR</v>
      </c>
      <c r="I733" s="191" t="str">
        <f>VLOOKUP(MP_registro[[#This Row],[TAG]],'DB-EQUIPOS GEN'!$C$11:$H$833,5,0)</f>
        <v xml:space="preserve">DIFUSOR </v>
      </c>
      <c r="J733" s="191" t="str">
        <f>VLOOKUP(MP_registro[[#This Row],[TAG]],'DB-EQUIPOS GEN'!$C$11:$H$833,6,0)</f>
        <v>0205DF180</v>
      </c>
      <c r="K733" s="192">
        <v>44788</v>
      </c>
      <c r="L733" s="193"/>
      <c r="M733" s="77"/>
      <c r="N733" s="201" t="s">
        <v>1695</v>
      </c>
      <c r="O733" s="64" t="s">
        <v>1696</v>
      </c>
    </row>
    <row r="734" spans="1:15" ht="33" customHeight="1">
      <c r="A734" s="218">
        <v>733</v>
      </c>
      <c r="B734" s="219" t="s">
        <v>2565</v>
      </c>
      <c r="C734" s="64" t="s">
        <v>2609</v>
      </c>
      <c r="D734" s="191" t="s">
        <v>2666</v>
      </c>
      <c r="E734" s="204" t="s">
        <v>405</v>
      </c>
      <c r="F734" s="191" t="str">
        <f>VLOOKUP(MP_registro[[#This Row],[TAG]],'DB-EQUIPOS GEN'!$C$11:$H$833,2,0)</f>
        <v>Nivel de jugo en C1</v>
      </c>
      <c r="G734" s="191" t="str">
        <f>VLOOKUP(MP_registro[[#This Row],[TAG]],'DB-EQUIPOS GEN'!$C$11:$H$833,3,0)</f>
        <v>EXTRACCION</v>
      </c>
      <c r="H734" s="191" t="str">
        <f>VLOOKUP(MP_registro[[#This Row],[TAG]],'DB-EQUIPOS GEN'!$C$11:$H$833,4,0)</f>
        <v>DIFUSOR</v>
      </c>
      <c r="I734" s="191" t="str">
        <f>VLOOKUP(MP_registro[[#This Row],[TAG]],'DB-EQUIPOS GEN'!$C$11:$H$833,5,0)</f>
        <v xml:space="preserve">DIFUSOR </v>
      </c>
      <c r="J734" s="191" t="str">
        <f>VLOOKUP(MP_registro[[#This Row],[TAG]],'DB-EQUIPOS GEN'!$C$11:$H$833,6,0)</f>
        <v>0205DF180</v>
      </c>
      <c r="K734" s="192">
        <v>44788</v>
      </c>
      <c r="L734" s="193"/>
      <c r="M734" s="77"/>
      <c r="N734" s="201" t="s">
        <v>1695</v>
      </c>
      <c r="O734" s="64" t="s">
        <v>1696</v>
      </c>
    </row>
    <row r="735" spans="1:15" ht="33" customHeight="1">
      <c r="A735" s="218">
        <v>734</v>
      </c>
      <c r="B735" s="219" t="s">
        <v>2565</v>
      </c>
      <c r="C735" s="64" t="s">
        <v>2609</v>
      </c>
      <c r="D735" s="191" t="s">
        <v>2667</v>
      </c>
      <c r="E735" s="204" t="s">
        <v>409</v>
      </c>
      <c r="F735" s="191" t="str">
        <f>VLOOKUP(MP_registro[[#This Row],[TAG]],'DB-EQUIPOS GEN'!$C$11:$H$833,2,0)</f>
        <v>Nivel de jugo en C2</v>
      </c>
      <c r="G735" s="191" t="str">
        <f>VLOOKUP(MP_registro[[#This Row],[TAG]],'DB-EQUIPOS GEN'!$C$11:$H$833,3,0)</f>
        <v>EXTRACCION</v>
      </c>
      <c r="H735" s="191" t="str">
        <f>VLOOKUP(MP_registro[[#This Row],[TAG]],'DB-EQUIPOS GEN'!$C$11:$H$833,4,0)</f>
        <v>DIFUSOR</v>
      </c>
      <c r="I735" s="191" t="str">
        <f>VLOOKUP(MP_registro[[#This Row],[TAG]],'DB-EQUIPOS GEN'!$C$11:$H$833,5,0)</f>
        <v xml:space="preserve">DIFUSOR </v>
      </c>
      <c r="J735" s="191" t="str">
        <f>VLOOKUP(MP_registro[[#This Row],[TAG]],'DB-EQUIPOS GEN'!$C$11:$H$833,6,0)</f>
        <v>0205DF180</v>
      </c>
      <c r="K735" s="192">
        <v>44788</v>
      </c>
      <c r="L735" s="193"/>
      <c r="M735" s="77"/>
      <c r="N735" s="201" t="s">
        <v>1695</v>
      </c>
      <c r="O735" s="64" t="s">
        <v>1696</v>
      </c>
    </row>
    <row r="736" spans="1:15" ht="33" customHeight="1">
      <c r="A736" s="218">
        <v>735</v>
      </c>
      <c r="B736" s="219" t="s">
        <v>2565</v>
      </c>
      <c r="C736" s="64" t="s">
        <v>2609</v>
      </c>
      <c r="D736" s="191" t="s">
        <v>2668</v>
      </c>
      <c r="E736" s="204" t="s">
        <v>413</v>
      </c>
      <c r="F736" s="191" t="str">
        <f>VLOOKUP(MP_registro[[#This Row],[TAG]],'DB-EQUIPOS GEN'!$C$11:$H$833,2,0)</f>
        <v>Nivel de jugo en C3</v>
      </c>
      <c r="G736" s="191" t="str">
        <f>VLOOKUP(MP_registro[[#This Row],[TAG]],'DB-EQUIPOS GEN'!$C$11:$H$833,3,0)</f>
        <v>EXTRACCION</v>
      </c>
      <c r="H736" s="191" t="str">
        <f>VLOOKUP(MP_registro[[#This Row],[TAG]],'DB-EQUIPOS GEN'!$C$11:$H$833,4,0)</f>
        <v>DIFUSOR</v>
      </c>
      <c r="I736" s="191" t="str">
        <f>VLOOKUP(MP_registro[[#This Row],[TAG]],'DB-EQUIPOS GEN'!$C$11:$H$833,5,0)</f>
        <v xml:space="preserve">DIFUSOR </v>
      </c>
      <c r="J736" s="191" t="str">
        <f>VLOOKUP(MP_registro[[#This Row],[TAG]],'DB-EQUIPOS GEN'!$C$11:$H$833,6,0)</f>
        <v>0205DF180</v>
      </c>
      <c r="K736" s="192">
        <v>44788</v>
      </c>
      <c r="L736" s="193"/>
      <c r="M736" s="77"/>
      <c r="N736" s="201" t="s">
        <v>1695</v>
      </c>
      <c r="O736" s="64" t="s">
        <v>1696</v>
      </c>
    </row>
    <row r="737" spans="1:15" ht="33" customHeight="1">
      <c r="A737" s="218">
        <v>736</v>
      </c>
      <c r="B737" s="219" t="s">
        <v>2565</v>
      </c>
      <c r="C737" s="64" t="s">
        <v>2609</v>
      </c>
      <c r="D737" s="191" t="s">
        <v>2669</v>
      </c>
      <c r="E737" s="204" t="s">
        <v>417</v>
      </c>
      <c r="F737" s="191" t="str">
        <f>VLOOKUP(MP_registro[[#This Row],[TAG]],'DB-EQUIPOS GEN'!$C$11:$H$833,2,0)</f>
        <v>Nivel de jugo en C4</v>
      </c>
      <c r="G737" s="191" t="str">
        <f>VLOOKUP(MP_registro[[#This Row],[TAG]],'DB-EQUIPOS GEN'!$C$11:$H$833,3,0)</f>
        <v>EXTRACCION</v>
      </c>
      <c r="H737" s="191" t="str">
        <f>VLOOKUP(MP_registro[[#This Row],[TAG]],'DB-EQUIPOS GEN'!$C$11:$H$833,4,0)</f>
        <v>DIFUSOR</v>
      </c>
      <c r="I737" s="191" t="str">
        <f>VLOOKUP(MP_registro[[#This Row],[TAG]],'DB-EQUIPOS GEN'!$C$11:$H$833,5,0)</f>
        <v xml:space="preserve">DIFUSOR </v>
      </c>
      <c r="J737" s="191" t="str">
        <f>VLOOKUP(MP_registro[[#This Row],[TAG]],'DB-EQUIPOS GEN'!$C$11:$H$833,6,0)</f>
        <v>0205DF180</v>
      </c>
      <c r="K737" s="192">
        <v>44788</v>
      </c>
      <c r="L737" s="193"/>
      <c r="M737" s="77"/>
      <c r="N737" s="201" t="s">
        <v>1695</v>
      </c>
      <c r="O737" s="64" t="s">
        <v>1696</v>
      </c>
    </row>
    <row r="738" spans="1:15" ht="33" customHeight="1">
      <c r="A738" s="218">
        <v>737</v>
      </c>
      <c r="B738" s="219" t="s">
        <v>2565</v>
      </c>
      <c r="C738" s="64" t="s">
        <v>2609</v>
      </c>
      <c r="D738" s="191" t="s">
        <v>2670</v>
      </c>
      <c r="E738" s="204" t="s">
        <v>421</v>
      </c>
      <c r="F738" s="191" t="str">
        <f>VLOOKUP(MP_registro[[#This Row],[TAG]],'DB-EQUIPOS GEN'!$C$11:$H$833,2,0)</f>
        <v>Nivel de jugo en C5</v>
      </c>
      <c r="G738" s="191" t="str">
        <f>VLOOKUP(MP_registro[[#This Row],[TAG]],'DB-EQUIPOS GEN'!$C$11:$H$833,3,0)</f>
        <v>EXTRACCION</v>
      </c>
      <c r="H738" s="191" t="str">
        <f>VLOOKUP(MP_registro[[#This Row],[TAG]],'DB-EQUIPOS GEN'!$C$11:$H$833,4,0)</f>
        <v>DIFUSOR</v>
      </c>
      <c r="I738" s="191" t="str">
        <f>VLOOKUP(MP_registro[[#This Row],[TAG]],'DB-EQUIPOS GEN'!$C$11:$H$833,5,0)</f>
        <v xml:space="preserve">DIFUSOR </v>
      </c>
      <c r="J738" s="191" t="str">
        <f>VLOOKUP(MP_registro[[#This Row],[TAG]],'DB-EQUIPOS GEN'!$C$11:$H$833,6,0)</f>
        <v>0205DF180</v>
      </c>
      <c r="K738" s="192">
        <v>44788</v>
      </c>
      <c r="L738" s="193"/>
      <c r="M738" s="77"/>
      <c r="N738" s="201" t="s">
        <v>1695</v>
      </c>
      <c r="O738" s="64" t="s">
        <v>1696</v>
      </c>
    </row>
    <row r="739" spans="1:15" ht="33" customHeight="1">
      <c r="A739" s="218">
        <v>738</v>
      </c>
      <c r="B739" s="219" t="s">
        <v>2565</v>
      </c>
      <c r="C739" s="64" t="s">
        <v>2609</v>
      </c>
      <c r="D739" s="191" t="s">
        <v>2671</v>
      </c>
      <c r="E739" s="204" t="s">
        <v>425</v>
      </c>
      <c r="F739" s="191" t="str">
        <f>VLOOKUP(MP_registro[[#This Row],[TAG]],'DB-EQUIPOS GEN'!$C$11:$H$833,2,0)</f>
        <v>Nivel de jugo en C6</v>
      </c>
      <c r="G739" s="191" t="str">
        <f>VLOOKUP(MP_registro[[#This Row],[TAG]],'DB-EQUIPOS GEN'!$C$11:$H$833,3,0)</f>
        <v>EXTRACCION</v>
      </c>
      <c r="H739" s="191" t="str">
        <f>VLOOKUP(MP_registro[[#This Row],[TAG]],'DB-EQUIPOS GEN'!$C$11:$H$833,4,0)</f>
        <v>DIFUSOR</v>
      </c>
      <c r="I739" s="191" t="str">
        <f>VLOOKUP(MP_registro[[#This Row],[TAG]],'DB-EQUIPOS GEN'!$C$11:$H$833,5,0)</f>
        <v xml:space="preserve">DIFUSOR </v>
      </c>
      <c r="J739" s="191" t="str">
        <f>VLOOKUP(MP_registro[[#This Row],[TAG]],'DB-EQUIPOS GEN'!$C$11:$H$833,6,0)</f>
        <v>0205DF180</v>
      </c>
      <c r="K739" s="192">
        <v>44788</v>
      </c>
      <c r="L739" s="193"/>
      <c r="M739" s="77"/>
      <c r="N739" s="201" t="s">
        <v>1695</v>
      </c>
      <c r="O739" s="64" t="s">
        <v>1696</v>
      </c>
    </row>
    <row r="740" spans="1:15" ht="33" customHeight="1">
      <c r="A740" s="218">
        <v>739</v>
      </c>
      <c r="B740" s="219" t="s">
        <v>2565</v>
      </c>
      <c r="C740" s="64" t="s">
        <v>2609</v>
      </c>
      <c r="D740" s="191" t="s">
        <v>2672</v>
      </c>
      <c r="E740" s="204" t="s">
        <v>429</v>
      </c>
      <c r="F740" s="191" t="str">
        <f>VLOOKUP(MP_registro[[#This Row],[TAG]],'DB-EQUIPOS GEN'!$C$11:$H$833,2,0)</f>
        <v>Nivel de jugo en C7</v>
      </c>
      <c r="G740" s="191" t="str">
        <f>VLOOKUP(MP_registro[[#This Row],[TAG]],'DB-EQUIPOS GEN'!$C$11:$H$833,3,0)</f>
        <v>EXTRACCION</v>
      </c>
      <c r="H740" s="191" t="str">
        <f>VLOOKUP(MP_registro[[#This Row],[TAG]],'DB-EQUIPOS GEN'!$C$11:$H$833,4,0)</f>
        <v>DIFUSOR</v>
      </c>
      <c r="I740" s="191" t="str">
        <f>VLOOKUP(MP_registro[[#This Row],[TAG]],'DB-EQUIPOS GEN'!$C$11:$H$833,5,0)</f>
        <v xml:space="preserve">DIFUSOR </v>
      </c>
      <c r="J740" s="191" t="str">
        <f>VLOOKUP(MP_registro[[#This Row],[TAG]],'DB-EQUIPOS GEN'!$C$11:$H$833,6,0)</f>
        <v>0205DF180</v>
      </c>
      <c r="K740" s="192">
        <v>44788</v>
      </c>
      <c r="L740" s="193"/>
      <c r="M740" s="77"/>
      <c r="N740" s="201" t="s">
        <v>1695</v>
      </c>
      <c r="O740" s="64" t="s">
        <v>1696</v>
      </c>
    </row>
    <row r="741" spans="1:15" ht="33" customHeight="1">
      <c r="A741" s="218">
        <v>740</v>
      </c>
      <c r="B741" s="219" t="s">
        <v>2565</v>
      </c>
      <c r="C741" s="64" t="s">
        <v>2609</v>
      </c>
      <c r="D741" s="191" t="s">
        <v>2673</v>
      </c>
      <c r="E741" s="204" t="s">
        <v>433</v>
      </c>
      <c r="F741" s="191" t="str">
        <f>VLOOKUP(MP_registro[[#This Row],[TAG]],'DB-EQUIPOS GEN'!$C$11:$H$833,2,0)</f>
        <v>Nivel de jugo en C8</v>
      </c>
      <c r="G741" s="191" t="str">
        <f>VLOOKUP(MP_registro[[#This Row],[TAG]],'DB-EQUIPOS GEN'!$C$11:$H$833,3,0)</f>
        <v>EXTRACCION</v>
      </c>
      <c r="H741" s="191" t="str">
        <f>VLOOKUP(MP_registro[[#This Row],[TAG]],'DB-EQUIPOS GEN'!$C$11:$H$833,4,0)</f>
        <v>DIFUSOR</v>
      </c>
      <c r="I741" s="191" t="str">
        <f>VLOOKUP(MP_registro[[#This Row],[TAG]],'DB-EQUIPOS GEN'!$C$11:$H$833,5,0)</f>
        <v xml:space="preserve">DIFUSOR </v>
      </c>
      <c r="J741" s="191" t="str">
        <f>VLOOKUP(MP_registro[[#This Row],[TAG]],'DB-EQUIPOS GEN'!$C$11:$H$833,6,0)</f>
        <v>0205DF180</v>
      </c>
      <c r="K741" s="192">
        <v>44788</v>
      </c>
      <c r="L741" s="193"/>
      <c r="M741" s="77"/>
      <c r="N741" s="201" t="s">
        <v>1695</v>
      </c>
      <c r="O741" s="64" t="s">
        <v>1696</v>
      </c>
    </row>
    <row r="742" spans="1:15" ht="33" customHeight="1">
      <c r="A742" s="218">
        <v>741</v>
      </c>
      <c r="B742" s="219" t="s">
        <v>2565</v>
      </c>
      <c r="C742" s="64" t="s">
        <v>2609</v>
      </c>
      <c r="D742" s="191" t="s">
        <v>2674</v>
      </c>
      <c r="E742" s="204" t="s">
        <v>567</v>
      </c>
      <c r="F742" s="191" t="str">
        <f>VLOOKUP(MP_registro[[#This Row],[TAG]],'DB-EQUIPOS GEN'!$C$11:$H$833,2,0)</f>
        <v>Temperatura de vapor principal redundante</v>
      </c>
      <c r="G742" s="191" t="str">
        <f>VLOOKUP(MP_registro[[#This Row],[TAG]],'DB-EQUIPOS GEN'!$C$11:$H$833,3,0)</f>
        <v>E. TERMICA</v>
      </c>
      <c r="H742" s="191" t="str">
        <f>VLOOKUP(MP_registro[[#This Row],[TAG]],'DB-EQUIPOS GEN'!$C$11:$H$833,4,0)</f>
        <v>GENERACION DE VAPOR</v>
      </c>
      <c r="I742" s="191" t="str">
        <f>VLOOKUP(MP_registro[[#This Row],[TAG]],'DB-EQUIPOS GEN'!$C$11:$H$833,5,0)</f>
        <v>CALDERA</v>
      </c>
      <c r="J742" s="191" t="str">
        <f>VLOOKUP(MP_registro[[#This Row],[TAG]],'DB-EQUIPOS GEN'!$C$11:$H$833,6,0)</f>
        <v>0405BR010</v>
      </c>
      <c r="K742" s="192">
        <v>44788</v>
      </c>
      <c r="L742" s="193"/>
      <c r="M742" s="77"/>
      <c r="N742" s="201" t="s">
        <v>1695</v>
      </c>
      <c r="O742" s="64" t="s">
        <v>1696</v>
      </c>
    </row>
    <row r="743" spans="1:15" ht="33" customHeight="1">
      <c r="A743" s="218">
        <v>742</v>
      </c>
      <c r="B743" s="219" t="s">
        <v>2565</v>
      </c>
      <c r="C743" s="64" t="s">
        <v>2609</v>
      </c>
      <c r="D743" s="191" t="s">
        <v>2675</v>
      </c>
      <c r="E743" s="204" t="s">
        <v>778</v>
      </c>
      <c r="F743" s="191" t="str">
        <f>VLOOKUP(MP_registro[[#This Row],[TAG]],'DB-EQUIPOS GEN'!$C$11:$H$833,2,0)</f>
        <v>Brix de masa C - Celda 7</v>
      </c>
      <c r="G743" s="191" t="str">
        <f>VLOOKUP(MP_registro[[#This Row],[TAG]],'DB-EQUIPOS GEN'!$C$11:$H$833,3,0)</f>
        <v>PRODUCCION</v>
      </c>
      <c r="H743" s="191" t="str">
        <f>VLOOKUP(MP_registro[[#This Row],[TAG]],'DB-EQUIPOS GEN'!$C$11:$H$833,4,0)</f>
        <v>CRISTALIZACION POR COCCION</v>
      </c>
      <c r="I743" s="191" t="str">
        <f>VLOOKUP(MP_registro[[#This Row],[TAG]],'DB-EQUIPOS GEN'!$C$11:$H$833,5,0)</f>
        <v xml:space="preserve">TACHO CONTINUO C </v>
      </c>
      <c r="J743" s="191" t="str">
        <f>VLOOKUP(MP_registro[[#This Row],[TAG]],'DB-EQUIPOS GEN'!$C$11:$H$833,6,0)</f>
        <v xml:space="preserve"> 0335HX260</v>
      </c>
      <c r="K743" s="192">
        <v>44788</v>
      </c>
      <c r="L743" s="193" t="s">
        <v>247</v>
      </c>
      <c r="M743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43" s="201" t="s">
        <v>1664</v>
      </c>
      <c r="O743" s="64" t="s">
        <v>1696</v>
      </c>
    </row>
    <row r="744" spans="1:15" ht="33" customHeight="1">
      <c r="A744" s="218">
        <v>743</v>
      </c>
      <c r="B744" s="219" t="s">
        <v>2565</v>
      </c>
      <c r="C744" s="64" t="s">
        <v>2609</v>
      </c>
      <c r="D744" s="191" t="s">
        <v>2676</v>
      </c>
      <c r="E744" s="204" t="s">
        <v>1314</v>
      </c>
      <c r="F744" s="191" t="str">
        <f>VLOOKUP(MP_registro[[#This Row],[TAG]],'DB-EQUIPOS GEN'!$C$11:$H$833,2,0)</f>
        <v>Tablero de periferia en Asset Turbina</v>
      </c>
      <c r="G744" s="191" t="str">
        <f>VLOOKUP(MP_registro[[#This Row],[TAG]],'DB-EQUIPOS GEN'!$C$11:$H$833,3,0)</f>
        <v>E. ELECTRICA</v>
      </c>
      <c r="H744" s="191" t="str">
        <f>VLOOKUP(MP_registro[[#This Row],[TAG]],'DB-EQUIPOS GEN'!$C$11:$H$833,4,0)</f>
        <v>GENERACION ENERG. ELEC. TURBO GENERADOR</v>
      </c>
      <c r="I744" s="191" t="str">
        <f>VLOOKUP(MP_registro[[#This Row],[TAG]],'DB-EQUIPOS GEN'!$C$11:$H$833,5,0)</f>
        <v>TURBOGENERADOR 7.5 MW</v>
      </c>
      <c r="J744" s="191" t="str">
        <f>VLOOKUP(MP_registro[[#This Row],[TAG]],'DB-EQUIPOS GEN'!$C$11:$H$833,6,0)</f>
        <v>0430TG010</v>
      </c>
      <c r="K744" s="192">
        <v>44788</v>
      </c>
      <c r="L744" s="193" t="s">
        <v>248</v>
      </c>
      <c r="M744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744" s="201" t="s">
        <v>1664</v>
      </c>
      <c r="O744" s="64" t="s">
        <v>1696</v>
      </c>
    </row>
    <row r="745" spans="1:15" ht="33" customHeight="1">
      <c r="A745" s="218">
        <v>744</v>
      </c>
      <c r="B745" s="219" t="s">
        <v>2565</v>
      </c>
      <c r="C745" s="64" t="s">
        <v>2609</v>
      </c>
      <c r="D745" s="191" t="s">
        <v>2677</v>
      </c>
      <c r="E745" s="204" t="s">
        <v>1316</v>
      </c>
      <c r="F745" s="191" t="str">
        <f>VLOOKUP(MP_registro[[#This Row],[TAG]],'DB-EQUIPOS GEN'!$C$11:$H$833,2,0)</f>
        <v>Tablero de periferia en Asset Turbina</v>
      </c>
      <c r="G745" s="191" t="str">
        <f>VLOOKUP(MP_registro[[#This Row],[TAG]],'DB-EQUIPOS GEN'!$C$11:$H$833,3,0)</f>
        <v>E. ELECTRICA</v>
      </c>
      <c r="H745" s="191" t="str">
        <f>VLOOKUP(MP_registro[[#This Row],[TAG]],'DB-EQUIPOS GEN'!$C$11:$H$833,4,0)</f>
        <v>GENERACION ENERG. ELEC. TURBO GENERADOR</v>
      </c>
      <c r="I745" s="191" t="str">
        <f>VLOOKUP(MP_registro[[#This Row],[TAG]],'DB-EQUIPOS GEN'!$C$11:$H$833,5,0)</f>
        <v>TURBOGENERADOR 7.5 MW</v>
      </c>
      <c r="J745" s="191" t="str">
        <f>VLOOKUP(MP_registro[[#This Row],[TAG]],'DB-EQUIPOS GEN'!$C$11:$H$833,6,0)</f>
        <v>0430TG010</v>
      </c>
      <c r="K745" s="192">
        <v>44788</v>
      </c>
      <c r="L745" s="193" t="s">
        <v>248</v>
      </c>
      <c r="M745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745" s="201" t="s">
        <v>1664</v>
      </c>
      <c r="O745" s="64" t="s">
        <v>1696</v>
      </c>
    </row>
    <row r="746" spans="1:15" ht="33" customHeight="1">
      <c r="A746" s="218">
        <v>745</v>
      </c>
      <c r="B746" s="219" t="s">
        <v>2565</v>
      </c>
      <c r="C746" s="64" t="s">
        <v>2609</v>
      </c>
      <c r="D746" s="191" t="s">
        <v>2678</v>
      </c>
      <c r="E746" s="204" t="s">
        <v>1657</v>
      </c>
      <c r="F746" s="191" t="str">
        <f>VLOOKUP(MP_registro[[#This Row],[TAG]],'DB-EQUIPOS GEN'!$C$11:$H$833,2,0)</f>
        <v>Pug mill B, Cabezal C de centrifugas continuas</v>
      </c>
      <c r="G746" s="191" t="str">
        <f>VLOOKUP(MP_registro[[#This Row],[TAG]],'DB-EQUIPOS GEN'!$C$11:$H$833,3,0)</f>
        <v>PRODUCCION</v>
      </c>
      <c r="H746" s="191" t="str">
        <f>VLOOKUP(MP_registro[[#This Row],[TAG]],'DB-EQUIPOS GEN'!$C$11:$H$833,4,0)</f>
        <v>CENTRIFUGACIÓN DE AZÚCAR</v>
      </c>
      <c r="I746" s="191" t="str">
        <f>VLOOKUP(MP_registro[[#This Row],[TAG]],'DB-EQUIPOS GEN'!$C$11:$H$833,5,0)</f>
        <v>PUG MILL - B</v>
      </c>
      <c r="J746" s="191" t="str">
        <f>VLOOKUP(MP_registro[[#This Row],[TAG]],'DB-EQUIPOS GEN'!$C$11:$H$833,6,0)</f>
        <v>0345MM020</v>
      </c>
      <c r="K746" s="192">
        <v>44788</v>
      </c>
      <c r="L746" s="193" t="s">
        <v>249</v>
      </c>
      <c r="M74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46" s="201" t="s">
        <v>1664</v>
      </c>
      <c r="O746" s="64" t="s">
        <v>1696</v>
      </c>
    </row>
    <row r="747" spans="1:15" ht="33" customHeight="1">
      <c r="A747" s="218">
        <v>746</v>
      </c>
      <c r="B747" s="219" t="s">
        <v>2565</v>
      </c>
      <c r="C747" s="64" t="s">
        <v>2609</v>
      </c>
      <c r="D747" s="191" t="s">
        <v>2679</v>
      </c>
      <c r="E747" s="204" t="s">
        <v>1653</v>
      </c>
      <c r="F747" s="191" t="str">
        <f>VLOOKUP(MP_registro[[#This Row],[TAG]],'DB-EQUIPOS GEN'!$C$11:$H$833,2,0)</f>
        <v>Operación del desviador de bagazo</v>
      </c>
      <c r="G747" s="191" t="str">
        <f>VLOOKUP(MP_registro[[#This Row],[TAG]],'DB-EQUIPOS GEN'!$C$11:$H$833,3,0)</f>
        <v>E. TERMICA</v>
      </c>
      <c r="H747" s="191" t="str">
        <f>VLOOKUP(MP_registro[[#This Row],[TAG]],'DB-EQUIPOS GEN'!$C$11:$H$833,4,0)</f>
        <v>TRANSPORTE DE BAGAZO</v>
      </c>
      <c r="I747" s="191" t="str">
        <f>VLOOKUP(MP_registro[[#This Row],[TAG]],'DB-EQUIPOS GEN'!$C$11:$H$833,5,0)</f>
        <v>FAJA TRANSPORTADORA 1004</v>
      </c>
      <c r="J747" s="191" t="str">
        <f>VLOOKUP(MP_registro[[#This Row],[TAG]],'DB-EQUIPOS GEN'!$C$11:$H$833,6,0)</f>
        <v>0805CV070</v>
      </c>
      <c r="K747" s="192">
        <v>44788</v>
      </c>
      <c r="L747" s="193" t="s">
        <v>247</v>
      </c>
      <c r="M74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47" s="201" t="s">
        <v>1664</v>
      </c>
      <c r="O747" s="64" t="s">
        <v>1696</v>
      </c>
    </row>
    <row r="748" spans="1:15" ht="33" customHeight="1">
      <c r="A748" s="218">
        <v>747</v>
      </c>
      <c r="B748" s="219" t="s">
        <v>2565</v>
      </c>
      <c r="C748" s="64" t="s">
        <v>2609</v>
      </c>
      <c r="D748" s="191" t="s">
        <v>2680</v>
      </c>
      <c r="E748" s="204" t="s">
        <v>1655</v>
      </c>
      <c r="F748" s="191" t="str">
        <f>VLOOKUP(MP_registro[[#This Row],[TAG]],'DB-EQUIPOS GEN'!$C$11:$H$833,2,0)</f>
        <v>Vista global de planta de osmosis</v>
      </c>
      <c r="G748" s="191" t="str">
        <f>VLOOKUP(MP_registro[[#This Row],[TAG]],'DB-EQUIPOS GEN'!$C$11:$H$833,3,0)</f>
        <v>E. TERMICA</v>
      </c>
      <c r="H748" s="191" t="str">
        <f>VLOOKUP(MP_registro[[#This Row],[TAG]],'DB-EQUIPOS GEN'!$C$11:$H$833,4,0)</f>
        <v>PLANTA TRATAMIENTO OSMOSIS INVERSA</v>
      </c>
      <c r="I748" s="191" t="str">
        <f>VLOOKUP(MP_registro[[#This Row],[TAG]],'DB-EQUIPOS GEN'!$C$11:$H$833,5,0)</f>
        <v>PLANTA DE OSMOSIS INVERSA</v>
      </c>
      <c r="J748" s="191" t="str">
        <f>VLOOKUP(MP_registro[[#This Row],[TAG]],'DB-EQUIPOS GEN'!$C$11:$H$833,6,0)</f>
        <v>0425OI101</v>
      </c>
      <c r="K748" s="192">
        <v>44788</v>
      </c>
      <c r="L748" s="193" t="s">
        <v>249</v>
      </c>
      <c r="M74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48" s="201" t="s">
        <v>1664</v>
      </c>
      <c r="O748" s="64" t="s">
        <v>1696</v>
      </c>
    </row>
    <row r="749" spans="1:15" ht="33" customHeight="1">
      <c r="A749" s="218">
        <v>748</v>
      </c>
      <c r="B749" s="219" t="s">
        <v>2565</v>
      </c>
      <c r="C749" s="64" t="s">
        <v>2609</v>
      </c>
      <c r="D749" s="191" t="s">
        <v>2681</v>
      </c>
      <c r="E749" s="204" t="s">
        <v>437</v>
      </c>
      <c r="F749" s="191" t="str">
        <f>VLOOKUP(MP_registro[[#This Row],[TAG]],'DB-EQUIPOS GEN'!$C$11:$H$833,2,0)</f>
        <v>Nivel de jugo en C9</v>
      </c>
      <c r="G749" s="191" t="str">
        <f>VLOOKUP(MP_registro[[#This Row],[TAG]],'DB-EQUIPOS GEN'!$C$11:$H$833,3,0)</f>
        <v>EXTRACCION</v>
      </c>
      <c r="H749" s="191" t="str">
        <f>VLOOKUP(MP_registro[[#This Row],[TAG]],'DB-EQUIPOS GEN'!$C$11:$H$833,4,0)</f>
        <v>DIFUSOR</v>
      </c>
      <c r="I749" s="191" t="str">
        <f>VLOOKUP(MP_registro[[#This Row],[TAG]],'DB-EQUIPOS GEN'!$C$11:$H$833,5,0)</f>
        <v xml:space="preserve">DIFUSOR </v>
      </c>
      <c r="J749" s="191" t="str">
        <f>VLOOKUP(MP_registro[[#This Row],[TAG]],'DB-EQUIPOS GEN'!$C$11:$H$833,6,0)</f>
        <v>0205DF180</v>
      </c>
      <c r="K749" s="192">
        <v>44789</v>
      </c>
      <c r="L749" s="193"/>
      <c r="M749" s="77"/>
      <c r="N749" s="201" t="s">
        <v>1695</v>
      </c>
      <c r="O749" s="64" t="s">
        <v>1696</v>
      </c>
    </row>
    <row r="750" spans="1:15" ht="33" customHeight="1">
      <c r="A750" s="218">
        <v>749</v>
      </c>
      <c r="B750" s="219" t="s">
        <v>2565</v>
      </c>
      <c r="C750" s="64" t="s">
        <v>2609</v>
      </c>
      <c r="D750" s="191" t="s">
        <v>2682</v>
      </c>
      <c r="E750" s="204" t="s">
        <v>441</v>
      </c>
      <c r="F750" s="191" t="str">
        <f>VLOOKUP(MP_registro[[#This Row],[TAG]],'DB-EQUIPOS GEN'!$C$11:$H$833,2,0)</f>
        <v>Nivel de jugo en C10</v>
      </c>
      <c r="G750" s="191" t="str">
        <f>VLOOKUP(MP_registro[[#This Row],[TAG]],'DB-EQUIPOS GEN'!$C$11:$H$833,3,0)</f>
        <v>EXTRACCION</v>
      </c>
      <c r="H750" s="191" t="str">
        <f>VLOOKUP(MP_registro[[#This Row],[TAG]],'DB-EQUIPOS GEN'!$C$11:$H$833,4,0)</f>
        <v>DIFUSOR</v>
      </c>
      <c r="I750" s="191" t="str">
        <f>VLOOKUP(MP_registro[[#This Row],[TAG]],'DB-EQUIPOS GEN'!$C$11:$H$833,5,0)</f>
        <v xml:space="preserve">DIFUSOR </v>
      </c>
      <c r="J750" s="191" t="str">
        <f>VLOOKUP(MP_registro[[#This Row],[TAG]],'DB-EQUIPOS GEN'!$C$11:$H$833,6,0)</f>
        <v>0205DF180</v>
      </c>
      <c r="K750" s="192">
        <v>44789</v>
      </c>
      <c r="L750" s="193"/>
      <c r="M750" s="77"/>
      <c r="N750" s="201" t="s">
        <v>1695</v>
      </c>
      <c r="O750" s="64" t="s">
        <v>1696</v>
      </c>
    </row>
    <row r="751" spans="1:15" ht="33" customHeight="1">
      <c r="A751" s="218">
        <v>750</v>
      </c>
      <c r="B751" s="219" t="s">
        <v>2565</v>
      </c>
      <c r="C751" s="64" t="s">
        <v>2609</v>
      </c>
      <c r="D751" s="191" t="s">
        <v>2683</v>
      </c>
      <c r="E751" s="204" t="s">
        <v>445</v>
      </c>
      <c r="F751" s="191" t="str">
        <f>VLOOKUP(MP_registro[[#This Row],[TAG]],'DB-EQUIPOS GEN'!$C$11:$H$833,2,0)</f>
        <v>Nivel de jugo en C11</v>
      </c>
      <c r="G751" s="191" t="str">
        <f>VLOOKUP(MP_registro[[#This Row],[TAG]],'DB-EQUIPOS GEN'!$C$11:$H$833,3,0)</f>
        <v>EXTRACCION</v>
      </c>
      <c r="H751" s="191" t="str">
        <f>VLOOKUP(MP_registro[[#This Row],[TAG]],'DB-EQUIPOS GEN'!$C$11:$H$833,4,0)</f>
        <v>DIFUSOR</v>
      </c>
      <c r="I751" s="191" t="str">
        <f>VLOOKUP(MP_registro[[#This Row],[TAG]],'DB-EQUIPOS GEN'!$C$11:$H$833,5,0)</f>
        <v xml:space="preserve">DIFUSOR </v>
      </c>
      <c r="J751" s="191" t="str">
        <f>VLOOKUP(MP_registro[[#This Row],[TAG]],'DB-EQUIPOS GEN'!$C$11:$H$833,6,0)</f>
        <v>0205DF180</v>
      </c>
      <c r="K751" s="192">
        <v>44789</v>
      </c>
      <c r="L751" s="193"/>
      <c r="M751" s="77"/>
      <c r="N751" s="201" t="s">
        <v>1695</v>
      </c>
      <c r="O751" s="64" t="s">
        <v>1696</v>
      </c>
    </row>
    <row r="752" spans="1:15" ht="33" customHeight="1">
      <c r="A752" s="218">
        <v>751</v>
      </c>
      <c r="B752" s="219" t="s">
        <v>2565</v>
      </c>
      <c r="C752" s="64" t="s">
        <v>2609</v>
      </c>
      <c r="D752" s="191" t="s">
        <v>2684</v>
      </c>
      <c r="E752" s="204" t="s">
        <v>449</v>
      </c>
      <c r="F752" s="191" t="str">
        <f>VLOOKUP(MP_registro[[#This Row],[TAG]],'DB-EQUIPOS GEN'!$C$11:$H$833,2,0)</f>
        <v>Nivel de jugo en C12</v>
      </c>
      <c r="G752" s="191" t="str">
        <f>VLOOKUP(MP_registro[[#This Row],[TAG]],'DB-EQUIPOS GEN'!$C$11:$H$833,3,0)</f>
        <v>EXTRACCION</v>
      </c>
      <c r="H752" s="191" t="str">
        <f>VLOOKUP(MP_registro[[#This Row],[TAG]],'DB-EQUIPOS GEN'!$C$11:$H$833,4,0)</f>
        <v>DIFUSOR</v>
      </c>
      <c r="I752" s="191" t="str">
        <f>VLOOKUP(MP_registro[[#This Row],[TAG]],'DB-EQUIPOS GEN'!$C$11:$H$833,5,0)</f>
        <v xml:space="preserve">DIFUSOR </v>
      </c>
      <c r="J752" s="191" t="str">
        <f>VLOOKUP(MP_registro[[#This Row],[TAG]],'DB-EQUIPOS GEN'!$C$11:$H$833,6,0)</f>
        <v>0205DF180</v>
      </c>
      <c r="K752" s="192">
        <v>44789</v>
      </c>
      <c r="L752" s="193"/>
      <c r="M752" s="77"/>
      <c r="N752" s="201" t="s">
        <v>1695</v>
      </c>
      <c r="O752" s="64" t="s">
        <v>1696</v>
      </c>
    </row>
    <row r="753" spans="1:15" ht="33" customHeight="1">
      <c r="A753" s="218">
        <v>752</v>
      </c>
      <c r="B753" s="219" t="s">
        <v>2565</v>
      </c>
      <c r="C753" s="64" t="s">
        <v>2609</v>
      </c>
      <c r="D753" s="191" t="s">
        <v>2685</v>
      </c>
      <c r="E753" s="204" t="s">
        <v>327</v>
      </c>
      <c r="F753" s="191" t="str">
        <f>VLOOKUP(MP_registro[[#This Row],[TAG]],'DB-EQUIPOS GEN'!$C$11:$H$833,2,0)</f>
        <v>Vibracion de motor lado libre motor swing back</v>
      </c>
      <c r="G753" s="191" t="str">
        <f>VLOOKUP(MP_registro[[#This Row],[TAG]],'DB-EQUIPOS GEN'!$C$11:$H$833,3,0)</f>
        <v>EXTRACCION</v>
      </c>
      <c r="H753" s="191" t="str">
        <f>VLOOKUP(MP_registro[[#This Row],[TAG]],'DB-EQUIPOS GEN'!$C$11:$H$833,4,0)</f>
        <v>PREPARACION DE CAÑA</v>
      </c>
      <c r="I753" s="191" t="str">
        <f>VLOOKUP(MP_registro[[#This Row],[TAG]],'DB-EQUIPOS GEN'!$C$11:$H$833,5,0)</f>
        <v xml:space="preserve">MOTOR SWING BACK </v>
      </c>
      <c r="J753" s="191" t="str">
        <f>VLOOKUP(MP_registro[[#This Row],[TAG]],'DB-EQUIPOS GEN'!$C$11:$H$833,6,0)</f>
        <v>0115RL030</v>
      </c>
      <c r="K753" s="192">
        <v>44789</v>
      </c>
      <c r="L753" s="193" t="s">
        <v>249</v>
      </c>
      <c r="M75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53" s="201" t="s">
        <v>1664</v>
      </c>
      <c r="O753" s="64" t="s">
        <v>1696</v>
      </c>
    </row>
    <row r="754" spans="1:15" ht="33" customHeight="1">
      <c r="A754" s="218">
        <v>753</v>
      </c>
      <c r="B754" s="219" t="s">
        <v>2565</v>
      </c>
      <c r="C754" s="64" t="s">
        <v>2609</v>
      </c>
      <c r="D754" s="191" t="s">
        <v>2686</v>
      </c>
      <c r="E754" s="204" t="s">
        <v>2047</v>
      </c>
      <c r="F754" s="191" t="str">
        <f>VLOOKUP(MP_registro[[#This Row],[TAG]],'DB-EQUIPOS GEN'!$C$11:$H$833,2,0)</f>
        <v>Presion de aceite lubricacion de motor Swing Back</v>
      </c>
      <c r="G754" s="191" t="str">
        <f>VLOOKUP(MP_registro[[#This Row],[TAG]],'DB-EQUIPOS GEN'!$C$11:$H$833,3,0)</f>
        <v>EXTRACCION</v>
      </c>
      <c r="H754" s="191" t="str">
        <f>VLOOKUP(MP_registro[[#This Row],[TAG]],'DB-EQUIPOS GEN'!$C$11:$H$833,4,0)</f>
        <v>PREPARACION DE CAÑA</v>
      </c>
      <c r="I754" s="191" t="str">
        <f>VLOOKUP(MP_registro[[#This Row],[TAG]],'DB-EQUIPOS GEN'!$C$11:$H$833,5,0)</f>
        <v xml:space="preserve">MOTOR SWING BACK </v>
      </c>
      <c r="J754" s="191" t="str">
        <f>VLOOKUP(MP_registro[[#This Row],[TAG]],'DB-EQUIPOS GEN'!$C$11:$H$833,6,0)</f>
        <v>0115RL030</v>
      </c>
      <c r="K754" s="192">
        <v>44789</v>
      </c>
      <c r="L754" s="193" t="s">
        <v>249</v>
      </c>
      <c r="M75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54" s="201" t="s">
        <v>1664</v>
      </c>
      <c r="O754" s="64" t="s">
        <v>1696</v>
      </c>
    </row>
    <row r="755" spans="1:15" ht="33" customHeight="1">
      <c r="A755" s="218">
        <v>754</v>
      </c>
      <c r="B755" s="219" t="s">
        <v>2565</v>
      </c>
      <c r="C755" s="64" t="s">
        <v>2609</v>
      </c>
      <c r="D755" s="191" t="s">
        <v>2687</v>
      </c>
      <c r="E755" s="204" t="s">
        <v>328</v>
      </c>
      <c r="F755" s="191" t="str">
        <f>VLOOKUP(MP_registro[[#This Row],[TAG]],'DB-EQUIPOS GEN'!$C$11:$H$833,2,0)</f>
        <v>Temperatura chumacera lado libre</v>
      </c>
      <c r="G755" s="191" t="str">
        <f>VLOOKUP(MP_registro[[#This Row],[TAG]],'DB-EQUIPOS GEN'!$C$11:$H$833,3,0)</f>
        <v>EXTRACCION</v>
      </c>
      <c r="H755" s="191" t="str">
        <f>VLOOKUP(MP_registro[[#This Row],[TAG]],'DB-EQUIPOS GEN'!$C$11:$H$833,4,0)</f>
        <v>PREPARACION DE CAÑA</v>
      </c>
      <c r="I755" s="191" t="str">
        <f>VLOOKUP(MP_registro[[#This Row],[TAG]],'DB-EQUIPOS GEN'!$C$11:$H$833,5,0)</f>
        <v xml:space="preserve">MOTOR PICADOR </v>
      </c>
      <c r="J755" s="191" t="str">
        <f>VLOOKUP(MP_registro[[#This Row],[TAG]],'DB-EQUIPOS GEN'!$C$11:$H$833,6,0)</f>
        <v>0115RL050</v>
      </c>
      <c r="K755" s="192">
        <v>44789</v>
      </c>
      <c r="L755" s="193"/>
      <c r="M755" s="77"/>
      <c r="N755" s="201" t="s">
        <v>1695</v>
      </c>
      <c r="O755" s="64" t="s">
        <v>1696</v>
      </c>
    </row>
    <row r="756" spans="1:15" ht="33" customHeight="1">
      <c r="A756" s="218">
        <v>755</v>
      </c>
      <c r="B756" s="219" t="s">
        <v>2565</v>
      </c>
      <c r="C756" s="64" t="s">
        <v>2609</v>
      </c>
      <c r="D756" s="191" t="s">
        <v>2688</v>
      </c>
      <c r="E756" s="204" t="s">
        <v>330</v>
      </c>
      <c r="F756" s="191" t="str">
        <f>VLOOKUP(MP_registro[[#This Row],[TAG]],'DB-EQUIPOS GEN'!$C$11:$H$833,2,0)</f>
        <v>Temperatura chumacera lado motor</v>
      </c>
      <c r="G756" s="191" t="str">
        <f>VLOOKUP(MP_registro[[#This Row],[TAG]],'DB-EQUIPOS GEN'!$C$11:$H$833,3,0)</f>
        <v>EXTRACCION</v>
      </c>
      <c r="H756" s="191" t="str">
        <f>VLOOKUP(MP_registro[[#This Row],[TAG]],'DB-EQUIPOS GEN'!$C$11:$H$833,4,0)</f>
        <v>PREPARACION DE CAÑA</v>
      </c>
      <c r="I756" s="191" t="str">
        <f>VLOOKUP(MP_registro[[#This Row],[TAG]],'DB-EQUIPOS GEN'!$C$11:$H$833,5,0)</f>
        <v xml:space="preserve">MOTOR PICADOR </v>
      </c>
      <c r="J756" s="191" t="str">
        <f>VLOOKUP(MP_registro[[#This Row],[TAG]],'DB-EQUIPOS GEN'!$C$11:$H$833,6,0)</f>
        <v>0115RL050</v>
      </c>
      <c r="K756" s="192">
        <v>44789</v>
      </c>
      <c r="L756" s="193"/>
      <c r="M756" s="77"/>
      <c r="N756" s="201" t="s">
        <v>1695</v>
      </c>
      <c r="O756" s="64" t="s">
        <v>1696</v>
      </c>
    </row>
    <row r="757" spans="1:15" ht="33" customHeight="1">
      <c r="A757" s="218">
        <v>756</v>
      </c>
      <c r="B757" s="219" t="s">
        <v>2565</v>
      </c>
      <c r="C757" s="64" t="s">
        <v>2609</v>
      </c>
      <c r="D757" s="191" t="s">
        <v>2689</v>
      </c>
      <c r="E757" s="204" t="s">
        <v>2048</v>
      </c>
      <c r="F757" s="191" t="str">
        <f>VLOOKUP(MP_registro[[#This Row],[TAG]],'DB-EQUIPOS GEN'!$C$11:$H$833,2,0)</f>
        <v>Presion de aceite lubricacion de motor Picador</v>
      </c>
      <c r="G757" s="191" t="str">
        <f>VLOOKUP(MP_registro[[#This Row],[TAG]],'DB-EQUIPOS GEN'!$C$11:$H$833,3,0)</f>
        <v>EXTRACCION</v>
      </c>
      <c r="H757" s="191" t="str">
        <f>VLOOKUP(MP_registro[[#This Row],[TAG]],'DB-EQUIPOS GEN'!$C$11:$H$833,4,0)</f>
        <v>PREPARACION DE CAÑA</v>
      </c>
      <c r="I757" s="191" t="str">
        <f>VLOOKUP(MP_registro[[#This Row],[TAG]],'DB-EQUIPOS GEN'!$C$11:$H$833,5,0)</f>
        <v xml:space="preserve">MOTOR PICADOR </v>
      </c>
      <c r="J757" s="191" t="str">
        <f>VLOOKUP(MP_registro[[#This Row],[TAG]],'DB-EQUIPOS GEN'!$C$11:$H$833,6,0)</f>
        <v>0115RL050</v>
      </c>
      <c r="K757" s="192">
        <v>44789</v>
      </c>
      <c r="L757" s="193" t="s">
        <v>249</v>
      </c>
      <c r="M757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57" s="201" t="s">
        <v>1664</v>
      </c>
      <c r="O757" s="64" t="s">
        <v>1696</v>
      </c>
    </row>
    <row r="758" spans="1:15" ht="33" customHeight="1">
      <c r="A758" s="218">
        <v>757</v>
      </c>
      <c r="B758" s="219" t="s">
        <v>2565</v>
      </c>
      <c r="C758" s="64" t="s">
        <v>2609</v>
      </c>
      <c r="D758" s="191" t="s">
        <v>2690</v>
      </c>
      <c r="E758" s="204" t="s">
        <v>332</v>
      </c>
      <c r="F758" s="191" t="str">
        <f>VLOOKUP(MP_registro[[#This Row],[TAG]],'DB-EQUIPOS GEN'!$C$11:$H$833,2,0)</f>
        <v xml:space="preserve">Vibracion de motor Picador lado libre </v>
      </c>
      <c r="G758" s="191" t="str">
        <f>VLOOKUP(MP_registro[[#This Row],[TAG]],'DB-EQUIPOS GEN'!$C$11:$H$833,3,0)</f>
        <v>EXTRACCION</v>
      </c>
      <c r="H758" s="191" t="str">
        <f>VLOOKUP(MP_registro[[#This Row],[TAG]],'DB-EQUIPOS GEN'!$C$11:$H$833,4,0)</f>
        <v>PREPARACION DE CAÑA</v>
      </c>
      <c r="I758" s="191" t="str">
        <f>VLOOKUP(MP_registro[[#This Row],[TAG]],'DB-EQUIPOS GEN'!$C$11:$H$833,5,0)</f>
        <v xml:space="preserve">MOTOR PICADOR </v>
      </c>
      <c r="J758" s="191" t="str">
        <f>VLOOKUP(MP_registro[[#This Row],[TAG]],'DB-EQUIPOS GEN'!$C$11:$H$833,6,0)</f>
        <v>0115RL050</v>
      </c>
      <c r="K758" s="192">
        <v>44789</v>
      </c>
      <c r="L758" s="193" t="s">
        <v>249</v>
      </c>
      <c r="M75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58" s="201" t="s">
        <v>1664</v>
      </c>
      <c r="O758" s="64" t="s">
        <v>1696</v>
      </c>
    </row>
    <row r="759" spans="1:15" ht="33" customHeight="1">
      <c r="A759" s="218">
        <v>758</v>
      </c>
      <c r="B759" s="219" t="s">
        <v>2565</v>
      </c>
      <c r="C759" s="64" t="s">
        <v>2609</v>
      </c>
      <c r="D759" s="191" t="s">
        <v>2691</v>
      </c>
      <c r="E759" s="204" t="s">
        <v>333</v>
      </c>
      <c r="F759" s="191" t="str">
        <f>VLOOKUP(MP_registro[[#This Row],[TAG]],'DB-EQUIPOS GEN'!$C$11:$H$833,2,0)</f>
        <v>Temperatura chumacera lado libre</v>
      </c>
      <c r="G759" s="191" t="str">
        <f>VLOOKUP(MP_registro[[#This Row],[TAG]],'DB-EQUIPOS GEN'!$C$11:$H$833,3,0)</f>
        <v>EXTRACCION</v>
      </c>
      <c r="H759" s="191" t="str">
        <f>VLOOKUP(MP_registro[[#This Row],[TAG]],'DB-EQUIPOS GEN'!$C$11:$H$833,4,0)</f>
        <v>PREPARACION DE CAÑA</v>
      </c>
      <c r="I759" s="191" t="str">
        <f>VLOOKUP(MP_registro[[#This Row],[TAG]],'DB-EQUIPOS GEN'!$C$11:$H$833,5,0)</f>
        <v xml:space="preserve">MOTOR DESFIBRADOR </v>
      </c>
      <c r="J759" s="191" t="str">
        <f>VLOOKUP(MP_registro[[#This Row],[TAG]],'DB-EQUIPOS GEN'!$C$11:$H$833,6,0)</f>
        <v>0115RL060</v>
      </c>
      <c r="K759" s="192">
        <v>44789</v>
      </c>
      <c r="L759" s="193"/>
      <c r="M759" s="77"/>
      <c r="N759" s="201" t="s">
        <v>1695</v>
      </c>
      <c r="O759" s="64" t="s">
        <v>1696</v>
      </c>
    </row>
    <row r="760" spans="1:15" ht="33" customHeight="1">
      <c r="A760" s="218">
        <v>759</v>
      </c>
      <c r="B760" s="219" t="s">
        <v>2565</v>
      </c>
      <c r="C760" s="64" t="s">
        <v>2609</v>
      </c>
      <c r="D760" s="191" t="s">
        <v>2692</v>
      </c>
      <c r="E760" s="204" t="s">
        <v>334</v>
      </c>
      <c r="F760" s="191" t="str">
        <f>VLOOKUP(MP_registro[[#This Row],[TAG]],'DB-EQUIPOS GEN'!$C$11:$H$833,2,0)</f>
        <v>Temperatura chumacera lado motor</v>
      </c>
      <c r="G760" s="191" t="str">
        <f>VLOOKUP(MP_registro[[#This Row],[TAG]],'DB-EQUIPOS GEN'!$C$11:$H$833,3,0)</f>
        <v>EXTRACCION</v>
      </c>
      <c r="H760" s="191" t="str">
        <f>VLOOKUP(MP_registro[[#This Row],[TAG]],'DB-EQUIPOS GEN'!$C$11:$H$833,4,0)</f>
        <v>PREPARACION DE CAÑA</v>
      </c>
      <c r="I760" s="191" t="str">
        <f>VLOOKUP(MP_registro[[#This Row],[TAG]],'DB-EQUIPOS GEN'!$C$11:$H$833,5,0)</f>
        <v xml:space="preserve">MOTOR DESFIBRADOR </v>
      </c>
      <c r="J760" s="191" t="str">
        <f>VLOOKUP(MP_registro[[#This Row],[TAG]],'DB-EQUIPOS GEN'!$C$11:$H$833,6,0)</f>
        <v>0115RL060</v>
      </c>
      <c r="K760" s="192">
        <v>44789</v>
      </c>
      <c r="L760" s="193"/>
      <c r="M760" s="77"/>
      <c r="N760" s="201" t="s">
        <v>1695</v>
      </c>
      <c r="O760" s="64" t="s">
        <v>1696</v>
      </c>
    </row>
    <row r="761" spans="1:15" ht="33" customHeight="1">
      <c r="A761" s="218">
        <v>760</v>
      </c>
      <c r="B761" s="219" t="s">
        <v>2565</v>
      </c>
      <c r="C761" s="64" t="s">
        <v>2609</v>
      </c>
      <c r="D761" s="191" t="s">
        <v>2693</v>
      </c>
      <c r="E761" s="204" t="s">
        <v>335</v>
      </c>
      <c r="F761" s="191" t="str">
        <f>VLOOKUP(MP_registro[[#This Row],[TAG]],'DB-EQUIPOS GEN'!$C$11:$H$833,2,0)</f>
        <v>Vibracion de motor Desfibrador lado libre</v>
      </c>
      <c r="G761" s="191" t="str">
        <f>VLOOKUP(MP_registro[[#This Row],[TAG]],'DB-EQUIPOS GEN'!$C$11:$H$833,3,0)</f>
        <v>EXTRACCION</v>
      </c>
      <c r="H761" s="191" t="str">
        <f>VLOOKUP(MP_registro[[#This Row],[TAG]],'DB-EQUIPOS GEN'!$C$11:$H$833,4,0)</f>
        <v>PREPARACION DE CAÑA</v>
      </c>
      <c r="I761" s="191" t="str">
        <f>VLOOKUP(MP_registro[[#This Row],[TAG]],'DB-EQUIPOS GEN'!$C$11:$H$833,5,0)</f>
        <v xml:space="preserve">MOTOR DESFIBRADOR </v>
      </c>
      <c r="J761" s="191" t="str">
        <f>VLOOKUP(MP_registro[[#This Row],[TAG]],'DB-EQUIPOS GEN'!$C$11:$H$833,6,0)</f>
        <v>0115RL060</v>
      </c>
      <c r="K761" s="192">
        <v>44789</v>
      </c>
      <c r="L761" s="193" t="s">
        <v>249</v>
      </c>
      <c r="M76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61" s="201" t="s">
        <v>1664</v>
      </c>
      <c r="O761" s="64" t="s">
        <v>1696</v>
      </c>
    </row>
    <row r="762" spans="1:15" ht="33" customHeight="1">
      <c r="A762" s="218">
        <v>761</v>
      </c>
      <c r="B762" s="219" t="s">
        <v>2565</v>
      </c>
      <c r="C762" s="64" t="s">
        <v>2609</v>
      </c>
      <c r="D762" s="191" t="s">
        <v>2694</v>
      </c>
      <c r="E762" s="204" t="s">
        <v>528</v>
      </c>
      <c r="F762" s="191" t="str">
        <f>VLOOKUP(MP_registro[[#This Row],[TAG]],'DB-EQUIPOS GEN'!$C$11:$H$833,2,0)</f>
        <v>Nivel de jugo Evap.4B</v>
      </c>
      <c r="G762" s="191" t="str">
        <f>VLOOKUP(MP_registro[[#This Row],[TAG]],'DB-EQUIPOS GEN'!$C$11:$H$833,3,0)</f>
        <v>PRODUCCION</v>
      </c>
      <c r="H762" s="191" t="str">
        <f>VLOOKUP(MP_registro[[#This Row],[TAG]],'DB-EQUIPOS GEN'!$C$11:$H$833,4,0)</f>
        <v>EVAPORACION DE JUGO</v>
      </c>
      <c r="I762" s="191" t="str">
        <f>VLOOKUP(MP_registro[[#This Row],[TAG]],'DB-EQUIPOS GEN'!$C$11:$H$833,5,0)</f>
        <v>FFE 4B</v>
      </c>
      <c r="J762" s="191" t="str">
        <f>VLOOKUP(MP_registro[[#This Row],[TAG]],'DB-EQUIPOS GEN'!$C$11:$H$833,6,0)</f>
        <v xml:space="preserve"> 0320EV070</v>
      </c>
      <c r="K762" s="192">
        <v>44789</v>
      </c>
      <c r="L762" s="193" t="s">
        <v>249</v>
      </c>
      <c r="M76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62" s="201" t="s">
        <v>1664</v>
      </c>
      <c r="O762" s="64" t="s">
        <v>1696</v>
      </c>
    </row>
    <row r="763" spans="1:15" ht="33" customHeight="1">
      <c r="A763" s="218">
        <v>762</v>
      </c>
      <c r="B763" s="219" t="s">
        <v>2565</v>
      </c>
      <c r="C763" s="64" t="s">
        <v>2609</v>
      </c>
      <c r="D763" s="191" t="s">
        <v>2695</v>
      </c>
      <c r="E763" s="204" t="s">
        <v>569</v>
      </c>
      <c r="F763" s="191" t="str">
        <f>VLOOKUP(MP_registro[[#This Row],[TAG]],'DB-EQUIPOS GEN'!$C$11:$H$833,2,0)</f>
        <v>Temperatura de entrada de agua al economizador</v>
      </c>
      <c r="G763" s="191" t="str">
        <f>VLOOKUP(MP_registro[[#This Row],[TAG]],'DB-EQUIPOS GEN'!$C$11:$H$833,3,0)</f>
        <v>E. TERMICA</v>
      </c>
      <c r="H763" s="191" t="str">
        <f>VLOOKUP(MP_registro[[#This Row],[TAG]],'DB-EQUIPOS GEN'!$C$11:$H$833,4,0)</f>
        <v>GENERACION DE VAPOR</v>
      </c>
      <c r="I763" s="191" t="str">
        <f>VLOOKUP(MP_registro[[#This Row],[TAG]],'DB-EQUIPOS GEN'!$C$11:$H$833,5,0)</f>
        <v>ECONOMIZADOR</v>
      </c>
      <c r="J763" s="191" t="str">
        <f>VLOOKUP(MP_registro[[#This Row],[TAG]],'DB-EQUIPOS GEN'!$C$11:$H$833,6,0)</f>
        <v>0405EC010</v>
      </c>
      <c r="K763" s="192">
        <v>44789</v>
      </c>
      <c r="L763" s="193"/>
      <c r="M763" s="77"/>
      <c r="N763" s="201" t="s">
        <v>1695</v>
      </c>
      <c r="O763" s="64" t="s">
        <v>1696</v>
      </c>
    </row>
    <row r="764" spans="1:15" ht="33" customHeight="1">
      <c r="A764" s="218">
        <v>763</v>
      </c>
      <c r="B764" s="219" t="s">
        <v>2565</v>
      </c>
      <c r="C764" s="64" t="s">
        <v>2609</v>
      </c>
      <c r="D764" s="191" t="s">
        <v>2696</v>
      </c>
      <c r="E764" s="204" t="s">
        <v>776</v>
      </c>
      <c r="F764" s="191" t="str">
        <f>VLOOKUP(MP_registro[[#This Row],[TAG]],'DB-EQUIPOS GEN'!$C$11:$H$833,2,0)</f>
        <v>Brix de masa C - Celda 6</v>
      </c>
      <c r="G764" s="191" t="str">
        <f>VLOOKUP(MP_registro[[#This Row],[TAG]],'DB-EQUIPOS GEN'!$C$11:$H$833,3,0)</f>
        <v>PRODUCCION</v>
      </c>
      <c r="H764" s="191" t="str">
        <f>VLOOKUP(MP_registro[[#This Row],[TAG]],'DB-EQUIPOS GEN'!$C$11:$H$833,4,0)</f>
        <v>CRISTALIZACION POR COCCION</v>
      </c>
      <c r="I764" s="191" t="str">
        <f>VLOOKUP(MP_registro[[#This Row],[TAG]],'DB-EQUIPOS GEN'!$C$11:$H$833,5,0)</f>
        <v xml:space="preserve">TACHO CONTINUO C </v>
      </c>
      <c r="J764" s="191" t="str">
        <f>VLOOKUP(MP_registro[[#This Row],[TAG]],'DB-EQUIPOS GEN'!$C$11:$H$833,6,0)</f>
        <v xml:space="preserve"> 0335HX260</v>
      </c>
      <c r="K764" s="192">
        <v>44789</v>
      </c>
      <c r="L764" s="193" t="s">
        <v>247</v>
      </c>
      <c r="M76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64" s="201" t="s">
        <v>1695</v>
      </c>
      <c r="O764" s="64" t="s">
        <v>1696</v>
      </c>
    </row>
    <row r="765" spans="1:15" ht="33" customHeight="1">
      <c r="A765" s="218">
        <v>764</v>
      </c>
      <c r="B765" s="219" t="s">
        <v>2565</v>
      </c>
      <c r="C765" s="64" t="s">
        <v>2609</v>
      </c>
      <c r="D765" s="191" t="s">
        <v>2697</v>
      </c>
      <c r="E765" s="204" t="s">
        <v>1317</v>
      </c>
      <c r="F765" s="191" t="str">
        <f>VLOOKUP(MP_registro[[#This Row],[TAG]],'DB-EQUIPOS GEN'!$C$11:$H$833,2,0)</f>
        <v>Tablero de periferia en Asset Caldera</v>
      </c>
      <c r="G765" s="191" t="str">
        <f>VLOOKUP(MP_registro[[#This Row],[TAG]],'DB-EQUIPOS GEN'!$C$11:$H$833,3,0)</f>
        <v>E. TERMICA</v>
      </c>
      <c r="H765" s="191" t="str">
        <f>VLOOKUP(MP_registro[[#This Row],[TAG]],'DB-EQUIPOS GEN'!$C$11:$H$833,4,0)</f>
        <v>GENERACION DE VAPOR</v>
      </c>
      <c r="I765" s="191" t="str">
        <f>VLOOKUP(MP_registro[[#This Row],[TAG]],'DB-EQUIPOS GEN'!$C$11:$H$833,5,0)</f>
        <v>CALDERA</v>
      </c>
      <c r="J765" s="191" t="str">
        <f>VLOOKUP(MP_registro[[#This Row],[TAG]],'DB-EQUIPOS GEN'!$C$11:$H$833,6,0)</f>
        <v>0405BR010</v>
      </c>
      <c r="K765" s="192">
        <v>44789</v>
      </c>
      <c r="L765" s="193" t="s">
        <v>248</v>
      </c>
      <c r="M765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765" s="201" t="s">
        <v>1664</v>
      </c>
      <c r="O765" s="64" t="s">
        <v>1696</v>
      </c>
    </row>
    <row r="766" spans="1:15" ht="33" customHeight="1">
      <c r="A766" s="218">
        <v>765</v>
      </c>
      <c r="B766" s="219" t="s">
        <v>2565</v>
      </c>
      <c r="C766" s="64" t="s">
        <v>2609</v>
      </c>
      <c r="D766" s="191" t="s">
        <v>2698</v>
      </c>
      <c r="E766" s="204" t="s">
        <v>1319</v>
      </c>
      <c r="F766" s="191" t="str">
        <f>VLOOKUP(MP_registro[[#This Row],[TAG]],'DB-EQUIPOS GEN'!$C$11:$H$833,2,0)</f>
        <v>Tablero de periferia en Asset Caldera</v>
      </c>
      <c r="G766" s="191" t="str">
        <f>VLOOKUP(MP_registro[[#This Row],[TAG]],'DB-EQUIPOS GEN'!$C$11:$H$833,3,0)</f>
        <v>E. TERMICA</v>
      </c>
      <c r="H766" s="191" t="str">
        <f>VLOOKUP(MP_registro[[#This Row],[TAG]],'DB-EQUIPOS GEN'!$C$11:$H$833,4,0)</f>
        <v>GENERACION DE VAPOR</v>
      </c>
      <c r="I766" s="191" t="str">
        <f>VLOOKUP(MP_registro[[#This Row],[TAG]],'DB-EQUIPOS GEN'!$C$11:$H$833,5,0)</f>
        <v>CALDERA</v>
      </c>
      <c r="J766" s="191" t="str">
        <f>VLOOKUP(MP_registro[[#This Row],[TAG]],'DB-EQUIPOS GEN'!$C$11:$H$833,6,0)</f>
        <v>0405BR010</v>
      </c>
      <c r="K766" s="192">
        <v>44789</v>
      </c>
      <c r="L766" s="193" t="s">
        <v>248</v>
      </c>
      <c r="M766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766" s="201" t="s">
        <v>1664</v>
      </c>
      <c r="O766" s="64" t="s">
        <v>1696</v>
      </c>
    </row>
    <row r="767" spans="1:15" ht="33" customHeight="1">
      <c r="A767" s="218">
        <v>766</v>
      </c>
      <c r="B767" s="219" t="s">
        <v>2565</v>
      </c>
      <c r="C767" s="64" t="s">
        <v>2609</v>
      </c>
      <c r="D767" s="191" t="s">
        <v>2699</v>
      </c>
      <c r="E767" s="204"/>
      <c r="F767" s="191" t="e">
        <f>VLOOKUP(MP_registro[[#This Row],[TAG]],'DB-EQUIPOS GEN'!$C$11:$H$833,2,0)</f>
        <v>#N/A</v>
      </c>
      <c r="G767" s="191" t="e">
        <f>VLOOKUP(MP_registro[[#This Row],[TAG]],'DB-EQUIPOS GEN'!$C$11:$H$833,3,0)</f>
        <v>#N/A</v>
      </c>
      <c r="H767" s="191" t="e">
        <f>VLOOKUP(MP_registro[[#This Row],[TAG]],'DB-EQUIPOS GEN'!$C$11:$H$833,4,0)</f>
        <v>#N/A</v>
      </c>
      <c r="I767" s="191" t="e">
        <f>VLOOKUP(MP_registro[[#This Row],[TAG]],'DB-EQUIPOS GEN'!$C$11:$H$833,5,0)</f>
        <v>#N/A</v>
      </c>
      <c r="J767" s="191" t="e">
        <f>VLOOKUP(MP_registro[[#This Row],[TAG]],'DB-EQUIPOS GEN'!$C$11:$H$833,6,0)</f>
        <v>#N/A</v>
      </c>
      <c r="K767" s="192">
        <v>44789</v>
      </c>
      <c r="L767" s="193" t="s">
        <v>247</v>
      </c>
      <c r="M76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67" s="201" t="s">
        <v>1664</v>
      </c>
      <c r="O767" s="64" t="s">
        <v>1696</v>
      </c>
    </row>
    <row r="768" spans="1:15" ht="33" customHeight="1">
      <c r="A768" s="218">
        <v>767</v>
      </c>
      <c r="B768" s="219" t="s">
        <v>2565</v>
      </c>
      <c r="C768" s="64" t="s">
        <v>2609</v>
      </c>
      <c r="D768" s="191" t="s">
        <v>2700</v>
      </c>
      <c r="E768" s="204" t="s">
        <v>1640</v>
      </c>
      <c r="F768" s="191" t="str">
        <f>VLOOKUP(MP_registro[[#This Row],[TAG]],'DB-EQUIPOS GEN'!$C$11:$H$833,2,0)</f>
        <v>Conductor de alimentación a difusor y retorno</v>
      </c>
      <c r="G768" s="191" t="str">
        <f>VLOOKUP(MP_registro[[#This Row],[TAG]],'DB-EQUIPOS GEN'!$C$11:$H$833,3,0)</f>
        <v>EXTRACCION</v>
      </c>
      <c r="H768" s="191" t="str">
        <f>VLOOKUP(MP_registro[[#This Row],[TAG]],'DB-EQUIPOS GEN'!$C$11:$H$833,4,0)</f>
        <v>PREPARACIÓN DE CAÑA</v>
      </c>
      <c r="I768" s="191" t="str">
        <f>VLOOKUP(MP_registro[[#This Row],[TAG]],'DB-EQUIPOS GEN'!$C$11:$H$833,5,0)</f>
        <v>CONDUCTOR DE RETORNO</v>
      </c>
      <c r="J768" s="191" t="str">
        <f>VLOOKUP(MP_registro[[#This Row],[TAG]],'DB-EQUIPOS GEN'!$C$11:$H$833,6,0)</f>
        <v>0115CV090</v>
      </c>
      <c r="K768" s="192">
        <v>44789</v>
      </c>
      <c r="L768" s="193" t="s">
        <v>247</v>
      </c>
      <c r="M76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68" s="201" t="s">
        <v>1664</v>
      </c>
      <c r="O768" s="64" t="s">
        <v>1696</v>
      </c>
    </row>
    <row r="769" spans="1:16" ht="33" customHeight="1">
      <c r="A769" s="218">
        <v>768</v>
      </c>
      <c r="B769" s="219" t="s">
        <v>2565</v>
      </c>
      <c r="C769" s="64" t="s">
        <v>2609</v>
      </c>
      <c r="D769" s="191" t="s">
        <v>2701</v>
      </c>
      <c r="E769" s="204" t="s">
        <v>1641</v>
      </c>
      <c r="F769" s="191" t="str">
        <f>VLOOKUP(MP_registro[[#This Row],[TAG]],'DB-EQUIPOS GEN'!$C$11:$H$833,2,0)</f>
        <v>Mesa de caña</v>
      </c>
      <c r="G769" s="191" t="str">
        <f>VLOOKUP(MP_registro[[#This Row],[TAG]],'DB-EQUIPOS GEN'!$C$11:$H$833,3,0)</f>
        <v>EXTRACCION</v>
      </c>
      <c r="H769" s="191" t="str">
        <f>VLOOKUP(MP_registro[[#This Row],[TAG]],'DB-EQUIPOS GEN'!$C$11:$H$833,4,0)</f>
        <v>RECEPCIÓN DE CAÑA</v>
      </c>
      <c r="I769" s="191" t="str">
        <f>VLOOKUP(MP_registro[[#This Row],[TAG]],'DB-EQUIPOS GEN'!$C$11:$H$833,5,0)</f>
        <v>MESA DE CAÑA</v>
      </c>
      <c r="J769" s="191" t="str">
        <f>VLOOKUP(MP_registro[[#This Row],[TAG]],'DB-EQUIPOS GEN'!$C$11:$H$833,6,0)</f>
        <v>0110FE019</v>
      </c>
      <c r="K769" s="192">
        <v>44789</v>
      </c>
      <c r="L769" s="193" t="s">
        <v>247</v>
      </c>
      <c r="M76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69" s="201" t="s">
        <v>1664</v>
      </c>
      <c r="O769" s="64" t="s">
        <v>1696</v>
      </c>
    </row>
    <row r="770" spans="1:16" ht="33" customHeight="1">
      <c r="A770" s="218">
        <v>769</v>
      </c>
      <c r="B770" s="219" t="s">
        <v>2565</v>
      </c>
      <c r="C770" s="64" t="s">
        <v>2609</v>
      </c>
      <c r="D770" s="191" t="s">
        <v>2702</v>
      </c>
      <c r="E770" s="204" t="s">
        <v>1642</v>
      </c>
      <c r="F770" s="191" t="str">
        <f>VLOOKUP(MP_registro[[#This Row],[TAG]],'DB-EQUIPOS GEN'!$C$11:$H$833,2,0)</f>
        <v>Salida de bagazo de molino secador</v>
      </c>
      <c r="G770" s="191" t="str">
        <f>VLOOKUP(MP_registro[[#This Row],[TAG]],'DB-EQUIPOS GEN'!$C$11:$H$833,3,0)</f>
        <v>EXTRACCION</v>
      </c>
      <c r="H770" s="191" t="str">
        <f>VLOOKUP(MP_registro[[#This Row],[TAG]],'DB-EQUIPOS GEN'!$C$11:$H$833,4,0)</f>
        <v>MOLINOS</v>
      </c>
      <c r="I770" s="191" t="str">
        <f>VLOOKUP(MP_registro[[#This Row],[TAG]],'DB-EQUIPOS GEN'!$C$11:$H$833,5,0)</f>
        <v>MOLINO SECADOR</v>
      </c>
      <c r="J770" s="191" t="str">
        <f>VLOOKUP(MP_registro[[#This Row],[TAG]],'DB-EQUIPOS GEN'!$C$11:$H$833,6,0)</f>
        <v>0210MM090</v>
      </c>
      <c r="K770" s="192">
        <v>44789</v>
      </c>
      <c r="L770" s="193" t="s">
        <v>247</v>
      </c>
      <c r="M770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70" s="201" t="s">
        <v>1664</v>
      </c>
      <c r="O770" s="64" t="s">
        <v>1696</v>
      </c>
    </row>
    <row r="771" spans="1:16" ht="33" customHeight="1">
      <c r="A771" s="218">
        <v>770</v>
      </c>
      <c r="B771" s="219" t="s">
        <v>2565</v>
      </c>
      <c r="C771" s="64" t="s">
        <v>2609</v>
      </c>
      <c r="D771" s="191" t="s">
        <v>2703</v>
      </c>
      <c r="E771" s="204" t="s">
        <v>1658</v>
      </c>
      <c r="F771" s="191" t="str">
        <f>VLOOKUP(MP_registro[[#This Row],[TAG]],'DB-EQUIPOS GEN'!$C$11:$H$833,2,0)</f>
        <v>Pug mill A - Centrifugas batch</v>
      </c>
      <c r="G771" s="191" t="str">
        <f>VLOOKUP(MP_registro[[#This Row],[TAG]],'DB-EQUIPOS GEN'!$C$11:$H$833,3,0)</f>
        <v>PRODUCCION</v>
      </c>
      <c r="H771" s="191" t="str">
        <f>VLOOKUP(MP_registro[[#This Row],[TAG]],'DB-EQUIPOS GEN'!$C$11:$H$833,4,0)</f>
        <v>CENTRIFUGACIÓN DE AZÚCAR</v>
      </c>
      <c r="I771" s="191" t="str">
        <f>VLOOKUP(MP_registro[[#This Row],[TAG]],'DB-EQUIPOS GEN'!$C$11:$H$833,5,0)</f>
        <v>PUG MILL - A</v>
      </c>
      <c r="J771" s="191" t="str">
        <f>VLOOKUP(MP_registro[[#This Row],[TAG]],'DB-EQUIPOS GEN'!$C$11:$H$833,6,0)</f>
        <v>0345MM010</v>
      </c>
      <c r="K771" s="192">
        <v>44789</v>
      </c>
      <c r="L771" s="193" t="s">
        <v>247</v>
      </c>
      <c r="M77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71" s="201" t="s">
        <v>1664</v>
      </c>
      <c r="O771" s="64" t="s">
        <v>1696</v>
      </c>
    </row>
    <row r="772" spans="1:16" ht="33" customHeight="1">
      <c r="A772" s="218">
        <v>771</v>
      </c>
      <c r="B772" s="219" t="s">
        <v>2565</v>
      </c>
      <c r="C772" s="64" t="s">
        <v>2609</v>
      </c>
      <c r="D772" s="191" t="s">
        <v>2704</v>
      </c>
      <c r="E772" s="204" t="s">
        <v>1659</v>
      </c>
      <c r="F772" s="191" t="str">
        <f>VLOOKUP(MP_registro[[#This Row],[TAG]],'DB-EQUIPOS GEN'!$C$11:$H$833,2,0)</f>
        <v>Vista global de tanques de jarabe 1,2 y 3</v>
      </c>
      <c r="G772" s="191" t="str">
        <f>VLOOKUP(MP_registro[[#This Row],[TAG]],'DB-EQUIPOS GEN'!$C$11:$H$833,3,0)</f>
        <v>PRODUCCION</v>
      </c>
      <c r="H772" s="191" t="str">
        <f>VLOOKUP(MP_registro[[#This Row],[TAG]],'DB-EQUIPOS GEN'!$C$11:$H$833,4,0)</f>
        <v>CRISTALIZACIÓN POR COCCIÓN</v>
      </c>
      <c r="I772" s="191" t="str">
        <f>VLOOKUP(MP_registro[[#This Row],[TAG]],'DB-EQUIPOS GEN'!$C$11:$H$833,5,0)</f>
        <v>TANQUE DE JARABE 1</v>
      </c>
      <c r="J772" s="191" t="str">
        <f>VLOOKUP(MP_registro[[#This Row],[TAG]],'DB-EQUIPOS GEN'!$C$11:$H$833,6,0)</f>
        <v>0335TK010</v>
      </c>
      <c r="K772" s="192">
        <v>44789</v>
      </c>
      <c r="L772" s="193" t="s">
        <v>247</v>
      </c>
      <c r="M77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72" s="201" t="s">
        <v>1664</v>
      </c>
      <c r="O772" s="64" t="s">
        <v>1696</v>
      </c>
    </row>
    <row r="773" spans="1:16" ht="33" customHeight="1">
      <c r="A773" s="218">
        <v>772</v>
      </c>
      <c r="B773" s="219" t="s">
        <v>2565</v>
      </c>
      <c r="C773" s="64" t="s">
        <v>2609</v>
      </c>
      <c r="D773" s="191" t="s">
        <v>2705</v>
      </c>
      <c r="E773" s="204" t="s">
        <v>1660</v>
      </c>
      <c r="F773" s="191" t="str">
        <f>VLOOKUP(MP_registro[[#This Row],[TAG]],'DB-EQUIPOS GEN'!$C$11:$H$833,2,0)</f>
        <v>Vista global de tacho continuo A.</v>
      </c>
      <c r="G773" s="191" t="str">
        <f>VLOOKUP(MP_registro[[#This Row],[TAG]],'DB-EQUIPOS GEN'!$C$11:$H$833,3,0)</f>
        <v>PRODUCCION</v>
      </c>
      <c r="H773" s="191" t="str">
        <f>VLOOKUP(MP_registro[[#This Row],[TAG]],'DB-EQUIPOS GEN'!$C$11:$H$833,4,0)</f>
        <v>CRISTALIZACIÓN POR COCCIÓN</v>
      </c>
      <c r="I773" s="191" t="str">
        <f>VLOOKUP(MP_registro[[#This Row],[TAG]],'DB-EQUIPOS GEN'!$C$11:$H$833,5,0)</f>
        <v>TACHO CONTINUO - A</v>
      </c>
      <c r="J773" s="191" t="str">
        <f>VLOOKUP(MP_registro[[#This Row],[TAG]],'DB-EQUIPOS GEN'!$C$11:$H$833,6,0)</f>
        <v>0335HX200</v>
      </c>
      <c r="K773" s="192">
        <v>44789</v>
      </c>
      <c r="L773" s="193" t="s">
        <v>247</v>
      </c>
      <c r="M773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73" s="201" t="s">
        <v>1664</v>
      </c>
      <c r="O773" s="64" t="s">
        <v>1696</v>
      </c>
    </row>
    <row r="774" spans="1:16" ht="33" customHeight="1">
      <c r="A774" s="218">
        <v>773</v>
      </c>
      <c r="B774" s="219" t="s">
        <v>2565</v>
      </c>
      <c r="C774" s="64" t="s">
        <v>2609</v>
      </c>
      <c r="D774" s="191" t="s">
        <v>2706</v>
      </c>
      <c r="E774" s="204" t="s">
        <v>1649</v>
      </c>
      <c r="F774" s="191" t="str">
        <f>VLOOKUP(MP_registro[[#This Row],[TAG]],'DB-EQUIPOS GEN'!$C$11:$H$833,2,0)</f>
        <v>Chute alimentadores de bagazo</v>
      </c>
      <c r="G774" s="191" t="str">
        <f>VLOOKUP(MP_registro[[#This Row],[TAG]],'DB-EQUIPOS GEN'!$C$11:$H$833,3,0)</f>
        <v>E. TERMICA</v>
      </c>
      <c r="H774" s="191" t="str">
        <f>VLOOKUP(MP_registro[[#This Row],[TAG]],'DB-EQUIPOS GEN'!$C$11:$H$833,4,0)</f>
        <v>TRANSPORTE DE BAGAZO</v>
      </c>
      <c r="I774" s="191" t="str">
        <f>VLOOKUP(MP_registro[[#This Row],[TAG]],'DB-EQUIPOS GEN'!$C$11:$H$833,5,0)</f>
        <v>ALIMENTADOR DE BAGAZO 1</v>
      </c>
      <c r="J774" s="191" t="str">
        <f>VLOOKUP(MP_registro[[#This Row],[TAG]],'DB-EQUIPOS GEN'!$C$11:$H$833,6,0)</f>
        <v>0405RV240</v>
      </c>
      <c r="K774" s="192">
        <v>44789</v>
      </c>
      <c r="L774" s="193"/>
      <c r="M774" s="77"/>
      <c r="N774" s="201" t="s">
        <v>1695</v>
      </c>
      <c r="O774" s="64" t="s">
        <v>1696</v>
      </c>
    </row>
    <row r="775" spans="1:16" ht="33" customHeight="1">
      <c r="A775" s="218">
        <v>774</v>
      </c>
      <c r="B775" s="219" t="s">
        <v>2565</v>
      </c>
      <c r="C775" s="64" t="s">
        <v>2609</v>
      </c>
      <c r="D775" s="191" t="s">
        <v>2707</v>
      </c>
      <c r="E775" s="204" t="s">
        <v>288</v>
      </c>
      <c r="F775" s="191" t="str">
        <f>VLOOKUP(MP_registro[[#This Row],[TAG]],'DB-EQUIPOS GEN'!$C$11:$H$833,2,0)</f>
        <v>Nivel de jugo del tanque flash</v>
      </c>
      <c r="G775" s="191" t="str">
        <f>VLOOKUP(MP_registro[[#This Row],[TAG]],'DB-EQUIPOS GEN'!$C$11:$H$833,3,0)</f>
        <v>PRODUCCION</v>
      </c>
      <c r="H775" s="191" t="str">
        <f>VLOOKUP(MP_registro[[#This Row],[TAG]],'DB-EQUIPOS GEN'!$C$11:$H$833,4,0)</f>
        <v>CLARIFICACION DE JUGO</v>
      </c>
      <c r="I775" s="191" t="str">
        <f>VLOOKUP(MP_registro[[#This Row],[TAG]],'DB-EQUIPOS GEN'!$C$11:$H$833,5,0)</f>
        <v>TANQUE FLASH</v>
      </c>
      <c r="J775" s="191" t="str">
        <f>VLOOKUP(MP_registro[[#This Row],[TAG]],'DB-EQUIPOS GEN'!$C$11:$H$833,6,0)</f>
        <v>0305TK270</v>
      </c>
      <c r="K775" s="192">
        <v>44790</v>
      </c>
      <c r="L775" s="193"/>
      <c r="M775" s="77"/>
      <c r="N775" s="201" t="s">
        <v>1695</v>
      </c>
      <c r="O775" s="64" t="s">
        <v>1696</v>
      </c>
    </row>
    <row r="776" spans="1:16" ht="33" customHeight="1">
      <c r="A776" s="218">
        <v>775</v>
      </c>
      <c r="B776" s="219" t="s">
        <v>2565</v>
      </c>
      <c r="C776" s="64" t="s">
        <v>2609</v>
      </c>
      <c r="D776" s="191" t="s">
        <v>2708</v>
      </c>
      <c r="E776" s="204" t="s">
        <v>875</v>
      </c>
      <c r="F776" s="191" t="str">
        <f>VLOOKUP(MP_registro[[#This Row],[TAG]],'DB-EQUIPOS GEN'!$C$11:$H$833,2,0)</f>
        <v>Deteccion de velocidad cero en faja conductor principal</v>
      </c>
      <c r="G776" s="191" t="str">
        <f>VLOOKUP(MP_registro[[#This Row],[TAG]],'DB-EQUIPOS GEN'!$C$11:$H$833,3,0)</f>
        <v>EXTRACCION</v>
      </c>
      <c r="H776" s="191" t="str">
        <f>VLOOKUP(MP_registro[[#This Row],[TAG]],'DB-EQUIPOS GEN'!$C$11:$H$833,4,0)</f>
        <v>PREPARACION DE CAÑA</v>
      </c>
      <c r="I776" s="191" t="str">
        <f>VLOOKUP(MP_registro[[#This Row],[TAG]],'DB-EQUIPOS GEN'!$C$11:$H$833,5,0)</f>
        <v xml:space="preserve">CONDUCTOR PRINCIPAL </v>
      </c>
      <c r="J776" s="191" t="str">
        <f>VLOOKUP(MP_registro[[#This Row],[TAG]],'DB-EQUIPOS GEN'!$C$11:$H$833,6,0)</f>
        <v>0115CV070</v>
      </c>
      <c r="K776" s="192">
        <v>44790</v>
      </c>
      <c r="L776" s="193" t="s">
        <v>247</v>
      </c>
      <c r="M77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76" s="201" t="s">
        <v>1664</v>
      </c>
      <c r="O776" s="64" t="s">
        <v>1696</v>
      </c>
    </row>
    <row r="777" spans="1:16" ht="33" customHeight="1">
      <c r="A777" s="218">
        <v>776</v>
      </c>
      <c r="B777" s="219" t="s">
        <v>2565</v>
      </c>
      <c r="C777" s="64" t="s">
        <v>2609</v>
      </c>
      <c r="D777" s="191" t="s">
        <v>2709</v>
      </c>
      <c r="E777" s="204" t="s">
        <v>465</v>
      </c>
      <c r="F777" s="191" t="str">
        <f>VLOOKUP(MP_registro[[#This Row],[TAG]],'DB-EQUIPOS GEN'!$C$11:$H$833,2,0)</f>
        <v xml:space="preserve">Temperatura de jugo salida 3er calentamiento </v>
      </c>
      <c r="G777" s="191" t="str">
        <f>VLOOKUP(MP_registro[[#This Row],[TAG]],'DB-EQUIPOS GEN'!$C$11:$H$833,3,0)</f>
        <v>PRODUCCION</v>
      </c>
      <c r="H777" s="191" t="str">
        <f>VLOOKUP(MP_registro[[#This Row],[TAG]],'DB-EQUIPOS GEN'!$C$11:$H$833,4,0)</f>
        <v>CALENTAMIENTO DE JUGO ENCALADO</v>
      </c>
      <c r="I777" s="191" t="str">
        <f>VLOOKUP(MP_registro[[#This Row],[TAG]],'DB-EQUIPOS GEN'!$C$11:$H$833,5,0)</f>
        <v xml:space="preserve">CALENTADOR DE JUGO ENCALADO </v>
      </c>
      <c r="J777" s="191" t="str">
        <f>VLOOKUP(MP_registro[[#This Row],[TAG]],'DB-EQUIPOS GEN'!$C$11:$H$833,6,0)</f>
        <v xml:space="preserve"> 0305HX120</v>
      </c>
      <c r="K777" s="192">
        <v>44790</v>
      </c>
      <c r="L777" s="193"/>
      <c r="M777" s="77"/>
      <c r="N777" s="201" t="s">
        <v>1695</v>
      </c>
      <c r="O777" s="64" t="s">
        <v>1696</v>
      </c>
    </row>
    <row r="778" spans="1:16" ht="33" customHeight="1">
      <c r="A778" s="218">
        <v>777</v>
      </c>
      <c r="B778" s="219" t="s">
        <v>2565</v>
      </c>
      <c r="C778" s="64" t="s">
        <v>2609</v>
      </c>
      <c r="D778" s="191" t="s">
        <v>2710</v>
      </c>
      <c r="E778" s="204" t="s">
        <v>573</v>
      </c>
      <c r="F778" s="191" t="str">
        <f>VLOOKUP(MP_registro[[#This Row],[TAG]],'DB-EQUIPOS GEN'!$C$11:$H$833,2,0)</f>
        <v>Temperatura gases del horno</v>
      </c>
      <c r="G778" s="191" t="str">
        <f>VLOOKUP(MP_registro[[#This Row],[TAG]],'DB-EQUIPOS GEN'!$C$11:$H$833,3,0)</f>
        <v>E. TERMICA</v>
      </c>
      <c r="H778" s="191" t="str">
        <f>VLOOKUP(MP_registro[[#This Row],[TAG]],'DB-EQUIPOS GEN'!$C$11:$H$833,4,0)</f>
        <v>GENERACION DE VAPOR</v>
      </c>
      <c r="I778" s="191" t="str">
        <f>VLOOKUP(MP_registro[[#This Row],[TAG]],'DB-EQUIPOS GEN'!$C$11:$H$833,5,0)</f>
        <v>CALDERA</v>
      </c>
      <c r="J778" s="191" t="str">
        <f>VLOOKUP(MP_registro[[#This Row],[TAG]],'DB-EQUIPOS GEN'!$C$11:$H$833,6,0)</f>
        <v>0405BR010</v>
      </c>
      <c r="K778" s="192">
        <v>44790</v>
      </c>
      <c r="L778" s="193"/>
      <c r="M778" s="77"/>
      <c r="N778" s="201" t="s">
        <v>1695</v>
      </c>
      <c r="O778" s="64" t="s">
        <v>1696</v>
      </c>
    </row>
    <row r="779" spans="1:16" ht="33" customHeight="1">
      <c r="A779" s="218">
        <v>778</v>
      </c>
      <c r="B779" s="219" t="s">
        <v>2565</v>
      </c>
      <c r="C779" s="64" t="s">
        <v>2609</v>
      </c>
      <c r="D779" s="191" t="s">
        <v>2711</v>
      </c>
      <c r="E779" s="204" t="s">
        <v>1656</v>
      </c>
      <c r="F779" s="191" t="str">
        <f>VLOOKUP(MP_registro[[#This Row],[TAG]],'DB-EQUIPOS GEN'!$C$11:$H$833,2,0)</f>
        <v>Descarga de centrifugas continuas</v>
      </c>
      <c r="G779" s="191" t="str">
        <f>VLOOKUP(MP_registro[[#This Row],[TAG]],'DB-EQUIPOS GEN'!$C$11:$H$833,3,0)</f>
        <v>PRODUCCION</v>
      </c>
      <c r="H779" s="191" t="str">
        <f>VLOOKUP(MP_registro[[#This Row],[TAG]],'DB-EQUIPOS GEN'!$C$11:$H$833,4,0)</f>
        <v>CENTRIFUGACIÓN DE AZÚCAR</v>
      </c>
      <c r="I779" s="191" t="str">
        <f>VLOOKUP(MP_registro[[#This Row],[TAG]],'DB-EQUIPOS GEN'!$C$11:$H$833,5,0)</f>
        <v>CENTRIFUGA CONTINUA 1 - C (FRANCIA)</v>
      </c>
      <c r="J779" s="191" t="str">
        <f>VLOOKUP(MP_registro[[#This Row],[TAG]],'DB-EQUIPOS GEN'!$C$11:$H$833,6,0)</f>
        <v>0345SQ160</v>
      </c>
      <c r="K779" s="192">
        <v>44790</v>
      </c>
      <c r="L779" s="193" t="s">
        <v>249</v>
      </c>
      <c r="M77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79" s="201" t="s">
        <v>1664</v>
      </c>
      <c r="O779" s="64" t="s">
        <v>1696</v>
      </c>
    </row>
    <row r="780" spans="1:16" ht="33" customHeight="1">
      <c r="A780" s="218">
        <v>779</v>
      </c>
      <c r="B780" s="219" t="s">
        <v>2565</v>
      </c>
      <c r="C780" s="64" t="s">
        <v>2609</v>
      </c>
      <c r="D780" s="191" t="s">
        <v>2712</v>
      </c>
      <c r="E780" s="204" t="s">
        <v>1661</v>
      </c>
      <c r="F780" s="191" t="str">
        <f>VLOOKUP(MP_registro[[#This Row],[TAG]],'DB-EQUIPOS GEN'!$C$11:$H$833,2,0)</f>
        <v xml:space="preserve">Faja de azucar seca a Silo </v>
      </c>
      <c r="G780" s="191" t="str">
        <f>VLOOKUP(MP_registro[[#This Row],[TAG]],'DB-EQUIPOS GEN'!$C$11:$H$833,3,0)</f>
        <v>PRODUCCION</v>
      </c>
      <c r="H780" s="191" t="str">
        <f>VLOOKUP(MP_registro[[#This Row],[TAG]],'DB-EQUIPOS GEN'!$C$11:$H$833,4,0)</f>
        <v>ENVASADO DE AZÚCAR RUBIA</v>
      </c>
      <c r="I780" s="191" t="str">
        <f>VLOOKUP(MP_registro[[#This Row],[TAG]],'DB-EQUIPOS GEN'!$C$11:$H$833,5,0)</f>
        <v>SILO DE AZUCAR 1</v>
      </c>
      <c r="J780" s="191" t="str">
        <f>VLOOKUP(MP_registro[[#This Row],[TAG]],'DB-EQUIPOS GEN'!$C$11:$H$833,6,0)</f>
        <v>0355BI090</v>
      </c>
      <c r="K780" s="192">
        <v>44790</v>
      </c>
      <c r="L780" s="193" t="s">
        <v>249</v>
      </c>
      <c r="M78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80" s="201" t="s">
        <v>1664</v>
      </c>
      <c r="O780" s="64" t="s">
        <v>1696</v>
      </c>
    </row>
    <row r="781" spans="1:16" ht="33" customHeight="1">
      <c r="A781" s="218">
        <v>780</v>
      </c>
      <c r="B781" s="219" t="s">
        <v>2565</v>
      </c>
      <c r="C781" s="64" t="s">
        <v>2609</v>
      </c>
      <c r="D781" s="191" t="s">
        <v>2713</v>
      </c>
      <c r="E781" s="204" t="s">
        <v>1648</v>
      </c>
      <c r="F781" s="191" t="str">
        <f>VLOOKUP(MP_registro[[#This Row],[TAG]],'DB-EQUIPOS GEN'!$C$11:$H$833,2,0)</f>
        <v>Nivel de agua en domo</v>
      </c>
      <c r="G781" s="191" t="str">
        <f>VLOOKUP(MP_registro[[#This Row],[TAG]],'DB-EQUIPOS GEN'!$C$11:$H$833,3,0)</f>
        <v>E. TERMICA</v>
      </c>
      <c r="H781" s="191" t="str">
        <f>VLOOKUP(MP_registro[[#This Row],[TAG]],'DB-EQUIPOS GEN'!$C$11:$H$833,4,0)</f>
        <v>GENERACIÓN DE VAPOR</v>
      </c>
      <c r="I781" s="191" t="str">
        <f>VLOOKUP(MP_registro[[#This Row],[TAG]],'DB-EQUIPOS GEN'!$C$11:$H$833,5,0)</f>
        <v>DOMO SUPERIOR</v>
      </c>
      <c r="J781" s="191" t="str">
        <f>VLOOKUP(MP_registro[[#This Row],[TAG]],'DB-EQUIPOS GEN'!$C$11:$H$833,6,0)</f>
        <v>0405DO020</v>
      </c>
      <c r="K781" s="192">
        <v>44790</v>
      </c>
      <c r="L781" s="193"/>
      <c r="M781" s="77"/>
      <c r="N781" s="201" t="s">
        <v>1695</v>
      </c>
      <c r="O781" s="64" t="s">
        <v>1696</v>
      </c>
    </row>
    <row r="782" spans="1:16" ht="33" customHeight="1">
      <c r="A782" s="218">
        <v>781</v>
      </c>
      <c r="B782" s="219" t="s">
        <v>2565</v>
      </c>
      <c r="C782" s="64" t="s">
        <v>2609</v>
      </c>
      <c r="D782" s="191" t="s">
        <v>2714</v>
      </c>
      <c r="E782" s="204" t="s">
        <v>1652</v>
      </c>
      <c r="F782" s="191" t="str">
        <f>VLOOKUP(MP_registro[[#This Row],[TAG]],'DB-EQUIPOS GEN'!$C$11:$H$833,2,0)</f>
        <v>Faja 1006A - Patio de Bagazo</v>
      </c>
      <c r="G782" s="191" t="str">
        <f>VLOOKUP(MP_registro[[#This Row],[TAG]],'DB-EQUIPOS GEN'!$C$11:$H$833,3,0)</f>
        <v>E. TERMICA</v>
      </c>
      <c r="H782" s="191" t="str">
        <f>VLOOKUP(MP_registro[[#This Row],[TAG]],'DB-EQUIPOS GEN'!$C$11:$H$833,4,0)</f>
        <v>TRANSPORTE DE BAGAZO</v>
      </c>
      <c r="I782" s="191" t="str">
        <f>VLOOKUP(MP_registro[[#This Row],[TAG]],'DB-EQUIPOS GEN'!$C$11:$H$833,5,0)</f>
        <v>FAJA TRANSPORTADORA 1006 A</v>
      </c>
      <c r="J782" s="191" t="str">
        <f>VLOOKUP(MP_registro[[#This Row],[TAG]],'DB-EQUIPOS GEN'!$C$11:$H$833,6,0)</f>
        <v>0805CV080</v>
      </c>
      <c r="K782" s="192">
        <v>44790</v>
      </c>
      <c r="L782" s="193" t="s">
        <v>249</v>
      </c>
      <c r="M78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82" s="201" t="s">
        <v>1664</v>
      </c>
      <c r="O782" s="64" t="s">
        <v>1696</v>
      </c>
    </row>
    <row r="783" spans="1:16" ht="33" customHeight="1">
      <c r="A783" s="218">
        <v>782</v>
      </c>
      <c r="B783" s="219" t="s">
        <v>2565</v>
      </c>
      <c r="C783" s="64" t="s">
        <v>2609</v>
      </c>
      <c r="D783" s="191" t="s">
        <v>2715</v>
      </c>
      <c r="E783" s="204" t="s">
        <v>575</v>
      </c>
      <c r="F783" s="191" t="str">
        <f>VLOOKUP(MP_registro[[#This Row],[TAG]],'DB-EQUIPOS GEN'!$C$11:$H$833,2,0)</f>
        <v>Temperatura gases entrada al precalentador</v>
      </c>
      <c r="G783" s="191" t="str">
        <f>VLOOKUP(MP_registro[[#This Row],[TAG]],'DB-EQUIPOS GEN'!$C$11:$H$833,3,0)</f>
        <v>E. TERMICA</v>
      </c>
      <c r="H783" s="191" t="str">
        <f>VLOOKUP(MP_registro[[#This Row],[TAG]],'DB-EQUIPOS GEN'!$C$11:$H$833,4,0)</f>
        <v>GENERACION DE VAPOR</v>
      </c>
      <c r="I783" s="191" t="str">
        <f>VLOOKUP(MP_registro[[#This Row],[TAG]],'DB-EQUIPOS GEN'!$C$11:$H$833,5,0)</f>
        <v>PRECALENTADOR DE AIRE</v>
      </c>
      <c r="J783" s="191" t="str">
        <f>VLOOKUP(MP_registro[[#This Row],[TAG]],'DB-EQUIPOS GEN'!$C$11:$H$833,6,0)</f>
        <v>0405CA010</v>
      </c>
      <c r="K783" s="192">
        <v>44791</v>
      </c>
      <c r="L783" s="193"/>
      <c r="M783" s="77"/>
      <c r="N783" s="201" t="s">
        <v>1695</v>
      </c>
      <c r="O783" s="64" t="s">
        <v>1696</v>
      </c>
    </row>
    <row r="784" spans="1:16" ht="33" customHeight="1">
      <c r="A784" s="218">
        <v>783</v>
      </c>
      <c r="B784" s="219" t="s">
        <v>2565</v>
      </c>
      <c r="C784" s="64" t="s">
        <v>2609</v>
      </c>
      <c r="D784" s="191" t="s">
        <v>2716</v>
      </c>
      <c r="E784" s="204" t="s">
        <v>1180</v>
      </c>
      <c r="F784" s="191" t="str">
        <f>VLOOKUP(MP_registro[[#This Row],[TAG]],'DB-EQUIPOS GEN'!$C$11:$H$833,2,0)</f>
        <v>Valvula control de nivel FFE - 5B</v>
      </c>
      <c r="G784" s="191" t="str">
        <f>VLOOKUP(MP_registro[[#This Row],[TAG]],'DB-EQUIPOS GEN'!$C$11:$H$833,3,0)</f>
        <v>PRODUCCION</v>
      </c>
      <c r="H784" s="191" t="str">
        <f>VLOOKUP(MP_registro[[#This Row],[TAG]],'DB-EQUIPOS GEN'!$C$11:$H$833,4,0)</f>
        <v>EVAPORACION DE JUGO</v>
      </c>
      <c r="I784" s="191" t="str">
        <f>VLOOKUP(MP_registro[[#This Row],[TAG]],'DB-EQUIPOS GEN'!$C$11:$H$833,5,0)</f>
        <v>EVAPORADOR FFE 5B</v>
      </c>
      <c r="J784" s="191" t="str">
        <f>VLOOKUP(MP_registro[[#This Row],[TAG]],'DB-EQUIPOS GEN'!$C$11:$H$833,6,0)</f>
        <v>0320EV080</v>
      </c>
      <c r="K784" s="192">
        <v>44792</v>
      </c>
      <c r="L784" s="193" t="s">
        <v>247</v>
      </c>
      <c r="M78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784" s="201" t="s">
        <v>1664</v>
      </c>
      <c r="O784" s="64" t="s">
        <v>1696</v>
      </c>
      <c r="P784" t="s">
        <v>3008</v>
      </c>
    </row>
    <row r="785" spans="1:16" ht="33" customHeight="1">
      <c r="A785" s="218">
        <v>784</v>
      </c>
      <c r="B785" s="219" t="s">
        <v>2565</v>
      </c>
      <c r="C785" s="64" t="s">
        <v>2609</v>
      </c>
      <c r="D785" s="191" t="s">
        <v>2717</v>
      </c>
      <c r="E785" s="204" t="s">
        <v>577</v>
      </c>
      <c r="F785" s="191" t="str">
        <f>VLOOKUP(MP_registro[[#This Row],[TAG]],'DB-EQUIPOS GEN'!$C$11:$H$833,2,0)</f>
        <v>Temperatura gases de salida del precalentador</v>
      </c>
      <c r="G785" s="191" t="str">
        <f>VLOOKUP(MP_registro[[#This Row],[TAG]],'DB-EQUIPOS GEN'!$C$11:$H$833,3,0)</f>
        <v>E. TERMICA</v>
      </c>
      <c r="H785" s="191" t="str">
        <f>VLOOKUP(MP_registro[[#This Row],[TAG]],'DB-EQUIPOS GEN'!$C$11:$H$833,4,0)</f>
        <v>GENERACION DE VAPOR</v>
      </c>
      <c r="I785" s="191" t="str">
        <f>VLOOKUP(MP_registro[[#This Row],[TAG]],'DB-EQUIPOS GEN'!$C$11:$H$833,5,0)</f>
        <v>PRECALENTADOR DE AIRE</v>
      </c>
      <c r="J785" s="191" t="str">
        <f>VLOOKUP(MP_registro[[#This Row],[TAG]],'DB-EQUIPOS GEN'!$C$11:$H$833,6,0)</f>
        <v>0405CA010</v>
      </c>
      <c r="K785" s="192">
        <v>44792</v>
      </c>
      <c r="L785" s="193"/>
      <c r="M785" s="77"/>
      <c r="N785" s="201" t="s">
        <v>1695</v>
      </c>
      <c r="O785" s="64" t="s">
        <v>1696</v>
      </c>
    </row>
    <row r="786" spans="1:16" ht="33" customHeight="1">
      <c r="A786" s="218">
        <v>785</v>
      </c>
      <c r="B786" s="219" t="s">
        <v>2565</v>
      </c>
      <c r="C786" s="64" t="s">
        <v>2609</v>
      </c>
      <c r="D786" s="191" t="s">
        <v>2718</v>
      </c>
      <c r="E786" s="204" t="s">
        <v>1849</v>
      </c>
      <c r="F786" s="191" t="str">
        <f>VLOOKUP(MP_registro[[#This Row],[TAG]],'DB-EQUIPOS GEN'!$C$11:$H$833,2,0)</f>
        <v>Aire Instrumentacion p/ Caldera</v>
      </c>
      <c r="G786" s="191" t="str">
        <f>VLOOKUP(MP_registro[[#This Row],[TAG]],'DB-EQUIPOS GEN'!$C$11:$H$833,3,0)</f>
        <v>E. ELECTRICA</v>
      </c>
      <c r="H786" s="191" t="str">
        <f>VLOOKUP(MP_registro[[#This Row],[TAG]],'DB-EQUIPOS GEN'!$C$11:$H$833,4,0)</f>
        <v>GENERACION ENERG. ELEC. TURBO GENERADOR</v>
      </c>
      <c r="I786" s="191" t="str">
        <f>VLOOKUP(MP_registro[[#This Row],[TAG]],'DB-EQUIPOS GEN'!$C$11:$H$833,5,0)</f>
        <v/>
      </c>
      <c r="J786" s="191" t="str">
        <f>VLOOKUP(MP_registro[[#This Row],[TAG]],'DB-EQUIPOS GEN'!$C$11:$H$833,6,0)</f>
        <v/>
      </c>
      <c r="K786" s="192">
        <v>44792</v>
      </c>
      <c r="L786" s="193" t="s">
        <v>245</v>
      </c>
      <c r="M78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786" s="201" t="s">
        <v>1664</v>
      </c>
      <c r="O786" s="64" t="s">
        <v>1696</v>
      </c>
      <c r="P786" t="s">
        <v>3008</v>
      </c>
    </row>
    <row r="787" spans="1:16" ht="33" customHeight="1">
      <c r="A787" s="218">
        <v>786</v>
      </c>
      <c r="B787" s="219" t="s">
        <v>2565</v>
      </c>
      <c r="C787" s="64" t="s">
        <v>2609</v>
      </c>
      <c r="D787" s="191" t="s">
        <v>2719</v>
      </c>
      <c r="E787" s="204" t="s">
        <v>1643</v>
      </c>
      <c r="F787" s="191" t="str">
        <f>VLOOKUP(MP_registro[[#This Row],[TAG]],'DB-EQUIPOS GEN'!$C$11:$H$833,2,0)</f>
        <v>Nivelador de cama de bagazo en difusor</v>
      </c>
      <c r="G787" s="191" t="str">
        <f>VLOOKUP(MP_registro[[#This Row],[TAG]],'DB-EQUIPOS GEN'!$C$11:$H$833,3,0)</f>
        <v>EXTRACCION</v>
      </c>
      <c r="H787" s="191" t="str">
        <f>VLOOKUP(MP_registro[[#This Row],[TAG]],'DB-EQUIPOS GEN'!$C$11:$H$833,4,0)</f>
        <v>DIFUSOR</v>
      </c>
      <c r="I787" s="191" t="str">
        <f>VLOOKUP(MP_registro[[#This Row],[TAG]],'DB-EQUIPOS GEN'!$C$11:$H$833,5,0)</f>
        <v>CONDUCTOR TRANSVERSAL</v>
      </c>
      <c r="J787" s="191" t="str">
        <f>VLOOKUP(MP_registro[[#This Row],[TAG]],'DB-EQUIPOS GEN'!$C$11:$H$833,6,0)</f>
        <v>0205CV190</v>
      </c>
      <c r="K787" s="192">
        <v>44792</v>
      </c>
      <c r="L787" s="193" t="s">
        <v>249</v>
      </c>
      <c r="M787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87" s="201" t="s">
        <v>1664</v>
      </c>
      <c r="O787" s="64" t="s">
        <v>1696</v>
      </c>
      <c r="P787" t="s">
        <v>3008</v>
      </c>
    </row>
    <row r="788" spans="1:16" ht="33" customHeight="1">
      <c r="A788" s="218">
        <v>787</v>
      </c>
      <c r="B788" s="219" t="s">
        <v>2565</v>
      </c>
      <c r="C788" s="64" t="s">
        <v>2609</v>
      </c>
      <c r="D788" s="191" t="s">
        <v>2720</v>
      </c>
      <c r="E788" s="204" t="s">
        <v>1645</v>
      </c>
      <c r="F788" s="191" t="str">
        <f>VLOOKUP(MP_registro[[#This Row],[TAG]],'DB-EQUIPOS GEN'!$C$11:$H$833,2,0)</f>
        <v>Tamiz rotativo</v>
      </c>
      <c r="G788" s="191" t="str">
        <f>VLOOKUP(MP_registro[[#This Row],[TAG]],'DB-EQUIPOS GEN'!$C$11:$H$833,3,0)</f>
        <v>EXTRACCION</v>
      </c>
      <c r="H788" s="191" t="str">
        <f>VLOOKUP(MP_registro[[#This Row],[TAG]],'DB-EQUIPOS GEN'!$C$11:$H$833,4,0)</f>
        <v>DIFUSOR</v>
      </c>
      <c r="I788" s="191" t="str">
        <f>VLOOKUP(MP_registro[[#This Row],[TAG]],'DB-EQUIPOS GEN'!$C$11:$H$833,5,0)</f>
        <v>TAMIZ ROTATIVO</v>
      </c>
      <c r="J788" s="191" t="str">
        <f>VLOOKUP(MP_registro[[#This Row],[TAG]],'DB-EQUIPOS GEN'!$C$11:$H$833,6,0)</f>
        <v>0305FL010</v>
      </c>
      <c r="K788" s="192">
        <v>44792</v>
      </c>
      <c r="L788" s="193" t="s">
        <v>249</v>
      </c>
      <c r="M78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88" s="201" t="s">
        <v>1664</v>
      </c>
      <c r="O788" s="64" t="s">
        <v>1696</v>
      </c>
      <c r="P788" t="s">
        <v>3008</v>
      </c>
    </row>
    <row r="789" spans="1:16" ht="33" customHeight="1">
      <c r="A789" s="218">
        <v>788</v>
      </c>
      <c r="B789" s="219" t="s">
        <v>2565</v>
      </c>
      <c r="C789" s="64" t="s">
        <v>2609</v>
      </c>
      <c r="D789" s="191" t="s">
        <v>2721</v>
      </c>
      <c r="E789" s="204" t="s">
        <v>1646</v>
      </c>
      <c r="F789" s="191" t="str">
        <f>VLOOKUP(MP_registro[[#This Row],[TAG]],'DB-EQUIPOS GEN'!$C$11:$H$833,2,0)</f>
        <v>Segundo nivel de Turbina TGM</v>
      </c>
      <c r="G789" s="191" t="str">
        <f>VLOOKUP(MP_registro[[#This Row],[TAG]],'DB-EQUIPOS GEN'!$C$11:$H$833,3,0)</f>
        <v>E. ELECTRICA</v>
      </c>
      <c r="H789" s="191" t="str">
        <f>VLOOKUP(MP_registro[[#This Row],[TAG]],'DB-EQUIPOS GEN'!$C$11:$H$833,4,0)</f>
        <v>SISTEMA DE ENFRIAMIENTO</v>
      </c>
      <c r="I789" s="191" t="str">
        <f>VLOOKUP(MP_registro[[#This Row],[TAG]],'DB-EQUIPOS GEN'!$C$11:$H$833,5,0)</f>
        <v>TORRE DE ENFRIAMIENTO MARLEY - TG TGM</v>
      </c>
      <c r="J789" s="191" t="str">
        <f>VLOOKUP(MP_registro[[#This Row],[TAG]],'DB-EQUIPOS GEN'!$C$11:$H$833,6,0)</f>
        <v>0430CT050</v>
      </c>
      <c r="K789" s="192">
        <v>44792</v>
      </c>
      <c r="L789" s="193" t="s">
        <v>249</v>
      </c>
      <c r="M78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89" s="201" t="s">
        <v>1664</v>
      </c>
      <c r="O789" s="64" t="s">
        <v>1696</v>
      </c>
      <c r="P789" t="s">
        <v>3008</v>
      </c>
    </row>
    <row r="790" spans="1:16" ht="33" customHeight="1">
      <c r="A790" s="218">
        <v>789</v>
      </c>
      <c r="B790" s="219" t="s">
        <v>2565</v>
      </c>
      <c r="C790" s="64" t="s">
        <v>2609</v>
      </c>
      <c r="D790" s="191" t="s">
        <v>2722</v>
      </c>
      <c r="E790" s="204" t="s">
        <v>1650</v>
      </c>
      <c r="F790" s="191" t="str">
        <f>VLOOKUP(MP_registro[[#This Row],[TAG]],'DB-EQUIPOS GEN'!$C$11:$H$833,2,0)</f>
        <v>Faja 1003 - Conductor distribuidor de bagazo</v>
      </c>
      <c r="G790" s="191" t="str">
        <f>VLOOKUP(MP_registro[[#This Row],[TAG]],'DB-EQUIPOS GEN'!$C$11:$H$833,3,0)</f>
        <v>E. TERMICA</v>
      </c>
      <c r="H790" s="191" t="str">
        <f>VLOOKUP(MP_registro[[#This Row],[TAG]],'DB-EQUIPOS GEN'!$C$11:$H$833,4,0)</f>
        <v>TRANSPORTE DE BAGAZO</v>
      </c>
      <c r="I790" s="191" t="str">
        <f>VLOOKUP(MP_registro[[#This Row],[TAG]],'DB-EQUIPOS GEN'!$C$11:$H$833,5,0)</f>
        <v>TRANSPORTADOR DE BAGAZO 1003</v>
      </c>
      <c r="J790" s="191" t="str">
        <f>VLOOKUP(MP_registro[[#This Row],[TAG]],'DB-EQUIPOS GEN'!$C$11:$H$833,6,0)</f>
        <v>0805CV060</v>
      </c>
      <c r="K790" s="192">
        <v>44792</v>
      </c>
      <c r="L790" s="193" t="s">
        <v>249</v>
      </c>
      <c r="M79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90" s="201" t="s">
        <v>1664</v>
      </c>
      <c r="O790" s="64" t="s">
        <v>1696</v>
      </c>
      <c r="P790" t="s">
        <v>3008</v>
      </c>
    </row>
    <row r="791" spans="1:16" ht="33" customHeight="1">
      <c r="A791" s="218">
        <v>790</v>
      </c>
      <c r="B791" s="219" t="s">
        <v>2565</v>
      </c>
      <c r="C791" s="64" t="s">
        <v>2609</v>
      </c>
      <c r="D791" s="191" t="s">
        <v>2723</v>
      </c>
      <c r="E791" s="204" t="s">
        <v>1651</v>
      </c>
      <c r="F791" s="191" t="str">
        <f>VLOOKUP(MP_registro[[#This Row],[TAG]],'DB-EQUIPOS GEN'!$C$11:$H$833,2,0)</f>
        <v>Faja 1008 - Tolva de retorno de bagazo</v>
      </c>
      <c r="G791" s="191" t="str">
        <f>VLOOKUP(MP_registro[[#This Row],[TAG]],'DB-EQUIPOS GEN'!$C$11:$H$833,3,0)</f>
        <v>E. TERMICA</v>
      </c>
      <c r="H791" s="191" t="str">
        <f>VLOOKUP(MP_registro[[#This Row],[TAG]],'DB-EQUIPOS GEN'!$C$11:$H$833,4,0)</f>
        <v>TRANSPORTE DE BAGAZO</v>
      </c>
      <c r="I791" s="191" t="str">
        <f>VLOOKUP(MP_registro[[#This Row],[TAG]],'DB-EQUIPOS GEN'!$C$11:$H$833,5,0)</f>
        <v>FAJA TRANSPORTADORA 1008</v>
      </c>
      <c r="J791" s="191" t="str">
        <f>VLOOKUP(MP_registro[[#This Row],[TAG]],'DB-EQUIPOS GEN'!$C$11:$H$833,6,0)</f>
        <v>0805CV100</v>
      </c>
      <c r="K791" s="192">
        <v>44792</v>
      </c>
      <c r="L791" s="193" t="s">
        <v>249</v>
      </c>
      <c r="M79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91" s="201" t="s">
        <v>1664</v>
      </c>
      <c r="O791" s="64" t="s">
        <v>1696</v>
      </c>
      <c r="P791" t="s">
        <v>3008</v>
      </c>
    </row>
    <row r="792" spans="1:16" ht="33" customHeight="1">
      <c r="A792" s="218">
        <v>791</v>
      </c>
      <c r="B792" s="219" t="s">
        <v>2565</v>
      </c>
      <c r="C792" s="64" t="s">
        <v>2609</v>
      </c>
      <c r="D792" s="191" t="s">
        <v>2724</v>
      </c>
      <c r="E792" s="204" t="s">
        <v>1654</v>
      </c>
      <c r="F792" s="191" t="str">
        <f>VLOOKUP(MP_registro[[#This Row],[TAG]],'DB-EQUIPOS GEN'!$C$11:$H$833,2,0)</f>
        <v>Vista global de sala turbina TGM</v>
      </c>
      <c r="G792" s="191" t="str">
        <f>VLOOKUP(MP_registro[[#This Row],[TAG]],'DB-EQUIPOS GEN'!$C$11:$H$833,3,0)</f>
        <v>E. ELECTRICA</v>
      </c>
      <c r="H792" s="191" t="str">
        <f>VLOOKUP(MP_registro[[#This Row],[TAG]],'DB-EQUIPOS GEN'!$C$11:$H$833,4,0)</f>
        <v>SISTEMA DE ENFRIAMIENTO</v>
      </c>
      <c r="I792" s="191" t="str">
        <f>VLOOKUP(MP_registro[[#This Row],[TAG]],'DB-EQUIPOS GEN'!$C$11:$H$833,5,0)</f>
        <v>TORRE DE ENFRIAMIENTO MARLEY - TG TGM</v>
      </c>
      <c r="J792" s="191" t="str">
        <f>VLOOKUP(MP_registro[[#This Row],[TAG]],'DB-EQUIPOS GEN'!$C$11:$H$833,6,0)</f>
        <v>0430CT050</v>
      </c>
      <c r="K792" s="192">
        <v>44792</v>
      </c>
      <c r="L792" s="193"/>
      <c r="M792" s="77"/>
      <c r="N792" s="201" t="s">
        <v>1695</v>
      </c>
      <c r="O792" s="64" t="s">
        <v>1696</v>
      </c>
      <c r="P792" t="s">
        <v>3008</v>
      </c>
    </row>
    <row r="793" spans="1:16" ht="33" customHeight="1">
      <c r="A793" s="218">
        <v>792</v>
      </c>
      <c r="B793" s="219" t="s">
        <v>2565</v>
      </c>
      <c r="C793" s="64" t="s">
        <v>2609</v>
      </c>
      <c r="D793" s="191" t="s">
        <v>2725</v>
      </c>
      <c r="E793" s="204" t="s">
        <v>579</v>
      </c>
      <c r="F793" s="191" t="str">
        <f>VLOOKUP(MP_registro[[#This Row],[TAG]],'DB-EQUIPOS GEN'!$C$11:$H$833,2,0)</f>
        <v>Temperatura gases de salida del economizador</v>
      </c>
      <c r="G793" s="191" t="str">
        <f>VLOOKUP(MP_registro[[#This Row],[TAG]],'DB-EQUIPOS GEN'!$C$11:$H$833,3,0)</f>
        <v>E. TERMICA</v>
      </c>
      <c r="H793" s="191" t="str">
        <f>VLOOKUP(MP_registro[[#This Row],[TAG]],'DB-EQUIPOS GEN'!$C$11:$H$833,4,0)</f>
        <v>GENERACION DE VAPOR</v>
      </c>
      <c r="I793" s="191" t="str">
        <f>VLOOKUP(MP_registro[[#This Row],[TAG]],'DB-EQUIPOS GEN'!$C$11:$H$833,5,0)</f>
        <v>ECONOMIZADOR</v>
      </c>
      <c r="J793" s="191" t="str">
        <f>VLOOKUP(MP_registro[[#This Row],[TAG]],'DB-EQUIPOS GEN'!$C$11:$H$833,6,0)</f>
        <v>0405EC010</v>
      </c>
      <c r="K793" s="192">
        <v>44793</v>
      </c>
      <c r="L793" s="193"/>
      <c r="M793" s="77"/>
      <c r="N793" s="201" t="s">
        <v>1695</v>
      </c>
      <c r="O793" s="64" t="s">
        <v>1696</v>
      </c>
      <c r="P793" t="s">
        <v>3008</v>
      </c>
    </row>
    <row r="794" spans="1:16" ht="33" customHeight="1">
      <c r="A794" s="218">
        <v>793</v>
      </c>
      <c r="B794" s="219" t="s">
        <v>2565</v>
      </c>
      <c r="C794" s="64" t="s">
        <v>2609</v>
      </c>
      <c r="D794" s="191" t="s">
        <v>2726</v>
      </c>
      <c r="E794" s="204" t="s">
        <v>1324</v>
      </c>
      <c r="F794" s="191" t="str">
        <f>VLOOKUP(MP_registro[[#This Row],[TAG]],'DB-EQUIPOS GEN'!$C$11:$H$833,2,0)</f>
        <v>Tablero de periferia en Asset Process Houses</v>
      </c>
      <c r="G794" s="191" t="str">
        <f>VLOOKUP(MP_registro[[#This Row],[TAG]],'DB-EQUIPOS GEN'!$C$11:$H$833,3,0)</f>
        <v>PRODUCCION</v>
      </c>
      <c r="H794" s="191" t="str">
        <f>VLOOKUP(MP_registro[[#This Row],[TAG]],'DB-EQUIPOS GEN'!$C$11:$H$833,4,0)</f>
        <v>EVAPORACION DE JUGO</v>
      </c>
      <c r="I794" s="191" t="str">
        <f>VLOOKUP(MP_registro[[#This Row],[TAG]],'DB-EQUIPOS GEN'!$C$11:$H$833,5,0)</f>
        <v>EVAPORADOR FFE 1</v>
      </c>
      <c r="J794" s="191" t="str">
        <f>VLOOKUP(MP_registro[[#This Row],[TAG]],'DB-EQUIPOS GEN'!$C$11:$H$833,6,0)</f>
        <v>0320EV010</v>
      </c>
      <c r="K794" s="192">
        <v>44793</v>
      </c>
      <c r="L794" s="193" t="s">
        <v>248</v>
      </c>
      <c r="M794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794" s="201" t="s">
        <v>1664</v>
      </c>
      <c r="O794" s="64" t="s">
        <v>1696</v>
      </c>
      <c r="P794" t="s">
        <v>3008</v>
      </c>
    </row>
    <row r="795" spans="1:16" ht="33" customHeight="1">
      <c r="A795" s="218">
        <v>794</v>
      </c>
      <c r="B795" s="219" t="s">
        <v>2565</v>
      </c>
      <c r="C795" s="64" t="s">
        <v>2609</v>
      </c>
      <c r="D795" s="191" t="s">
        <v>2727</v>
      </c>
      <c r="E795" s="204" t="s">
        <v>2741</v>
      </c>
      <c r="F795" s="191" t="e">
        <f>VLOOKUP(MP_registro[[#This Row],[TAG]],'DB-EQUIPOS GEN'!$C$11:$H$833,2,0)</f>
        <v>#N/A</v>
      </c>
      <c r="G795" s="191" t="e">
        <f>VLOOKUP(MP_registro[[#This Row],[TAG]],'DB-EQUIPOS GEN'!$C$11:$H$833,3,0)</f>
        <v>#N/A</v>
      </c>
      <c r="H795" s="191" t="e">
        <f>VLOOKUP(MP_registro[[#This Row],[TAG]],'DB-EQUIPOS GEN'!$C$11:$H$833,4,0)</f>
        <v>#N/A</v>
      </c>
      <c r="I795" s="191" t="e">
        <f>VLOOKUP(MP_registro[[#This Row],[TAG]],'DB-EQUIPOS GEN'!$C$11:$H$833,5,0)</f>
        <v>#N/A</v>
      </c>
      <c r="J795" s="191" t="e">
        <f>VLOOKUP(MP_registro[[#This Row],[TAG]],'DB-EQUIPOS GEN'!$C$11:$H$833,6,0)</f>
        <v>#N/A</v>
      </c>
      <c r="K795" s="192">
        <v>44793</v>
      </c>
      <c r="L795" s="193" t="s">
        <v>249</v>
      </c>
      <c r="M795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795" s="201" t="s">
        <v>1664</v>
      </c>
      <c r="O795" s="64" t="s">
        <v>1696</v>
      </c>
      <c r="P795" t="s">
        <v>3008</v>
      </c>
    </row>
    <row r="796" spans="1:16" ht="33" customHeight="1">
      <c r="A796" s="218">
        <v>795</v>
      </c>
      <c r="B796" s="219" t="s">
        <v>2565</v>
      </c>
      <c r="C796" s="64" t="s">
        <v>2609</v>
      </c>
      <c r="D796" s="191" t="s">
        <v>2728</v>
      </c>
      <c r="E796" s="204" t="s">
        <v>2741</v>
      </c>
      <c r="F796" s="191" t="e">
        <f>VLOOKUP(MP_registro[[#This Row],[TAG]],'DB-EQUIPOS GEN'!$C$11:$H$833,2,0)</f>
        <v>#N/A</v>
      </c>
      <c r="G796" s="191" t="e">
        <f>VLOOKUP(MP_registro[[#This Row],[TAG]],'DB-EQUIPOS GEN'!$C$11:$H$833,3,0)</f>
        <v>#N/A</v>
      </c>
      <c r="H796" s="191" t="e">
        <f>VLOOKUP(MP_registro[[#This Row],[TAG]],'DB-EQUIPOS GEN'!$C$11:$H$833,4,0)</f>
        <v>#N/A</v>
      </c>
      <c r="I796" s="191" t="e">
        <f>VLOOKUP(MP_registro[[#This Row],[TAG]],'DB-EQUIPOS GEN'!$C$11:$H$833,5,0)</f>
        <v>#N/A</v>
      </c>
      <c r="J796" s="191" t="e">
        <f>VLOOKUP(MP_registro[[#This Row],[TAG]],'DB-EQUIPOS GEN'!$C$11:$H$833,6,0)</f>
        <v>#N/A</v>
      </c>
      <c r="K796" s="192">
        <v>44793</v>
      </c>
      <c r="L796" s="193" t="s">
        <v>245</v>
      </c>
      <c r="M79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796" s="201" t="s">
        <v>1664</v>
      </c>
      <c r="O796" s="64" t="s">
        <v>1696</v>
      </c>
      <c r="P796" t="s">
        <v>3008</v>
      </c>
    </row>
    <row r="797" spans="1:16" ht="33" customHeight="1">
      <c r="A797" s="218">
        <v>796</v>
      </c>
      <c r="B797" s="219" t="s">
        <v>2565</v>
      </c>
      <c r="C797" s="64" t="s">
        <v>2609</v>
      </c>
      <c r="D797" s="191" t="s">
        <v>2729</v>
      </c>
      <c r="E797" s="204" t="s">
        <v>478</v>
      </c>
      <c r="F797" s="191" t="str">
        <f>VLOOKUP(MP_registro[[#This Row],[TAG]],'DB-EQUIPOS GEN'!$C$11:$H$833,2,0)</f>
        <v>Nivel de jugo Evap. 1</v>
      </c>
      <c r="G797" s="191" t="str">
        <f>VLOOKUP(MP_registro[[#This Row],[TAG]],'DB-EQUIPOS GEN'!$C$11:$H$833,3,0)</f>
        <v>PRODUCCION</v>
      </c>
      <c r="H797" s="191" t="str">
        <f>VLOOKUP(MP_registro[[#This Row],[TAG]],'DB-EQUIPOS GEN'!$C$11:$H$833,4,0)</f>
        <v>EVAPORACION DE JUGO</v>
      </c>
      <c r="I797" s="191" t="str">
        <f>VLOOKUP(MP_registro[[#This Row],[TAG]],'DB-EQUIPOS GEN'!$C$11:$H$833,5,0)</f>
        <v xml:space="preserve">FFE 1 </v>
      </c>
      <c r="J797" s="191" t="str">
        <f>VLOOKUP(MP_registro[[#This Row],[TAG]],'DB-EQUIPOS GEN'!$C$11:$H$833,6,0)</f>
        <v xml:space="preserve"> 0320EV010</v>
      </c>
      <c r="K797" s="192">
        <v>44794</v>
      </c>
      <c r="L797" s="193" t="s">
        <v>245</v>
      </c>
      <c r="M79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797" s="201" t="s">
        <v>1664</v>
      </c>
      <c r="O797" s="64" t="s">
        <v>1696</v>
      </c>
      <c r="P797" t="s">
        <v>3008</v>
      </c>
    </row>
    <row r="798" spans="1:16" ht="33" customHeight="1">
      <c r="A798" s="218">
        <v>797</v>
      </c>
      <c r="B798" s="219" t="s">
        <v>2565</v>
      </c>
      <c r="C798" s="64" t="s">
        <v>2609</v>
      </c>
      <c r="D798" s="191" t="s">
        <v>2730</v>
      </c>
      <c r="E798" s="204" t="s">
        <v>496</v>
      </c>
      <c r="F798" s="191" t="str">
        <f>VLOOKUP(MP_registro[[#This Row],[TAG]],'DB-EQUIPOS GEN'!$C$11:$H$833,2,0)</f>
        <v>Nivel de jugo Evap.2-3</v>
      </c>
      <c r="G798" s="191" t="str">
        <f>VLOOKUP(MP_registro[[#This Row],[TAG]],'DB-EQUIPOS GEN'!$C$11:$H$833,3,0)</f>
        <v>PRODUCCION</v>
      </c>
      <c r="H798" s="191" t="str">
        <f>VLOOKUP(MP_registro[[#This Row],[TAG]],'DB-EQUIPOS GEN'!$C$11:$H$833,4,0)</f>
        <v>EVAPORACION DE JUGO</v>
      </c>
      <c r="I798" s="191" t="str">
        <f>VLOOKUP(MP_registro[[#This Row],[TAG]],'DB-EQUIPOS GEN'!$C$11:$H$833,5,0)</f>
        <v>FFE 2/3</v>
      </c>
      <c r="J798" s="191" t="str">
        <f>VLOOKUP(MP_registro[[#This Row],[TAG]],'DB-EQUIPOS GEN'!$C$11:$H$833,6,0)</f>
        <v xml:space="preserve"> 0320EV030</v>
      </c>
      <c r="K798" s="192">
        <v>44794</v>
      </c>
      <c r="L798" s="193" t="s">
        <v>245</v>
      </c>
      <c r="M79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798" s="201" t="s">
        <v>1664</v>
      </c>
      <c r="O798" s="64" t="s">
        <v>1696</v>
      </c>
      <c r="P798" t="s">
        <v>3008</v>
      </c>
    </row>
    <row r="799" spans="1:16" ht="33" customHeight="1">
      <c r="A799" s="218">
        <v>798</v>
      </c>
      <c r="B799" s="219" t="s">
        <v>2565</v>
      </c>
      <c r="C799" s="64" t="s">
        <v>2609</v>
      </c>
      <c r="D799" s="191" t="s">
        <v>2731</v>
      </c>
      <c r="E799" s="204" t="s">
        <v>504</v>
      </c>
      <c r="F799" s="191" t="str">
        <f>VLOOKUP(MP_registro[[#This Row],[TAG]],'DB-EQUIPOS GEN'!$C$11:$H$833,2,0)</f>
        <v>Nivel de jugo Evap.3</v>
      </c>
      <c r="G799" s="191" t="str">
        <f>VLOOKUP(MP_registro[[#This Row],[TAG]],'DB-EQUIPOS GEN'!$C$11:$H$833,3,0)</f>
        <v>PRODUCCION</v>
      </c>
      <c r="H799" s="191" t="str">
        <f>VLOOKUP(MP_registro[[#This Row],[TAG]],'DB-EQUIPOS GEN'!$C$11:$H$833,4,0)</f>
        <v>EVAPORACION DE JUGO</v>
      </c>
      <c r="I799" s="191" t="str">
        <f>VLOOKUP(MP_registro[[#This Row],[TAG]],'DB-EQUIPOS GEN'!$C$11:$H$833,5,0)</f>
        <v>FFE 3</v>
      </c>
      <c r="J799" s="191" t="str">
        <f>VLOOKUP(MP_registro[[#This Row],[TAG]],'DB-EQUIPOS GEN'!$C$11:$H$833,6,0)</f>
        <v xml:space="preserve"> 0320EV040</v>
      </c>
      <c r="K799" s="192">
        <v>44794</v>
      </c>
      <c r="L799" s="193" t="s">
        <v>245</v>
      </c>
      <c r="M79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799" s="201" t="s">
        <v>1664</v>
      </c>
      <c r="O799" s="64" t="s">
        <v>1696</v>
      </c>
      <c r="P799" t="s">
        <v>3008</v>
      </c>
    </row>
    <row r="800" spans="1:16" ht="33" customHeight="1">
      <c r="A800" s="218">
        <v>799</v>
      </c>
      <c r="B800" s="219" t="s">
        <v>2565</v>
      </c>
      <c r="C800" s="64" t="s">
        <v>2609</v>
      </c>
      <c r="D800" s="191" t="s">
        <v>2732</v>
      </c>
      <c r="E800" s="204" t="s">
        <v>512</v>
      </c>
      <c r="F800" s="191" t="str">
        <f>VLOOKUP(MP_registro[[#This Row],[TAG]],'DB-EQUIPOS GEN'!$C$11:$H$833,2,0)</f>
        <v>Nivel de jugo Evap.4A</v>
      </c>
      <c r="G800" s="191" t="str">
        <f>VLOOKUP(MP_registro[[#This Row],[TAG]],'DB-EQUIPOS GEN'!$C$11:$H$833,3,0)</f>
        <v>PRODUCCION</v>
      </c>
      <c r="H800" s="191" t="str">
        <f>VLOOKUP(MP_registro[[#This Row],[TAG]],'DB-EQUIPOS GEN'!$C$11:$H$833,4,0)</f>
        <v>EVAPORACION DE JUGO</v>
      </c>
      <c r="I800" s="191" t="str">
        <f>VLOOKUP(MP_registro[[#This Row],[TAG]],'DB-EQUIPOS GEN'!$C$11:$H$833,5,0)</f>
        <v>FFE 4A</v>
      </c>
      <c r="J800" s="191" t="str">
        <f>VLOOKUP(MP_registro[[#This Row],[TAG]],'DB-EQUIPOS GEN'!$C$11:$H$833,6,0)</f>
        <v xml:space="preserve"> 0320EV050</v>
      </c>
      <c r="K800" s="192">
        <v>44794</v>
      </c>
      <c r="L800" s="193" t="s">
        <v>245</v>
      </c>
      <c r="M80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00" s="201" t="s">
        <v>1664</v>
      </c>
      <c r="O800" s="64" t="s">
        <v>1696</v>
      </c>
      <c r="P800" t="s">
        <v>3008</v>
      </c>
    </row>
    <row r="801" spans="1:16" ht="33" customHeight="1">
      <c r="A801" s="218">
        <v>800</v>
      </c>
      <c r="B801" s="219" t="s">
        <v>2565</v>
      </c>
      <c r="C801" s="64" t="s">
        <v>2609</v>
      </c>
      <c r="D801" s="191" t="s">
        <v>2733</v>
      </c>
      <c r="E801" s="204" t="s">
        <v>520</v>
      </c>
      <c r="F801" s="191" t="str">
        <f>VLOOKUP(MP_registro[[#This Row],[TAG]],'DB-EQUIPOS GEN'!$C$11:$H$833,2,0)</f>
        <v>Nivel de jugo Evap.5A</v>
      </c>
      <c r="G801" s="191" t="str">
        <f>VLOOKUP(MP_registro[[#This Row],[TAG]],'DB-EQUIPOS GEN'!$C$11:$H$833,3,0)</f>
        <v>PRODUCCION</v>
      </c>
      <c r="H801" s="191" t="str">
        <f>VLOOKUP(MP_registro[[#This Row],[TAG]],'DB-EQUIPOS GEN'!$C$11:$H$833,4,0)</f>
        <v>EVAPORACION DE JUGO</v>
      </c>
      <c r="I801" s="191" t="str">
        <f>VLOOKUP(MP_registro[[#This Row],[TAG]],'DB-EQUIPOS GEN'!$C$11:$H$833,5,0)</f>
        <v>FFE 5A</v>
      </c>
      <c r="J801" s="191" t="str">
        <f>VLOOKUP(MP_registro[[#This Row],[TAG]],'DB-EQUIPOS GEN'!$C$11:$H$833,6,0)</f>
        <v xml:space="preserve"> 0320EV060</v>
      </c>
      <c r="K801" s="192">
        <v>44794</v>
      </c>
      <c r="L801" s="193"/>
      <c r="M801" s="77"/>
      <c r="N801" s="201" t="s">
        <v>1695</v>
      </c>
      <c r="O801" s="64" t="s">
        <v>1696</v>
      </c>
      <c r="P801" t="s">
        <v>3008</v>
      </c>
    </row>
    <row r="802" spans="1:16" ht="33" customHeight="1">
      <c r="A802" s="218">
        <v>801</v>
      </c>
      <c r="B802" s="219" t="s">
        <v>2565</v>
      </c>
      <c r="C802" s="64" t="s">
        <v>2609</v>
      </c>
      <c r="D802" s="191" t="s">
        <v>2734</v>
      </c>
      <c r="E802" s="204" t="s">
        <v>536</v>
      </c>
      <c r="F802" s="191" t="str">
        <f>VLOOKUP(MP_registro[[#This Row],[TAG]],'DB-EQUIPOS GEN'!$C$11:$H$833,2,0)</f>
        <v>Nivel de jugo Evap.5B</v>
      </c>
      <c r="G802" s="191" t="str">
        <f>VLOOKUP(MP_registro[[#This Row],[TAG]],'DB-EQUIPOS GEN'!$C$11:$H$833,3,0)</f>
        <v>PRODUCCION</v>
      </c>
      <c r="H802" s="191" t="str">
        <f>VLOOKUP(MP_registro[[#This Row],[TAG]],'DB-EQUIPOS GEN'!$C$11:$H$833,4,0)</f>
        <v>EVAPORACION DE JUGO</v>
      </c>
      <c r="I802" s="191" t="str">
        <f>VLOOKUP(MP_registro[[#This Row],[TAG]],'DB-EQUIPOS GEN'!$C$11:$H$833,5,0)</f>
        <v>FFE 5B</v>
      </c>
      <c r="J802" s="191" t="str">
        <f>VLOOKUP(MP_registro[[#This Row],[TAG]],'DB-EQUIPOS GEN'!$C$11:$H$833,6,0)</f>
        <v xml:space="preserve"> 0320EV080</v>
      </c>
      <c r="K802" s="192">
        <v>44794</v>
      </c>
      <c r="L802" s="193" t="s">
        <v>249</v>
      </c>
      <c r="M80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802" s="201" t="s">
        <v>1664</v>
      </c>
      <c r="O802" s="64" t="s">
        <v>1696</v>
      </c>
      <c r="P802" t="s">
        <v>3008</v>
      </c>
    </row>
    <row r="803" spans="1:16" ht="33" customHeight="1">
      <c r="A803" s="218">
        <v>802</v>
      </c>
      <c r="B803" s="219" t="s">
        <v>2565</v>
      </c>
      <c r="C803" s="64" t="s">
        <v>2609</v>
      </c>
      <c r="D803" s="191" t="s">
        <v>2735</v>
      </c>
      <c r="E803" s="204" t="s">
        <v>253</v>
      </c>
      <c r="F803" s="191" t="str">
        <f>VLOOKUP(MP_registro[[#This Row],[TAG]],'DB-EQUIPOS GEN'!$C$11:$H$833,2,0)</f>
        <v>Tablero de periferia en Asset Cocimiento</v>
      </c>
      <c r="G803" s="191" t="str">
        <f>VLOOKUP(MP_registro[[#This Row],[TAG]],'DB-EQUIPOS GEN'!$C$11:$H$833,3,0)</f>
        <v>PRODUCCION</v>
      </c>
      <c r="H803" s="191" t="str">
        <f>VLOOKUP(MP_registro[[#This Row],[TAG]],'DB-EQUIPOS GEN'!$C$11:$H$833,4,0)</f>
        <v>CRISTALIZACION POR COCCION</v>
      </c>
      <c r="I803" s="191" t="str">
        <f>VLOOKUP(MP_registro[[#This Row],[TAG]],'DB-EQUIPOS GEN'!$C$11:$H$833,5,0)</f>
        <v>TACHO CONTINUO - A</v>
      </c>
      <c r="J803" s="191" t="str">
        <f>VLOOKUP(MP_registro[[#This Row],[TAG]],'DB-EQUIPOS GEN'!$C$11:$H$833,6,0)</f>
        <v>0335HX200</v>
      </c>
      <c r="K803" s="192">
        <v>44794</v>
      </c>
      <c r="L803" s="193" t="s">
        <v>248</v>
      </c>
      <c r="M803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803" s="201" t="s">
        <v>1664</v>
      </c>
      <c r="O803" s="64" t="s">
        <v>1696</v>
      </c>
      <c r="P803" t="s">
        <v>3008</v>
      </c>
    </row>
    <row r="804" spans="1:16" ht="33" customHeight="1">
      <c r="A804" s="218">
        <v>803</v>
      </c>
      <c r="B804" s="219" t="s">
        <v>2565</v>
      </c>
      <c r="C804" s="64" t="s">
        <v>2609</v>
      </c>
      <c r="D804" s="191" t="s">
        <v>2736</v>
      </c>
      <c r="E804" s="204" t="s">
        <v>1321</v>
      </c>
      <c r="F804" s="191" t="str">
        <f>VLOOKUP(MP_registro[[#This Row],[TAG]],'DB-EQUIPOS GEN'!$C$11:$H$833,2,0)</f>
        <v>Tablero de periferia en Asset Difusor</v>
      </c>
      <c r="G804" s="191" t="str">
        <f>VLOOKUP(MP_registro[[#This Row],[TAG]],'DB-EQUIPOS GEN'!$C$11:$H$833,3,0)</f>
        <v>EXTRACCION</v>
      </c>
      <c r="H804" s="191" t="str">
        <f>VLOOKUP(MP_registro[[#This Row],[TAG]],'DB-EQUIPOS GEN'!$C$11:$H$833,4,0)</f>
        <v>DIFUSOR</v>
      </c>
      <c r="I804" s="191" t="str">
        <f>VLOOKUP(MP_registro[[#This Row],[TAG]],'DB-EQUIPOS GEN'!$C$11:$H$833,5,0)</f>
        <v>DIFUSOR</v>
      </c>
      <c r="J804" s="191" t="str">
        <f>VLOOKUP(MP_registro[[#This Row],[TAG]],'DB-EQUIPOS GEN'!$C$11:$H$833,6,0)</f>
        <v>0205DF180</v>
      </c>
      <c r="K804" s="192">
        <v>44794</v>
      </c>
      <c r="L804" s="193" t="s">
        <v>248</v>
      </c>
      <c r="M804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804" s="201" t="s">
        <v>1664</v>
      </c>
      <c r="O804" s="64" t="s">
        <v>1696</v>
      </c>
      <c r="P804" t="s">
        <v>3008</v>
      </c>
    </row>
    <row r="805" spans="1:16" ht="33" customHeight="1">
      <c r="A805" s="218">
        <v>804</v>
      </c>
      <c r="B805" s="219" t="s">
        <v>2565</v>
      </c>
      <c r="C805" s="64" t="s">
        <v>2609</v>
      </c>
      <c r="D805" s="191" t="s">
        <v>2737</v>
      </c>
      <c r="E805" s="204" t="s">
        <v>1323</v>
      </c>
      <c r="F805" s="191" t="str">
        <f>VLOOKUP(MP_registro[[#This Row],[TAG]],'DB-EQUIPOS GEN'!$C$11:$H$833,2,0)</f>
        <v>Tablero de periferia en Asset Difusor</v>
      </c>
      <c r="G805" s="191" t="str">
        <f>VLOOKUP(MP_registro[[#This Row],[TAG]],'DB-EQUIPOS GEN'!$C$11:$H$833,3,0)</f>
        <v>EXTRACCION</v>
      </c>
      <c r="H805" s="191" t="str">
        <f>VLOOKUP(MP_registro[[#This Row],[TAG]],'DB-EQUIPOS GEN'!$C$11:$H$833,4,0)</f>
        <v>DIFUSOR</v>
      </c>
      <c r="I805" s="191" t="str">
        <f>VLOOKUP(MP_registro[[#This Row],[TAG]],'DB-EQUIPOS GEN'!$C$11:$H$833,5,0)</f>
        <v>DIFUSOR</v>
      </c>
      <c r="J805" s="191" t="str">
        <f>VLOOKUP(MP_registro[[#This Row],[TAG]],'DB-EQUIPOS GEN'!$C$11:$H$833,6,0)</f>
        <v>0205DF180</v>
      </c>
      <c r="K805" s="192">
        <v>44794</v>
      </c>
      <c r="L805" s="193" t="s">
        <v>248</v>
      </c>
      <c r="M805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805" s="201" t="s">
        <v>1664</v>
      </c>
      <c r="O805" s="64" t="s">
        <v>1696</v>
      </c>
      <c r="P805" t="s">
        <v>3008</v>
      </c>
    </row>
    <row r="806" spans="1:16" ht="33" customHeight="1">
      <c r="A806" s="218">
        <v>805</v>
      </c>
      <c r="B806" s="219" t="s">
        <v>2565</v>
      </c>
      <c r="C806" s="64" t="s">
        <v>2609</v>
      </c>
      <c r="D806" s="191" t="s">
        <v>2738</v>
      </c>
      <c r="E806" s="204" t="s">
        <v>1346</v>
      </c>
      <c r="F806" s="191" t="str">
        <f>VLOOKUP(MP_registro[[#This Row],[TAG]],'DB-EQUIPOS GEN'!$C$11:$H$833,2,0)</f>
        <v>Controlador C300 en Asset Process House</v>
      </c>
      <c r="G806" s="191" t="str">
        <f>VLOOKUP(MP_registro[[#This Row],[TAG]],'DB-EQUIPOS GEN'!$C$11:$H$833,3,0)</f>
        <v>PRODUCCION</v>
      </c>
      <c r="H806" s="191" t="str">
        <f>VLOOKUP(MP_registro[[#This Row],[TAG]],'DB-EQUIPOS GEN'!$C$11:$H$833,4,0)</f>
        <v>EVAPORACION DE JUGO</v>
      </c>
      <c r="I806" s="191" t="str">
        <f>VLOOKUP(MP_registro[[#This Row],[TAG]],'DB-EQUIPOS GEN'!$C$11:$H$833,5,0)</f>
        <v>EVAPORADOR FFE 1</v>
      </c>
      <c r="J806" s="191" t="str">
        <f>VLOOKUP(MP_registro[[#This Row],[TAG]],'DB-EQUIPOS GEN'!$C$11:$H$833,6,0)</f>
        <v>0320EV010</v>
      </c>
      <c r="K806" s="192">
        <v>44794</v>
      </c>
      <c r="L806" s="193" t="s">
        <v>248</v>
      </c>
      <c r="M806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806" s="201" t="s">
        <v>1664</v>
      </c>
      <c r="O806" s="64" t="s">
        <v>1696</v>
      </c>
      <c r="P806" t="s">
        <v>3008</v>
      </c>
    </row>
    <row r="807" spans="1:16" ht="33" customHeight="1">
      <c r="A807" s="218">
        <v>806</v>
      </c>
      <c r="B807" s="219" t="s">
        <v>2565</v>
      </c>
      <c r="C807" s="64" t="s">
        <v>2609</v>
      </c>
      <c r="D807" s="191" t="s">
        <v>2739</v>
      </c>
      <c r="E807" s="204" t="s">
        <v>1644</v>
      </c>
      <c r="F807" s="191" t="str">
        <f>VLOOKUP(MP_registro[[#This Row],[TAG]],'DB-EQUIPOS GEN'!$C$11:$H$833,2,0)</f>
        <v>Explanada de Turbina Triveni</v>
      </c>
      <c r="G807" s="191" t="str">
        <f>VLOOKUP(MP_registro[[#This Row],[TAG]],'DB-EQUIPOS GEN'!$C$11:$H$833,3,0)</f>
        <v>E. ELECTRICA</v>
      </c>
      <c r="H807" s="191" t="str">
        <f>VLOOKUP(MP_registro[[#This Row],[TAG]],'DB-EQUIPOS GEN'!$C$11:$H$833,4,0)</f>
        <v>GENERACIÓN ENERG. ELEC. TURBO GENERADOR</v>
      </c>
      <c r="I807" s="191" t="str">
        <f>VLOOKUP(MP_registro[[#This Row],[TAG]],'DB-EQUIPOS GEN'!$C$11:$H$833,5,0)</f>
        <v>TURBOGENERADOR TRIVENI 23.2 MW</v>
      </c>
      <c r="J807" s="191" t="str">
        <f>VLOOKUP(MP_registro[[#This Row],[TAG]],'DB-EQUIPOS GEN'!$C$11:$H$833,6,0)</f>
        <v>0430TG020</v>
      </c>
      <c r="K807" s="192">
        <v>44794</v>
      </c>
      <c r="L807" s="193" t="s">
        <v>245</v>
      </c>
      <c r="M80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07" s="201" t="s">
        <v>1664</v>
      </c>
      <c r="O807" s="64" t="s">
        <v>1696</v>
      </c>
      <c r="P807" t="s">
        <v>3008</v>
      </c>
    </row>
    <row r="808" spans="1:16" ht="33" customHeight="1">
      <c r="A808" s="218">
        <v>807</v>
      </c>
      <c r="B808" s="219" t="s">
        <v>2565</v>
      </c>
      <c r="C808" s="64" t="s">
        <v>2609</v>
      </c>
      <c r="D808" s="191" t="s">
        <v>2740</v>
      </c>
      <c r="E808" s="204" t="s">
        <v>1647</v>
      </c>
      <c r="F808" s="191" t="str">
        <f>VLOOKUP(MP_registro[[#This Row],[TAG]],'DB-EQUIPOS GEN'!$C$11:$H$833,2,0)</f>
        <v>Explanada frontal de Turbina Triveni</v>
      </c>
      <c r="G808" s="191" t="str">
        <f>VLOOKUP(MP_registro[[#This Row],[TAG]],'DB-EQUIPOS GEN'!$C$11:$H$833,3,0)</f>
        <v>E. ELECTRICA</v>
      </c>
      <c r="H808" s="191" t="str">
        <f>VLOOKUP(MP_registro[[#This Row],[TAG]],'DB-EQUIPOS GEN'!$C$11:$H$833,4,0)</f>
        <v>GENERACIÓN ENERG. ELEC. TURBO GENERADOR</v>
      </c>
      <c r="I808" s="191" t="str">
        <f>VLOOKUP(MP_registro[[#This Row],[TAG]],'DB-EQUIPOS GEN'!$C$11:$H$833,5,0)</f>
        <v>TURBOGENERADOR TRIVENI 23.2 MW</v>
      </c>
      <c r="J808" s="191" t="str">
        <f>VLOOKUP(MP_registro[[#This Row],[TAG]],'DB-EQUIPOS GEN'!$C$11:$H$833,6,0)</f>
        <v>0430TG020</v>
      </c>
      <c r="K808" s="192">
        <v>44794</v>
      </c>
      <c r="L808" s="193" t="s">
        <v>245</v>
      </c>
      <c r="M80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08" s="201" t="s">
        <v>1664</v>
      </c>
      <c r="O808" s="64" t="s">
        <v>1696</v>
      </c>
      <c r="P808" t="s">
        <v>3008</v>
      </c>
    </row>
    <row r="809" spans="1:16" ht="33" customHeight="1">
      <c r="A809" s="218">
        <v>808</v>
      </c>
      <c r="B809" s="219" t="s">
        <v>2565</v>
      </c>
      <c r="C809" s="64" t="s">
        <v>2661</v>
      </c>
      <c r="D809" s="191" t="s">
        <v>2742</v>
      </c>
      <c r="E809" s="204" t="s">
        <v>1173</v>
      </c>
      <c r="F809" s="191" t="str">
        <f>VLOOKUP(MP_registro[[#This Row],[TAG]],'DB-EQUIPOS GEN'!$C$11:$H$833,2,0)</f>
        <v>Valvula control de nivel FFE - 1</v>
      </c>
      <c r="G809" s="191" t="str">
        <f>VLOOKUP(MP_registro[[#This Row],[TAG]],'DB-EQUIPOS GEN'!$C$11:$H$833,3,0)</f>
        <v>PRODUCCION</v>
      </c>
      <c r="H809" s="191" t="str">
        <f>VLOOKUP(MP_registro[[#This Row],[TAG]],'DB-EQUIPOS GEN'!$C$11:$H$833,4,0)</f>
        <v>EVAPORACION DE JUGO</v>
      </c>
      <c r="I809" s="191" t="str">
        <f>VLOOKUP(MP_registro[[#This Row],[TAG]],'DB-EQUIPOS GEN'!$C$11:$H$833,5,0)</f>
        <v>EVAPORADOR FFE 1</v>
      </c>
      <c r="J809" s="191" t="str">
        <f>VLOOKUP(MP_registro[[#This Row],[TAG]],'DB-EQUIPOS GEN'!$C$11:$H$833,6,0)</f>
        <v>0320EV010</v>
      </c>
      <c r="K809" s="192">
        <v>44795</v>
      </c>
      <c r="L809" s="193" t="s">
        <v>247</v>
      </c>
      <c r="M80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09" s="201" t="s">
        <v>1664</v>
      </c>
      <c r="O809" s="64" t="s">
        <v>1696</v>
      </c>
      <c r="P809" t="s">
        <v>3008</v>
      </c>
    </row>
    <row r="810" spans="1:16" ht="33" customHeight="1">
      <c r="A810" s="218">
        <v>809</v>
      </c>
      <c r="B810" s="219" t="s">
        <v>2565</v>
      </c>
      <c r="C810" s="64" t="s">
        <v>2661</v>
      </c>
      <c r="D810" s="191" t="s">
        <v>2743</v>
      </c>
      <c r="E810" s="204" t="s">
        <v>1174</v>
      </c>
      <c r="F810" s="191" t="str">
        <f>VLOOKUP(MP_registro[[#This Row],[TAG]],'DB-EQUIPOS GEN'!$C$11:$H$833,2,0)</f>
        <v>Valvula control de nivel FFE - 1/2</v>
      </c>
      <c r="G810" s="191" t="str">
        <f>VLOOKUP(MP_registro[[#This Row],[TAG]],'DB-EQUIPOS GEN'!$C$11:$H$833,3,0)</f>
        <v>PRODUCCION</v>
      </c>
      <c r="H810" s="191" t="str">
        <f>VLOOKUP(MP_registro[[#This Row],[TAG]],'DB-EQUIPOS GEN'!$C$11:$H$833,4,0)</f>
        <v>EVAPORACION DE JUGO</v>
      </c>
      <c r="I810" s="191" t="str">
        <f>VLOOKUP(MP_registro[[#This Row],[TAG]],'DB-EQUIPOS GEN'!$C$11:$H$833,5,0)</f>
        <v>EVAPORADOR FFE 1/2</v>
      </c>
      <c r="J810" s="191" t="str">
        <f>VLOOKUP(MP_registro[[#This Row],[TAG]],'DB-EQUIPOS GEN'!$C$11:$H$833,6,0)</f>
        <v>0320EV020</v>
      </c>
      <c r="K810" s="192">
        <v>44795</v>
      </c>
      <c r="L810" s="193" t="s">
        <v>247</v>
      </c>
      <c r="M810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10" s="201" t="s">
        <v>1664</v>
      </c>
      <c r="O810" s="64" t="s">
        <v>1696</v>
      </c>
      <c r="P810" t="s">
        <v>3008</v>
      </c>
    </row>
    <row r="811" spans="1:16" ht="33" customHeight="1">
      <c r="A811" s="218">
        <v>810</v>
      </c>
      <c r="B811" s="219" t="s">
        <v>2565</v>
      </c>
      <c r="C811" s="64" t="s">
        <v>2661</v>
      </c>
      <c r="D811" s="191" t="s">
        <v>2744</v>
      </c>
      <c r="E811" s="204" t="s">
        <v>1175</v>
      </c>
      <c r="F811" s="191" t="str">
        <f>VLOOKUP(MP_registro[[#This Row],[TAG]],'DB-EQUIPOS GEN'!$C$11:$H$833,2,0)</f>
        <v>Valvula control de nivel FFE - 2/3</v>
      </c>
      <c r="G811" s="191" t="str">
        <f>VLOOKUP(MP_registro[[#This Row],[TAG]],'DB-EQUIPOS GEN'!$C$11:$H$833,3,0)</f>
        <v>PRODUCCION</v>
      </c>
      <c r="H811" s="191" t="str">
        <f>VLOOKUP(MP_registro[[#This Row],[TAG]],'DB-EQUIPOS GEN'!$C$11:$H$833,4,0)</f>
        <v>EVAPORACION DE JUGO</v>
      </c>
      <c r="I811" s="191" t="str">
        <f>VLOOKUP(MP_registro[[#This Row],[TAG]],'DB-EQUIPOS GEN'!$C$11:$H$833,5,0)</f>
        <v>EVAPORADOR FFE 2/3</v>
      </c>
      <c r="J811" s="191" t="str">
        <f>VLOOKUP(MP_registro[[#This Row],[TAG]],'DB-EQUIPOS GEN'!$C$11:$H$833,6,0)</f>
        <v>0320EV030</v>
      </c>
      <c r="K811" s="192">
        <v>44795</v>
      </c>
      <c r="L811" s="193" t="s">
        <v>247</v>
      </c>
      <c r="M81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11" s="201" t="s">
        <v>1664</v>
      </c>
      <c r="O811" s="64" t="s">
        <v>1696</v>
      </c>
      <c r="P811" t="s">
        <v>3008</v>
      </c>
    </row>
    <row r="812" spans="1:16" ht="33" customHeight="1">
      <c r="A812" s="218">
        <v>811</v>
      </c>
      <c r="B812" s="219" t="s">
        <v>2565</v>
      </c>
      <c r="C812" s="64" t="s">
        <v>2661</v>
      </c>
      <c r="D812" s="191" t="s">
        <v>2745</v>
      </c>
      <c r="E812" s="204" t="s">
        <v>1176</v>
      </c>
      <c r="F812" s="191" t="str">
        <f>VLOOKUP(MP_registro[[#This Row],[TAG]],'DB-EQUIPOS GEN'!$C$11:$H$833,2,0)</f>
        <v>Valvula control de nivel FFE - 3</v>
      </c>
      <c r="G812" s="191" t="str">
        <f>VLOOKUP(MP_registro[[#This Row],[TAG]],'DB-EQUIPOS GEN'!$C$11:$H$833,3,0)</f>
        <v>PRODUCCION</v>
      </c>
      <c r="H812" s="191" t="str">
        <f>VLOOKUP(MP_registro[[#This Row],[TAG]],'DB-EQUIPOS GEN'!$C$11:$H$833,4,0)</f>
        <v>EVAPORACION DE JUGO</v>
      </c>
      <c r="I812" s="191" t="str">
        <f>VLOOKUP(MP_registro[[#This Row],[TAG]],'DB-EQUIPOS GEN'!$C$11:$H$833,5,0)</f>
        <v>EVAPORADOR FFE 3</v>
      </c>
      <c r="J812" s="191" t="str">
        <f>VLOOKUP(MP_registro[[#This Row],[TAG]],'DB-EQUIPOS GEN'!$C$11:$H$833,6,0)</f>
        <v>0320EV040</v>
      </c>
      <c r="K812" s="192">
        <v>44795</v>
      </c>
      <c r="L812" s="193" t="s">
        <v>247</v>
      </c>
      <c r="M81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12" s="201" t="s">
        <v>1664</v>
      </c>
      <c r="O812" s="64" t="s">
        <v>1696</v>
      </c>
      <c r="P812" t="s">
        <v>3008</v>
      </c>
    </row>
    <row r="813" spans="1:16" ht="33" customHeight="1">
      <c r="A813" s="218">
        <v>812</v>
      </c>
      <c r="B813" s="219" t="s">
        <v>2565</v>
      </c>
      <c r="C813" s="64" t="s">
        <v>2661</v>
      </c>
      <c r="D813" s="191" t="s">
        <v>2746</v>
      </c>
      <c r="E813" s="204" t="s">
        <v>2807</v>
      </c>
      <c r="F813" s="191" t="e">
        <f>VLOOKUP(MP_registro[[#This Row],[TAG]],'DB-EQUIPOS GEN'!$C$11:$H$833,2,0)</f>
        <v>#N/A</v>
      </c>
      <c r="G813" s="191" t="e">
        <f>VLOOKUP(MP_registro[[#This Row],[TAG]],'DB-EQUIPOS GEN'!$C$11:$H$833,3,0)</f>
        <v>#N/A</v>
      </c>
      <c r="H813" s="191" t="e">
        <f>VLOOKUP(MP_registro[[#This Row],[TAG]],'DB-EQUIPOS GEN'!$C$11:$H$833,4,0)</f>
        <v>#N/A</v>
      </c>
      <c r="I813" s="191" t="e">
        <f>VLOOKUP(MP_registro[[#This Row],[TAG]],'DB-EQUIPOS GEN'!$C$11:$H$833,5,0)</f>
        <v>#N/A</v>
      </c>
      <c r="J813" s="191" t="e">
        <f>VLOOKUP(MP_registro[[#This Row],[TAG]],'DB-EQUIPOS GEN'!$C$11:$H$833,6,0)</f>
        <v>#N/A</v>
      </c>
      <c r="K813" s="192">
        <v>44795</v>
      </c>
      <c r="L813" s="193" t="s">
        <v>245</v>
      </c>
      <c r="M81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13" s="201" t="s">
        <v>1664</v>
      </c>
      <c r="O813" s="64" t="s">
        <v>1696</v>
      </c>
    </row>
    <row r="814" spans="1:16" ht="33" customHeight="1">
      <c r="A814" s="218">
        <v>813</v>
      </c>
      <c r="B814" s="219" t="s">
        <v>2565</v>
      </c>
      <c r="C814" s="64" t="s">
        <v>2661</v>
      </c>
      <c r="D814" s="191" t="s">
        <v>2747</v>
      </c>
      <c r="E814" s="204" t="s">
        <v>2807</v>
      </c>
      <c r="F814" s="191" t="e">
        <f>VLOOKUP(MP_registro[[#This Row],[TAG]],'DB-EQUIPOS GEN'!$C$11:$H$833,2,0)</f>
        <v>#N/A</v>
      </c>
      <c r="G814" s="191" t="e">
        <f>VLOOKUP(MP_registro[[#This Row],[TAG]],'DB-EQUIPOS GEN'!$C$11:$H$833,3,0)</f>
        <v>#N/A</v>
      </c>
      <c r="H814" s="191" t="e">
        <f>VLOOKUP(MP_registro[[#This Row],[TAG]],'DB-EQUIPOS GEN'!$C$11:$H$833,4,0)</f>
        <v>#N/A</v>
      </c>
      <c r="I814" s="191" t="e">
        <f>VLOOKUP(MP_registro[[#This Row],[TAG]],'DB-EQUIPOS GEN'!$C$11:$H$833,5,0)</f>
        <v>#N/A</v>
      </c>
      <c r="J814" s="191" t="e">
        <f>VLOOKUP(MP_registro[[#This Row],[TAG]],'DB-EQUIPOS GEN'!$C$11:$H$833,6,0)</f>
        <v>#N/A</v>
      </c>
      <c r="K814" s="192">
        <v>44795</v>
      </c>
      <c r="L814" s="193" t="s">
        <v>245</v>
      </c>
      <c r="M81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14" s="201" t="s">
        <v>1664</v>
      </c>
      <c r="O814" s="64" t="s">
        <v>1696</v>
      </c>
    </row>
    <row r="815" spans="1:16" ht="33" customHeight="1">
      <c r="A815" s="218">
        <v>814</v>
      </c>
      <c r="B815" s="219" t="s">
        <v>2565</v>
      </c>
      <c r="C815" s="64" t="s">
        <v>2661</v>
      </c>
      <c r="D815" s="191" t="s">
        <v>2748</v>
      </c>
      <c r="E815" s="204" t="s">
        <v>1657</v>
      </c>
      <c r="F815" s="191" t="str">
        <f>VLOOKUP(MP_registro[[#This Row],[TAG]],'DB-EQUIPOS GEN'!$C$11:$H$833,2,0)</f>
        <v>Pug mill B, Cabezal C de centrifugas continuas</v>
      </c>
      <c r="G815" s="191" t="str">
        <f>VLOOKUP(MP_registro[[#This Row],[TAG]],'DB-EQUIPOS GEN'!$C$11:$H$833,3,0)</f>
        <v>PRODUCCION</v>
      </c>
      <c r="H815" s="191" t="str">
        <f>VLOOKUP(MP_registro[[#This Row],[TAG]],'DB-EQUIPOS GEN'!$C$11:$H$833,4,0)</f>
        <v>CENTRIFUGACIÓN DE AZÚCAR</v>
      </c>
      <c r="I815" s="191" t="str">
        <f>VLOOKUP(MP_registro[[#This Row],[TAG]],'DB-EQUIPOS GEN'!$C$11:$H$833,5,0)</f>
        <v>PUG MILL - B</v>
      </c>
      <c r="J815" s="191" t="str">
        <f>VLOOKUP(MP_registro[[#This Row],[TAG]],'DB-EQUIPOS GEN'!$C$11:$H$833,6,0)</f>
        <v>0345MM020</v>
      </c>
      <c r="K815" s="192">
        <v>44795</v>
      </c>
      <c r="L815" s="193" t="s">
        <v>245</v>
      </c>
      <c r="M81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15" s="201" t="s">
        <v>1664</v>
      </c>
      <c r="O815" s="64" t="s">
        <v>1696</v>
      </c>
    </row>
    <row r="816" spans="1:16" ht="33" customHeight="1">
      <c r="A816" s="218">
        <v>815</v>
      </c>
      <c r="B816" s="219" t="s">
        <v>2565</v>
      </c>
      <c r="C816" s="64" t="s">
        <v>2661</v>
      </c>
      <c r="D816" s="191" t="s">
        <v>2749</v>
      </c>
      <c r="E816" s="204" t="s">
        <v>1653</v>
      </c>
      <c r="F816" s="191" t="str">
        <f>VLOOKUP(MP_registro[[#This Row],[TAG]],'DB-EQUIPOS GEN'!$C$11:$H$833,2,0)</f>
        <v>Operación del desviador de bagazo</v>
      </c>
      <c r="G816" s="191" t="str">
        <f>VLOOKUP(MP_registro[[#This Row],[TAG]],'DB-EQUIPOS GEN'!$C$11:$H$833,3,0)</f>
        <v>E. TERMICA</v>
      </c>
      <c r="H816" s="191" t="str">
        <f>VLOOKUP(MP_registro[[#This Row],[TAG]],'DB-EQUIPOS GEN'!$C$11:$H$833,4,0)</f>
        <v>TRANSPORTE DE BAGAZO</v>
      </c>
      <c r="I816" s="191" t="str">
        <f>VLOOKUP(MP_registro[[#This Row],[TAG]],'DB-EQUIPOS GEN'!$C$11:$H$833,5,0)</f>
        <v>FAJA TRANSPORTADORA 1004</v>
      </c>
      <c r="J816" s="191" t="str">
        <f>VLOOKUP(MP_registro[[#This Row],[TAG]],'DB-EQUIPOS GEN'!$C$11:$H$833,6,0)</f>
        <v>0805CV070</v>
      </c>
      <c r="K816" s="192">
        <v>44795</v>
      </c>
      <c r="L816" s="193" t="s">
        <v>245</v>
      </c>
      <c r="M81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16" s="201" t="s">
        <v>1664</v>
      </c>
      <c r="O816" s="64" t="s">
        <v>1696</v>
      </c>
    </row>
    <row r="817" spans="1:15" ht="33" customHeight="1">
      <c r="A817" s="218">
        <v>816</v>
      </c>
      <c r="B817" s="219" t="s">
        <v>2565</v>
      </c>
      <c r="C817" s="64" t="s">
        <v>2661</v>
      </c>
      <c r="D817" s="191" t="s">
        <v>2750</v>
      </c>
      <c r="E817" s="204" t="s">
        <v>1655</v>
      </c>
      <c r="F817" s="191" t="str">
        <f>VLOOKUP(MP_registro[[#This Row],[TAG]],'DB-EQUIPOS GEN'!$C$11:$H$833,2,0)</f>
        <v>Vista global de planta de osmosis</v>
      </c>
      <c r="G817" s="191" t="str">
        <f>VLOOKUP(MP_registro[[#This Row],[TAG]],'DB-EQUIPOS GEN'!$C$11:$H$833,3,0)</f>
        <v>E. TERMICA</v>
      </c>
      <c r="H817" s="191" t="str">
        <f>VLOOKUP(MP_registro[[#This Row],[TAG]],'DB-EQUIPOS GEN'!$C$11:$H$833,4,0)</f>
        <v>PLANTA TRATAMIENTO OSMOSIS INVERSA</v>
      </c>
      <c r="I817" s="191" t="str">
        <f>VLOOKUP(MP_registro[[#This Row],[TAG]],'DB-EQUIPOS GEN'!$C$11:$H$833,5,0)</f>
        <v>PLANTA DE OSMOSIS INVERSA</v>
      </c>
      <c r="J817" s="191" t="str">
        <f>VLOOKUP(MP_registro[[#This Row],[TAG]],'DB-EQUIPOS GEN'!$C$11:$H$833,6,0)</f>
        <v>0425OI101</v>
      </c>
      <c r="K817" s="192">
        <v>44795</v>
      </c>
      <c r="L817" s="193" t="s">
        <v>245</v>
      </c>
      <c r="M81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17" s="201" t="s">
        <v>1664</v>
      </c>
      <c r="O817" s="64" t="s">
        <v>1696</v>
      </c>
    </row>
    <row r="818" spans="1:15" ht="33" customHeight="1">
      <c r="A818" s="218">
        <v>817</v>
      </c>
      <c r="B818" s="219" t="s">
        <v>2565</v>
      </c>
      <c r="C818" s="64" t="s">
        <v>2661</v>
      </c>
      <c r="D818" s="191" t="s">
        <v>2751</v>
      </c>
      <c r="E818" s="204"/>
      <c r="F818" s="191" t="e">
        <f>VLOOKUP(MP_registro[[#This Row],[TAG]],'DB-EQUIPOS GEN'!$C$11:$H$833,2,0)</f>
        <v>#N/A</v>
      </c>
      <c r="G818" s="191" t="e">
        <f>VLOOKUP(MP_registro[[#This Row],[TAG]],'DB-EQUIPOS GEN'!$C$11:$H$833,3,0)</f>
        <v>#N/A</v>
      </c>
      <c r="H818" s="191" t="e">
        <f>VLOOKUP(MP_registro[[#This Row],[TAG]],'DB-EQUIPOS GEN'!$C$11:$H$833,4,0)</f>
        <v>#N/A</v>
      </c>
      <c r="I818" s="191" t="e">
        <f>VLOOKUP(MP_registro[[#This Row],[TAG]],'DB-EQUIPOS GEN'!$C$11:$H$833,5,0)</f>
        <v>#N/A</v>
      </c>
      <c r="J818" s="191" t="e">
        <f>VLOOKUP(MP_registro[[#This Row],[TAG]],'DB-EQUIPOS GEN'!$C$11:$H$833,6,0)</f>
        <v>#N/A</v>
      </c>
      <c r="K818" s="192">
        <v>44796</v>
      </c>
      <c r="L818" s="193" t="s">
        <v>245</v>
      </c>
      <c r="M81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18" s="201" t="s">
        <v>1664</v>
      </c>
      <c r="O818" s="64" t="s">
        <v>1696</v>
      </c>
    </row>
    <row r="819" spans="1:15" ht="33" customHeight="1">
      <c r="A819" s="218">
        <v>818</v>
      </c>
      <c r="B819" s="219" t="s">
        <v>2565</v>
      </c>
      <c r="C819" s="64" t="s">
        <v>2661</v>
      </c>
      <c r="D819" s="191" t="s">
        <v>2752</v>
      </c>
      <c r="E819" s="204" t="s">
        <v>1640</v>
      </c>
      <c r="F819" s="191" t="str">
        <f>VLOOKUP(MP_registro[[#This Row],[TAG]],'DB-EQUIPOS GEN'!$C$11:$H$833,2,0)</f>
        <v>Conductor de alimentación a difusor y retorno</v>
      </c>
      <c r="G819" s="191" t="str">
        <f>VLOOKUP(MP_registro[[#This Row],[TAG]],'DB-EQUIPOS GEN'!$C$11:$H$833,3,0)</f>
        <v>EXTRACCION</v>
      </c>
      <c r="H819" s="191" t="str">
        <f>VLOOKUP(MP_registro[[#This Row],[TAG]],'DB-EQUIPOS GEN'!$C$11:$H$833,4,0)</f>
        <v>PREPARACIÓN DE CAÑA</v>
      </c>
      <c r="I819" s="191" t="str">
        <f>VLOOKUP(MP_registro[[#This Row],[TAG]],'DB-EQUIPOS GEN'!$C$11:$H$833,5,0)</f>
        <v>CONDUCTOR DE RETORNO</v>
      </c>
      <c r="J819" s="191" t="str">
        <f>VLOOKUP(MP_registro[[#This Row],[TAG]],'DB-EQUIPOS GEN'!$C$11:$H$833,6,0)</f>
        <v>0115CV090</v>
      </c>
      <c r="K819" s="192">
        <v>44796</v>
      </c>
      <c r="L819" s="193" t="s">
        <v>245</v>
      </c>
      <c r="M81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19" s="201" t="s">
        <v>1664</v>
      </c>
      <c r="O819" s="64" t="s">
        <v>1696</v>
      </c>
    </row>
    <row r="820" spans="1:15" ht="33" customHeight="1">
      <c r="A820" s="218">
        <v>819</v>
      </c>
      <c r="B820" s="219" t="s">
        <v>2565</v>
      </c>
      <c r="C820" s="64" t="s">
        <v>2661</v>
      </c>
      <c r="D820" s="191" t="s">
        <v>2753</v>
      </c>
      <c r="E820" s="204" t="s">
        <v>1641</v>
      </c>
      <c r="F820" s="191" t="str">
        <f>VLOOKUP(MP_registro[[#This Row],[TAG]],'DB-EQUIPOS GEN'!$C$11:$H$833,2,0)</f>
        <v>Mesa de caña</v>
      </c>
      <c r="G820" s="191" t="str">
        <f>VLOOKUP(MP_registro[[#This Row],[TAG]],'DB-EQUIPOS GEN'!$C$11:$H$833,3,0)</f>
        <v>EXTRACCION</v>
      </c>
      <c r="H820" s="191" t="str">
        <f>VLOOKUP(MP_registro[[#This Row],[TAG]],'DB-EQUIPOS GEN'!$C$11:$H$833,4,0)</f>
        <v>RECEPCIÓN DE CAÑA</v>
      </c>
      <c r="I820" s="191" t="str">
        <f>VLOOKUP(MP_registro[[#This Row],[TAG]],'DB-EQUIPOS GEN'!$C$11:$H$833,5,0)</f>
        <v>MESA DE CAÑA</v>
      </c>
      <c r="J820" s="191" t="str">
        <f>VLOOKUP(MP_registro[[#This Row],[TAG]],'DB-EQUIPOS GEN'!$C$11:$H$833,6,0)</f>
        <v>0110FE019</v>
      </c>
      <c r="K820" s="192">
        <v>44796</v>
      </c>
      <c r="L820" s="193" t="s">
        <v>245</v>
      </c>
      <c r="M82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20" s="201" t="s">
        <v>1664</v>
      </c>
      <c r="O820" s="64" t="s">
        <v>1696</v>
      </c>
    </row>
    <row r="821" spans="1:15" ht="33" customHeight="1">
      <c r="A821" s="218">
        <v>820</v>
      </c>
      <c r="B821" s="219" t="s">
        <v>2565</v>
      </c>
      <c r="C821" s="64" t="s">
        <v>2661</v>
      </c>
      <c r="D821" s="191" t="s">
        <v>2754</v>
      </c>
      <c r="E821" s="204" t="s">
        <v>1642</v>
      </c>
      <c r="F821" s="191" t="str">
        <f>VLOOKUP(MP_registro[[#This Row],[TAG]],'DB-EQUIPOS GEN'!$C$11:$H$833,2,0)</f>
        <v>Salida de bagazo de molino secador</v>
      </c>
      <c r="G821" s="191" t="str">
        <f>VLOOKUP(MP_registro[[#This Row],[TAG]],'DB-EQUIPOS GEN'!$C$11:$H$833,3,0)</f>
        <v>EXTRACCION</v>
      </c>
      <c r="H821" s="191" t="str">
        <f>VLOOKUP(MP_registro[[#This Row],[TAG]],'DB-EQUIPOS GEN'!$C$11:$H$833,4,0)</f>
        <v>MOLINOS</v>
      </c>
      <c r="I821" s="191" t="str">
        <f>VLOOKUP(MP_registro[[#This Row],[TAG]],'DB-EQUIPOS GEN'!$C$11:$H$833,5,0)</f>
        <v>MOLINO SECADOR</v>
      </c>
      <c r="J821" s="191" t="str">
        <f>VLOOKUP(MP_registro[[#This Row],[TAG]],'DB-EQUIPOS GEN'!$C$11:$H$833,6,0)</f>
        <v>0210MM090</v>
      </c>
      <c r="K821" s="192">
        <v>44796</v>
      </c>
      <c r="L821" s="193" t="s">
        <v>245</v>
      </c>
      <c r="M82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21" s="201" t="s">
        <v>1664</v>
      </c>
      <c r="O821" s="64" t="s">
        <v>1696</v>
      </c>
    </row>
    <row r="822" spans="1:15" ht="33" customHeight="1">
      <c r="A822" s="218">
        <v>821</v>
      </c>
      <c r="B822" s="219" t="s">
        <v>2565</v>
      </c>
      <c r="C822" s="64" t="s">
        <v>2661</v>
      </c>
      <c r="D822" s="191" t="s">
        <v>2755</v>
      </c>
      <c r="E822" s="204" t="s">
        <v>1074</v>
      </c>
      <c r="F822" s="191" t="str">
        <f>VLOOKUP(MP_registro[[#This Row],[TAG]],'DB-EQUIPOS GEN'!$C$11:$H$833,2,0)</f>
        <v>Valvula de descarga del floculante preparado</v>
      </c>
      <c r="G822" s="191" t="str">
        <f>VLOOKUP(MP_registro[[#This Row],[TAG]],'DB-EQUIPOS GEN'!$C$11:$H$833,3,0)</f>
        <v>PRODUCCION</v>
      </c>
      <c r="H822" s="191" t="str">
        <f>VLOOKUP(MP_registro[[#This Row],[TAG]],'DB-EQUIPOS GEN'!$C$11:$H$833,4,0)</f>
        <v>CLARIFICACION DE JARABE</v>
      </c>
      <c r="I822" s="191" t="str">
        <f>VLOOKUP(MP_registro[[#This Row],[TAG]],'DB-EQUIPOS GEN'!$C$11:$H$833,5,0)</f>
        <v>TANQUE DE MADURACION DE FLOCULANTE</v>
      </c>
      <c r="J822" s="191" t="str">
        <f>VLOOKUP(MP_registro[[#This Row],[TAG]],'DB-EQUIPOS GEN'!$C$11:$H$833,6,0)</f>
        <v>0330TK160</v>
      </c>
      <c r="K822" s="192">
        <v>44797</v>
      </c>
      <c r="L822" s="193" t="s">
        <v>247</v>
      </c>
      <c r="M82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22" s="201" t="s">
        <v>1695</v>
      </c>
      <c r="O822" s="64" t="s">
        <v>1696</v>
      </c>
    </row>
    <row r="823" spans="1:15" ht="33" customHeight="1">
      <c r="A823" s="218">
        <v>822</v>
      </c>
      <c r="B823" s="219" t="s">
        <v>2565</v>
      </c>
      <c r="C823" s="64" t="s">
        <v>2661</v>
      </c>
      <c r="D823" s="191" t="s">
        <v>2756</v>
      </c>
      <c r="E823" s="204" t="s">
        <v>287</v>
      </c>
      <c r="F823" s="191" t="str">
        <f>VLOOKUP(MP_registro[[#This Row],[TAG]],'DB-EQUIPOS GEN'!$C$11:$H$833,2,0)</f>
        <v>Nivel de tanque preparacion floculante</v>
      </c>
      <c r="G823" s="191" t="str">
        <f>VLOOKUP(MP_registro[[#This Row],[TAG]],'DB-EQUIPOS GEN'!$C$11:$H$833,3,0)</f>
        <v>PRODUCCION</v>
      </c>
      <c r="H823" s="191" t="str">
        <f>VLOOKUP(MP_registro[[#This Row],[TAG]],'DB-EQUIPOS GEN'!$C$11:$H$833,4,0)</f>
        <v>CLARIFICACION DE JUGO</v>
      </c>
      <c r="I823" s="191" t="str">
        <f>VLOOKUP(MP_registro[[#This Row],[TAG]],'DB-EQUIPOS GEN'!$C$11:$H$833,5,0)</f>
        <v xml:space="preserve">TANQUE PREPARACION FLOCULANTE </v>
      </c>
      <c r="J823" s="191" t="str">
        <f>VLOOKUP(MP_registro[[#This Row],[TAG]],'DB-EQUIPOS GEN'!$C$11:$H$833,6,0)</f>
        <v xml:space="preserve"> 0305TK140</v>
      </c>
      <c r="K823" s="192">
        <v>44798</v>
      </c>
      <c r="L823" s="193"/>
      <c r="M823" s="77"/>
      <c r="N823" s="201" t="s">
        <v>1695</v>
      </c>
      <c r="O823" s="64" t="s">
        <v>1696</v>
      </c>
    </row>
    <row r="824" spans="1:15" ht="33" customHeight="1">
      <c r="A824" s="218">
        <v>823</v>
      </c>
      <c r="B824" s="219" t="s">
        <v>2565</v>
      </c>
      <c r="C824" s="64" t="s">
        <v>2661</v>
      </c>
      <c r="D824" s="191" t="s">
        <v>2757</v>
      </c>
      <c r="E824" s="204" t="s">
        <v>1177</v>
      </c>
      <c r="F824" s="191" t="str">
        <f>VLOOKUP(MP_registro[[#This Row],[TAG]],'DB-EQUIPOS GEN'!$C$11:$H$833,2,0)</f>
        <v>Valvula control de nivel FFE - 4A</v>
      </c>
      <c r="G824" s="191" t="str">
        <f>VLOOKUP(MP_registro[[#This Row],[TAG]],'DB-EQUIPOS GEN'!$C$11:$H$833,3,0)</f>
        <v>PRODUCCION</v>
      </c>
      <c r="H824" s="191" t="str">
        <f>VLOOKUP(MP_registro[[#This Row],[TAG]],'DB-EQUIPOS GEN'!$C$11:$H$833,4,0)</f>
        <v>EVAPORACION DE JUGO</v>
      </c>
      <c r="I824" s="191" t="str">
        <f>VLOOKUP(MP_registro[[#This Row],[TAG]],'DB-EQUIPOS GEN'!$C$11:$H$833,5,0)</f>
        <v>EVAPORADOR FFE 4A</v>
      </c>
      <c r="J824" s="191" t="str">
        <f>VLOOKUP(MP_registro[[#This Row],[TAG]],'DB-EQUIPOS GEN'!$C$11:$H$833,6,0)</f>
        <v>0320EV050</v>
      </c>
      <c r="K824" s="192">
        <v>44800</v>
      </c>
      <c r="L824" s="193"/>
      <c r="M824" s="77"/>
      <c r="N824" s="201" t="s">
        <v>1695</v>
      </c>
      <c r="O824" s="64" t="s">
        <v>1696</v>
      </c>
    </row>
    <row r="825" spans="1:15" ht="33" customHeight="1">
      <c r="A825" s="218">
        <v>824</v>
      </c>
      <c r="B825" s="219" t="s">
        <v>2565</v>
      </c>
      <c r="C825" s="64" t="s">
        <v>2661</v>
      </c>
      <c r="D825" s="191" t="s">
        <v>2758</v>
      </c>
      <c r="E825" s="204" t="s">
        <v>1649</v>
      </c>
      <c r="F825" s="191" t="str">
        <f>VLOOKUP(MP_registro[[#This Row],[TAG]],'DB-EQUIPOS GEN'!$C$11:$H$833,2,0)</f>
        <v>Chute alimentadores de bagazo</v>
      </c>
      <c r="G825" s="191" t="str">
        <f>VLOOKUP(MP_registro[[#This Row],[TAG]],'DB-EQUIPOS GEN'!$C$11:$H$833,3,0)</f>
        <v>E. TERMICA</v>
      </c>
      <c r="H825" s="191" t="str">
        <f>VLOOKUP(MP_registro[[#This Row],[TAG]],'DB-EQUIPOS GEN'!$C$11:$H$833,4,0)</f>
        <v>TRANSPORTE DE BAGAZO</v>
      </c>
      <c r="I825" s="191" t="str">
        <f>VLOOKUP(MP_registro[[#This Row],[TAG]],'DB-EQUIPOS GEN'!$C$11:$H$833,5,0)</f>
        <v>ALIMENTADOR DE BAGAZO 1</v>
      </c>
      <c r="J825" s="191" t="str">
        <f>VLOOKUP(MP_registro[[#This Row],[TAG]],'DB-EQUIPOS GEN'!$C$11:$H$833,6,0)</f>
        <v>0405RV240</v>
      </c>
      <c r="K825" s="192">
        <v>44796</v>
      </c>
      <c r="L825" s="193"/>
      <c r="M825" s="77"/>
      <c r="N825" s="201" t="s">
        <v>1695</v>
      </c>
      <c r="O825" s="64" t="s">
        <v>1696</v>
      </c>
    </row>
    <row r="826" spans="1:15" ht="33" customHeight="1">
      <c r="A826" s="218">
        <v>825</v>
      </c>
      <c r="B826" s="219" t="s">
        <v>2565</v>
      </c>
      <c r="C826" s="64" t="s">
        <v>2661</v>
      </c>
      <c r="D826" s="191" t="s">
        <v>2759</v>
      </c>
      <c r="E826" s="204" t="s">
        <v>1075</v>
      </c>
      <c r="F826" s="191" t="str">
        <f>VLOOKUP(MP_registro[[#This Row],[TAG]],'DB-EQUIPOS GEN'!$C$11:$H$833,2,0)</f>
        <v>Valvula de control de flujo de lodos del SRT</v>
      </c>
      <c r="G826" s="191" t="str">
        <f>VLOOKUP(MP_registro[[#This Row],[TAG]],'DB-EQUIPOS GEN'!$C$11:$H$833,3,0)</f>
        <v>PRODUCCION</v>
      </c>
      <c r="H826" s="191" t="str">
        <f>VLOOKUP(MP_registro[[#This Row],[TAG]],'DB-EQUIPOS GEN'!$C$11:$H$833,4,0)</f>
        <v>CLARIFICACION DE JUGO</v>
      </c>
      <c r="I826" s="191" t="str">
        <f>VLOOKUP(MP_registro[[#This Row],[TAG]],'DB-EQUIPOS GEN'!$C$11:$H$833,5,0)</f>
        <v>CLARIFICADOR DE JUGO</v>
      </c>
      <c r="J826" s="191" t="str">
        <f>VLOOKUP(MP_registro[[#This Row],[TAG]],'DB-EQUIPOS GEN'!$C$11:$H$833,6,0)</f>
        <v>0305CL130</v>
      </c>
      <c r="K826" s="192">
        <v>44797</v>
      </c>
      <c r="L826" s="193" t="s">
        <v>247</v>
      </c>
      <c r="M82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26" s="201" t="s">
        <v>1695</v>
      </c>
      <c r="O826" s="64" t="s">
        <v>1696</v>
      </c>
    </row>
    <row r="827" spans="1:15" ht="33" customHeight="1">
      <c r="A827" s="218">
        <v>826</v>
      </c>
      <c r="B827" s="219" t="s">
        <v>2565</v>
      </c>
      <c r="C827" s="64" t="s">
        <v>2661</v>
      </c>
      <c r="D827" s="191" t="s">
        <v>2760</v>
      </c>
      <c r="E827" s="204" t="s">
        <v>1076</v>
      </c>
      <c r="F827" s="191" t="str">
        <f>VLOOKUP(MP_registro[[#This Row],[TAG]],'DB-EQUIPOS GEN'!$C$11:$H$833,2,0)</f>
        <v>Valvula de control de flujo clarificado</v>
      </c>
      <c r="G827" s="191" t="str">
        <f>VLOOKUP(MP_registro[[#This Row],[TAG]],'DB-EQUIPOS GEN'!$C$11:$H$833,3,0)</f>
        <v>PRODUCCION</v>
      </c>
      <c r="H827" s="191" t="str">
        <f>VLOOKUP(MP_registro[[#This Row],[TAG]],'DB-EQUIPOS GEN'!$C$11:$H$833,4,0)</f>
        <v>CLARIFICACION DE JUGO</v>
      </c>
      <c r="I827" s="191" t="str">
        <f>VLOOKUP(MP_registro[[#This Row],[TAG]],'DB-EQUIPOS GEN'!$C$11:$H$833,5,0)</f>
        <v>TANQUE DE JUGO CLARO</v>
      </c>
      <c r="J827" s="191" t="str">
        <f>VLOOKUP(MP_registro[[#This Row],[TAG]],'DB-EQUIPOS GEN'!$C$11:$H$833,6,0)</f>
        <v>0305TK190</v>
      </c>
      <c r="K827" s="192">
        <v>44797</v>
      </c>
      <c r="L827" s="193" t="s">
        <v>247</v>
      </c>
      <c r="M82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27" s="201" t="s">
        <v>1695</v>
      </c>
      <c r="O827" s="64" t="s">
        <v>1696</v>
      </c>
    </row>
    <row r="828" spans="1:15" ht="33" customHeight="1">
      <c r="A828" s="218">
        <v>827</v>
      </c>
      <c r="B828" s="219" t="s">
        <v>2565</v>
      </c>
      <c r="C828" s="64" t="s">
        <v>2661</v>
      </c>
      <c r="D828" s="191" t="s">
        <v>2761</v>
      </c>
      <c r="E828" s="204" t="s">
        <v>270</v>
      </c>
      <c r="F828" s="191" t="str">
        <f>VLOOKUP(MP_registro[[#This Row],[TAG]],'DB-EQUIPOS GEN'!$C$11:$H$833,2,0)</f>
        <v>Flujo de agua ingreso a tanque jugo claro</v>
      </c>
      <c r="G828" s="191" t="str">
        <f>VLOOKUP(MP_registro[[#This Row],[TAG]],'DB-EQUIPOS GEN'!$C$11:$H$833,3,0)</f>
        <v>PRODUCCION</v>
      </c>
      <c r="H828" s="191" t="str">
        <f>VLOOKUP(MP_registro[[#This Row],[TAG]],'DB-EQUIPOS GEN'!$C$11:$H$833,4,0)</f>
        <v>CLARIFICACION DE JUGO</v>
      </c>
      <c r="I828" s="191" t="str">
        <f>VLOOKUP(MP_registro[[#This Row],[TAG]],'DB-EQUIPOS GEN'!$C$11:$H$833,5,0)</f>
        <v xml:space="preserve">TANQUE DE JUGO CLARO </v>
      </c>
      <c r="J828" s="191" t="str">
        <f>VLOOKUP(MP_registro[[#This Row],[TAG]],'DB-EQUIPOS GEN'!$C$11:$H$833,6,0)</f>
        <v xml:space="preserve"> 0305TK190</v>
      </c>
      <c r="K828" s="192">
        <v>44797</v>
      </c>
      <c r="L828" s="193" t="s">
        <v>247</v>
      </c>
      <c r="M82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28" s="201" t="s">
        <v>1695</v>
      </c>
      <c r="O828" s="64" t="s">
        <v>1696</v>
      </c>
    </row>
    <row r="829" spans="1:15" ht="33" customHeight="1">
      <c r="A829" s="218">
        <v>828</v>
      </c>
      <c r="B829" s="219" t="s">
        <v>2565</v>
      </c>
      <c r="C829" s="64" t="s">
        <v>2661</v>
      </c>
      <c r="D829" s="191" t="s">
        <v>2762</v>
      </c>
      <c r="E829" s="204" t="s">
        <v>272</v>
      </c>
      <c r="F829" s="191" t="str">
        <f>VLOOKUP(MP_registro[[#This Row],[TAG]],'DB-EQUIPOS GEN'!$C$11:$H$833,2,0)</f>
        <v>Flujo de lodos salida de clarificador</v>
      </c>
      <c r="G829" s="191" t="str">
        <f>VLOOKUP(MP_registro[[#This Row],[TAG]],'DB-EQUIPOS GEN'!$C$11:$H$833,3,0)</f>
        <v>PRODUCCION</v>
      </c>
      <c r="H829" s="191" t="str">
        <f>VLOOKUP(MP_registro[[#This Row],[TAG]],'DB-EQUIPOS GEN'!$C$11:$H$833,4,0)</f>
        <v>CLARIFICACION DE JUGO</v>
      </c>
      <c r="I829" s="191" t="str">
        <f>VLOOKUP(MP_registro[[#This Row],[TAG]],'DB-EQUIPOS GEN'!$C$11:$H$833,5,0)</f>
        <v xml:space="preserve">CLARIFICADOR SRT </v>
      </c>
      <c r="J829" s="191" t="str">
        <f>VLOOKUP(MP_registro[[#This Row],[TAG]],'DB-EQUIPOS GEN'!$C$11:$H$833,6,0)</f>
        <v xml:space="preserve"> 0305CL130</v>
      </c>
      <c r="K829" s="192">
        <v>44797</v>
      </c>
      <c r="L829" s="193" t="s">
        <v>247</v>
      </c>
      <c r="M82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29" s="201" t="s">
        <v>1664</v>
      </c>
      <c r="O829" s="64" t="s">
        <v>1696</v>
      </c>
    </row>
    <row r="830" spans="1:15" ht="33" customHeight="1">
      <c r="A830" s="218">
        <v>829</v>
      </c>
      <c r="B830" s="219" t="s">
        <v>2565</v>
      </c>
      <c r="C830" s="64" t="s">
        <v>2661</v>
      </c>
      <c r="D830" s="191" t="s">
        <v>2763</v>
      </c>
      <c r="E830" s="204" t="s">
        <v>1048</v>
      </c>
      <c r="F830" s="191" t="str">
        <f>VLOOKUP(MP_registro[[#This Row],[TAG]],'DB-EQUIPOS GEN'!$C$11:$H$833,2,0)</f>
        <v>Flujo de inyeccion de floculante</v>
      </c>
      <c r="G830" s="191" t="str">
        <f>VLOOKUP(MP_registro[[#This Row],[TAG]],'DB-EQUIPOS GEN'!$C$11:$H$833,3,0)</f>
        <v>PRODUCCION</v>
      </c>
      <c r="H830" s="191" t="str">
        <f>VLOOKUP(MP_registro[[#This Row],[TAG]],'DB-EQUIPOS GEN'!$C$11:$H$833,4,0)</f>
        <v>CLARIFICACION DE JUGO</v>
      </c>
      <c r="I830" s="191" t="str">
        <f>VLOOKUP(MP_registro[[#This Row],[TAG]],'DB-EQUIPOS GEN'!$C$11:$H$833,5,0)</f>
        <v xml:space="preserve">TANQUE DE FLOCULANTE </v>
      </c>
      <c r="J830" s="191" t="str">
        <f>VLOOKUP(MP_registro[[#This Row],[TAG]],'DB-EQUIPOS GEN'!$C$11:$H$833,6,0)</f>
        <v xml:space="preserve"> 0330TK160</v>
      </c>
      <c r="K830" s="192">
        <v>44798</v>
      </c>
      <c r="L830" s="193" t="s">
        <v>247</v>
      </c>
      <c r="M830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30" s="201" t="s">
        <v>1664</v>
      </c>
      <c r="O830" s="64" t="s">
        <v>1696</v>
      </c>
    </row>
    <row r="831" spans="1:15" ht="33" customHeight="1">
      <c r="A831" s="218">
        <v>830</v>
      </c>
      <c r="B831" s="219" t="s">
        <v>2565</v>
      </c>
      <c r="C831" s="64" t="s">
        <v>2661</v>
      </c>
      <c r="D831" s="191" t="s">
        <v>2764</v>
      </c>
      <c r="E831" s="204" t="s">
        <v>1329</v>
      </c>
      <c r="F831" s="191" t="str">
        <f>VLOOKUP(MP_registro[[#This Row],[TAG]],'DB-EQUIPOS GEN'!$C$11:$H$833,2,0)</f>
        <v>Servidor del DCS Experion PKS</v>
      </c>
      <c r="G831" s="191" t="str">
        <f>VLOOKUP(MP_registro[[#This Row],[TAG]],'DB-EQUIPOS GEN'!$C$11:$H$833,3,0)</f>
        <v>E. ELECTRICA</v>
      </c>
      <c r="H831" s="191" t="str">
        <f>VLOOKUP(MP_registro[[#This Row],[TAG]],'DB-EQUIPOS GEN'!$C$11:$H$833,4,0)</f>
        <v>SISTEMA DE CONTROL DISTRIBUIDO</v>
      </c>
      <c r="I831" s="191" t="str">
        <f>VLOOKUP(MP_registro[[#This Row],[TAG]],'DB-EQUIPOS GEN'!$C$11:$H$833,5,0)</f>
        <v>SISTEMA DE CONTROL DISTRIBUIDO</v>
      </c>
      <c r="J831" s="191" t="str">
        <f>VLOOKUP(MP_registro[[#This Row],[TAG]],'DB-EQUIPOS GEN'!$C$11:$H$833,6,0)</f>
        <v>DCS</v>
      </c>
      <c r="K831" s="192">
        <v>44797</v>
      </c>
      <c r="L831" s="193" t="s">
        <v>248</v>
      </c>
      <c r="M831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831" s="201" t="s">
        <v>1664</v>
      </c>
      <c r="O831" s="64" t="s">
        <v>1696</v>
      </c>
    </row>
    <row r="832" spans="1:15" ht="33" customHeight="1">
      <c r="A832" s="218">
        <v>831</v>
      </c>
      <c r="B832" s="219" t="s">
        <v>2565</v>
      </c>
      <c r="C832" s="64" t="s">
        <v>2661</v>
      </c>
      <c r="D832" s="191" t="s">
        <v>2765</v>
      </c>
      <c r="E832" s="204" t="s">
        <v>2660</v>
      </c>
      <c r="F832" s="191" t="e">
        <f>VLOOKUP(MP_registro[[#This Row],[TAG]],'DB-EQUIPOS GEN'!$C$11:$H$833,2,0)</f>
        <v>#N/A</v>
      </c>
      <c r="G832" s="191" t="e">
        <f>VLOOKUP(MP_registro[[#This Row],[TAG]],'DB-EQUIPOS GEN'!$C$11:$H$833,3,0)</f>
        <v>#N/A</v>
      </c>
      <c r="H832" s="191" t="e">
        <f>VLOOKUP(MP_registro[[#This Row],[TAG]],'DB-EQUIPOS GEN'!$C$11:$H$833,4,0)</f>
        <v>#N/A</v>
      </c>
      <c r="I832" s="191" t="e">
        <f>VLOOKUP(MP_registro[[#This Row],[TAG]],'DB-EQUIPOS GEN'!$C$11:$H$833,5,0)</f>
        <v>#N/A</v>
      </c>
      <c r="J832" s="191" t="e">
        <f>VLOOKUP(MP_registro[[#This Row],[TAG]],'DB-EQUIPOS GEN'!$C$11:$H$833,6,0)</f>
        <v>#N/A</v>
      </c>
      <c r="K832" s="192">
        <v>44799</v>
      </c>
      <c r="L832" s="193" t="s">
        <v>247</v>
      </c>
      <c r="M83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32" s="201" t="s">
        <v>1664</v>
      </c>
      <c r="O832" s="64" t="s">
        <v>1696</v>
      </c>
    </row>
    <row r="833" spans="1:15" ht="33" customHeight="1">
      <c r="A833" s="218">
        <v>832</v>
      </c>
      <c r="B833" s="219" t="s">
        <v>2565</v>
      </c>
      <c r="C833" s="64" t="s">
        <v>2661</v>
      </c>
      <c r="D833" s="191" t="s">
        <v>2766</v>
      </c>
      <c r="E833" s="204" t="s">
        <v>1658</v>
      </c>
      <c r="F833" s="191" t="str">
        <f>VLOOKUP(MP_registro[[#This Row],[TAG]],'DB-EQUIPOS GEN'!$C$11:$H$833,2,0)</f>
        <v>Pug mill A - Centrifugas batch</v>
      </c>
      <c r="G833" s="191" t="str">
        <f>VLOOKUP(MP_registro[[#This Row],[TAG]],'DB-EQUIPOS GEN'!$C$11:$H$833,3,0)</f>
        <v>PRODUCCION</v>
      </c>
      <c r="H833" s="191" t="str">
        <f>VLOOKUP(MP_registro[[#This Row],[TAG]],'DB-EQUIPOS GEN'!$C$11:$H$833,4,0)</f>
        <v>CENTRIFUGACIÓN DE AZÚCAR</v>
      </c>
      <c r="I833" s="191" t="str">
        <f>VLOOKUP(MP_registro[[#This Row],[TAG]],'DB-EQUIPOS GEN'!$C$11:$H$833,5,0)</f>
        <v>PUG MILL - A</v>
      </c>
      <c r="J833" s="191" t="str">
        <f>VLOOKUP(MP_registro[[#This Row],[TAG]],'DB-EQUIPOS GEN'!$C$11:$H$833,6,0)</f>
        <v>0345MM010</v>
      </c>
      <c r="K833" s="192">
        <v>44796</v>
      </c>
      <c r="L833" s="193" t="s">
        <v>247</v>
      </c>
      <c r="M833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33" s="201" t="s">
        <v>1664</v>
      </c>
      <c r="O833" s="64" t="s">
        <v>1696</v>
      </c>
    </row>
    <row r="834" spans="1:15" ht="33" customHeight="1">
      <c r="A834" s="218">
        <v>833</v>
      </c>
      <c r="B834" s="219" t="s">
        <v>2565</v>
      </c>
      <c r="C834" s="64" t="s">
        <v>2661</v>
      </c>
      <c r="D834" s="191" t="s">
        <v>2767</v>
      </c>
      <c r="E834" s="204" t="s">
        <v>1648</v>
      </c>
      <c r="F834" s="191" t="str">
        <f>VLOOKUP(MP_registro[[#This Row],[TAG]],'DB-EQUIPOS GEN'!$C$11:$H$833,2,0)</f>
        <v>Nivel de agua en domo</v>
      </c>
      <c r="G834" s="191" t="str">
        <f>VLOOKUP(MP_registro[[#This Row],[TAG]],'DB-EQUIPOS GEN'!$C$11:$H$833,3,0)</f>
        <v>E. TERMICA</v>
      </c>
      <c r="H834" s="191" t="str">
        <f>VLOOKUP(MP_registro[[#This Row],[TAG]],'DB-EQUIPOS GEN'!$C$11:$H$833,4,0)</f>
        <v>GENERACIÓN DE VAPOR</v>
      </c>
      <c r="I834" s="191" t="str">
        <f>VLOOKUP(MP_registro[[#This Row],[TAG]],'DB-EQUIPOS GEN'!$C$11:$H$833,5,0)</f>
        <v>DOMO SUPERIOR</v>
      </c>
      <c r="J834" s="191" t="str">
        <f>VLOOKUP(MP_registro[[#This Row],[TAG]],'DB-EQUIPOS GEN'!$C$11:$H$833,6,0)</f>
        <v>0405DO020</v>
      </c>
      <c r="K834" s="192">
        <v>44797</v>
      </c>
      <c r="L834" s="193"/>
      <c r="M834" s="77"/>
      <c r="N834" s="201" t="s">
        <v>1695</v>
      </c>
      <c r="O834" s="64" t="s">
        <v>1696</v>
      </c>
    </row>
    <row r="835" spans="1:15" ht="33" customHeight="1">
      <c r="A835" s="218">
        <v>834</v>
      </c>
      <c r="B835" s="219" t="s">
        <v>2565</v>
      </c>
      <c r="C835" s="64" t="s">
        <v>2661</v>
      </c>
      <c r="D835" s="191" t="s">
        <v>2768</v>
      </c>
      <c r="E835" s="204" t="s">
        <v>1659</v>
      </c>
      <c r="F835" s="191" t="str">
        <f>VLOOKUP(MP_registro[[#This Row],[TAG]],'DB-EQUIPOS GEN'!$C$11:$H$833,2,0)</f>
        <v>Vista global de tanques de jarabe 1,2 y 3</v>
      </c>
      <c r="G835" s="191" t="str">
        <f>VLOOKUP(MP_registro[[#This Row],[TAG]],'DB-EQUIPOS GEN'!$C$11:$H$833,3,0)</f>
        <v>PRODUCCION</v>
      </c>
      <c r="H835" s="191" t="str">
        <f>VLOOKUP(MP_registro[[#This Row],[TAG]],'DB-EQUIPOS GEN'!$C$11:$H$833,4,0)</f>
        <v>CRISTALIZACIÓN POR COCCIÓN</v>
      </c>
      <c r="I835" s="191" t="str">
        <f>VLOOKUP(MP_registro[[#This Row],[TAG]],'DB-EQUIPOS GEN'!$C$11:$H$833,5,0)</f>
        <v>TANQUE DE JARABE 1</v>
      </c>
      <c r="J835" s="191" t="str">
        <f>VLOOKUP(MP_registro[[#This Row],[TAG]],'DB-EQUIPOS GEN'!$C$11:$H$833,6,0)</f>
        <v>0335TK010</v>
      </c>
      <c r="K835" s="192">
        <v>44796</v>
      </c>
      <c r="L835" s="193" t="s">
        <v>247</v>
      </c>
      <c r="M835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35" s="201" t="s">
        <v>1664</v>
      </c>
      <c r="O835" s="64" t="s">
        <v>1696</v>
      </c>
    </row>
    <row r="836" spans="1:15" ht="33" customHeight="1">
      <c r="A836" s="218">
        <v>835</v>
      </c>
      <c r="B836" s="219" t="s">
        <v>2565</v>
      </c>
      <c r="C836" s="64" t="s">
        <v>2661</v>
      </c>
      <c r="D836" s="191" t="s">
        <v>2769</v>
      </c>
      <c r="E836" s="204" t="s">
        <v>1660</v>
      </c>
      <c r="F836" s="191" t="str">
        <f>VLOOKUP(MP_registro[[#This Row],[TAG]],'DB-EQUIPOS GEN'!$C$11:$H$833,2,0)</f>
        <v>Vista global de tacho continuo A.</v>
      </c>
      <c r="G836" s="191" t="str">
        <f>VLOOKUP(MP_registro[[#This Row],[TAG]],'DB-EQUIPOS GEN'!$C$11:$H$833,3,0)</f>
        <v>PRODUCCION</v>
      </c>
      <c r="H836" s="191" t="str">
        <f>VLOOKUP(MP_registro[[#This Row],[TAG]],'DB-EQUIPOS GEN'!$C$11:$H$833,4,0)</f>
        <v>CRISTALIZACIÓN POR COCCIÓN</v>
      </c>
      <c r="I836" s="191" t="str">
        <f>VLOOKUP(MP_registro[[#This Row],[TAG]],'DB-EQUIPOS GEN'!$C$11:$H$833,5,0)</f>
        <v>TACHO CONTINUO - A</v>
      </c>
      <c r="J836" s="191" t="str">
        <f>VLOOKUP(MP_registro[[#This Row],[TAG]],'DB-EQUIPOS GEN'!$C$11:$H$833,6,0)</f>
        <v>0335HX200</v>
      </c>
      <c r="K836" s="192">
        <v>44796</v>
      </c>
      <c r="L836" s="193" t="s">
        <v>247</v>
      </c>
      <c r="M83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36" s="201" t="s">
        <v>1664</v>
      </c>
      <c r="O836" s="64" t="s">
        <v>1696</v>
      </c>
    </row>
    <row r="837" spans="1:15" ht="33" customHeight="1">
      <c r="A837" s="218">
        <v>836</v>
      </c>
      <c r="B837" s="219" t="s">
        <v>2565</v>
      </c>
      <c r="C837" s="64" t="s">
        <v>2661</v>
      </c>
      <c r="D837" s="191" t="s">
        <v>2770</v>
      </c>
      <c r="E837" s="204" t="s">
        <v>1656</v>
      </c>
      <c r="F837" s="191" t="str">
        <f>VLOOKUP(MP_registro[[#This Row],[TAG]],'DB-EQUIPOS GEN'!$C$11:$H$833,2,0)</f>
        <v>Descarga de centrifugas continuas</v>
      </c>
      <c r="G837" s="191" t="str">
        <f>VLOOKUP(MP_registro[[#This Row],[TAG]],'DB-EQUIPOS GEN'!$C$11:$H$833,3,0)</f>
        <v>PRODUCCION</v>
      </c>
      <c r="H837" s="191" t="str">
        <f>VLOOKUP(MP_registro[[#This Row],[TAG]],'DB-EQUIPOS GEN'!$C$11:$H$833,4,0)</f>
        <v>CENTRIFUGACIÓN DE AZÚCAR</v>
      </c>
      <c r="I837" s="191" t="str">
        <f>VLOOKUP(MP_registro[[#This Row],[TAG]],'DB-EQUIPOS GEN'!$C$11:$H$833,5,0)</f>
        <v>CENTRIFUGA CONTINUA 1 - C (FRANCIA)</v>
      </c>
      <c r="J837" s="191" t="str">
        <f>VLOOKUP(MP_registro[[#This Row],[TAG]],'DB-EQUIPOS GEN'!$C$11:$H$833,6,0)</f>
        <v>0345SQ160</v>
      </c>
      <c r="K837" s="192">
        <v>44797</v>
      </c>
      <c r="L837" s="193" t="s">
        <v>247</v>
      </c>
      <c r="M83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37" s="201" t="s">
        <v>1664</v>
      </c>
      <c r="O837" s="64" t="s">
        <v>1696</v>
      </c>
    </row>
    <row r="838" spans="1:15" ht="33" customHeight="1">
      <c r="A838" s="218">
        <v>837</v>
      </c>
      <c r="B838" s="219" t="s">
        <v>2565</v>
      </c>
      <c r="C838" s="64" t="s">
        <v>2661</v>
      </c>
      <c r="D838" s="191" t="s">
        <v>2771</v>
      </c>
      <c r="E838" s="204" t="s">
        <v>1331</v>
      </c>
      <c r="F838" s="191" t="str">
        <f>VLOOKUP(MP_registro[[#This Row],[TAG]],'DB-EQUIPOS GEN'!$C$11:$H$833,2,0)</f>
        <v>Servidor del DCS Experion PKS</v>
      </c>
      <c r="G838" s="191" t="str">
        <f>VLOOKUP(MP_registro[[#This Row],[TAG]],'DB-EQUIPOS GEN'!$C$11:$H$833,3,0)</f>
        <v>E. ELECTRICA</v>
      </c>
      <c r="H838" s="191" t="str">
        <f>VLOOKUP(MP_registro[[#This Row],[TAG]],'DB-EQUIPOS GEN'!$C$11:$H$833,4,0)</f>
        <v>SISTEMA DE CONTROL DISTRIBUIDO</v>
      </c>
      <c r="I838" s="191" t="str">
        <f>VLOOKUP(MP_registro[[#This Row],[TAG]],'DB-EQUIPOS GEN'!$C$11:$H$833,5,0)</f>
        <v>SISTEMA DE CONTROL DISTRIBUIDO</v>
      </c>
      <c r="J838" s="191" t="str">
        <f>VLOOKUP(MP_registro[[#This Row],[TAG]],'DB-EQUIPOS GEN'!$C$11:$H$833,6,0)</f>
        <v>DCS</v>
      </c>
      <c r="K838" s="192">
        <v>44798</v>
      </c>
      <c r="L838" s="193" t="s">
        <v>248</v>
      </c>
      <c r="M838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838" s="201" t="s">
        <v>1664</v>
      </c>
      <c r="O838" s="64" t="s">
        <v>1696</v>
      </c>
    </row>
    <row r="839" spans="1:15" ht="33" customHeight="1">
      <c r="A839" s="218">
        <v>838</v>
      </c>
      <c r="B839" s="219" t="s">
        <v>2565</v>
      </c>
      <c r="C839" s="64" t="s">
        <v>2661</v>
      </c>
      <c r="D839" s="191" t="s">
        <v>2772</v>
      </c>
      <c r="E839" s="204" t="s">
        <v>280</v>
      </c>
      <c r="F839" s="191" t="str">
        <f>VLOOKUP(MP_registro[[#This Row],[TAG]],'DB-EQUIPOS GEN'!$C$11:$H$833,2,0)</f>
        <v>PH de jugo clarificado</v>
      </c>
      <c r="G839" s="191" t="str">
        <f>VLOOKUP(MP_registro[[#This Row],[TAG]],'DB-EQUIPOS GEN'!$C$11:$H$833,3,0)</f>
        <v>PRODUCCION</v>
      </c>
      <c r="H839" s="191" t="str">
        <f>VLOOKUP(MP_registro[[#This Row],[TAG]],'DB-EQUIPOS GEN'!$C$11:$H$833,4,0)</f>
        <v>CLARIFICACION DE JUGO</v>
      </c>
      <c r="I839" s="191" t="str">
        <f>VLOOKUP(MP_registro[[#This Row],[TAG]],'DB-EQUIPOS GEN'!$C$11:$H$833,5,0)</f>
        <v xml:space="preserve">CLARIFICADOR SRT </v>
      </c>
      <c r="J839" s="191" t="str">
        <f>VLOOKUP(MP_registro[[#This Row],[TAG]],'DB-EQUIPOS GEN'!$C$11:$H$833,6,0)</f>
        <v xml:space="preserve"> 0305CL130</v>
      </c>
      <c r="K839" s="192">
        <v>44799</v>
      </c>
      <c r="L839" s="193"/>
      <c r="M839" s="77"/>
      <c r="N839" s="201" t="s">
        <v>1695</v>
      </c>
      <c r="O839" s="64" t="s">
        <v>1696</v>
      </c>
    </row>
    <row r="840" spans="1:15" ht="33" customHeight="1">
      <c r="A840" s="218">
        <v>839</v>
      </c>
      <c r="B840" s="219" t="s">
        <v>2565</v>
      </c>
      <c r="C840" s="64" t="s">
        <v>2661</v>
      </c>
      <c r="D840" s="191" t="s">
        <v>2773</v>
      </c>
      <c r="E840" s="204" t="s">
        <v>1661</v>
      </c>
      <c r="F840" s="191" t="str">
        <f>VLOOKUP(MP_registro[[#This Row],[TAG]],'DB-EQUIPOS GEN'!$C$11:$H$833,2,0)</f>
        <v xml:space="preserve">Faja de azucar seca a Silo </v>
      </c>
      <c r="G840" s="191" t="str">
        <f>VLOOKUP(MP_registro[[#This Row],[TAG]],'DB-EQUIPOS GEN'!$C$11:$H$833,3,0)</f>
        <v>PRODUCCION</v>
      </c>
      <c r="H840" s="191" t="str">
        <f>VLOOKUP(MP_registro[[#This Row],[TAG]],'DB-EQUIPOS GEN'!$C$11:$H$833,4,0)</f>
        <v>ENVASADO DE AZÚCAR RUBIA</v>
      </c>
      <c r="I840" s="191" t="str">
        <f>VLOOKUP(MP_registro[[#This Row],[TAG]],'DB-EQUIPOS GEN'!$C$11:$H$833,5,0)</f>
        <v>SILO DE AZUCAR 1</v>
      </c>
      <c r="J840" s="191" t="str">
        <f>VLOOKUP(MP_registro[[#This Row],[TAG]],'DB-EQUIPOS GEN'!$C$11:$H$833,6,0)</f>
        <v>0355BI090</v>
      </c>
      <c r="K840" s="192">
        <v>44797</v>
      </c>
      <c r="L840" s="193" t="s">
        <v>247</v>
      </c>
      <c r="M840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40" s="201" t="s">
        <v>1664</v>
      </c>
      <c r="O840" s="64" t="s">
        <v>1696</v>
      </c>
    </row>
    <row r="841" spans="1:15" ht="33" customHeight="1">
      <c r="A841" s="218">
        <v>840</v>
      </c>
      <c r="B841" s="219" t="s">
        <v>2565</v>
      </c>
      <c r="C841" s="64" t="s">
        <v>2661</v>
      </c>
      <c r="D841" s="191" t="s">
        <v>2774</v>
      </c>
      <c r="E841" s="204" t="s">
        <v>822</v>
      </c>
      <c r="F841" s="191" t="str">
        <f>VLOOKUP(MP_registro[[#This Row],[TAG]],'DB-EQUIPOS GEN'!$C$11:$H$833,2,0)</f>
        <v>Analizador de O2 de la caldera</v>
      </c>
      <c r="G841" s="191" t="str">
        <f>VLOOKUP(MP_registro[[#This Row],[TAG]],'DB-EQUIPOS GEN'!$C$11:$H$833,3,0)</f>
        <v>E. TERMICA</v>
      </c>
      <c r="H841" s="191" t="str">
        <f>VLOOKUP(MP_registro[[#This Row],[TAG]],'DB-EQUIPOS GEN'!$C$11:$H$833,4,0)</f>
        <v>GENERACION DE VAPOR</v>
      </c>
      <c r="I841" s="191" t="str">
        <f>VLOOKUP(MP_registro[[#This Row],[TAG]],'DB-EQUIPOS GEN'!$C$11:$H$833,5,0)</f>
        <v>CALDERA</v>
      </c>
      <c r="J841" s="191" t="str">
        <f>VLOOKUP(MP_registro[[#This Row],[TAG]],'DB-EQUIPOS GEN'!$C$11:$H$833,6,0)</f>
        <v>0405BR010</v>
      </c>
      <c r="K841" s="192">
        <v>44799</v>
      </c>
      <c r="L841" s="193" t="s">
        <v>245</v>
      </c>
      <c r="M84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41" s="201" t="s">
        <v>1664</v>
      </c>
      <c r="O841" s="64" t="s">
        <v>1696</v>
      </c>
    </row>
    <row r="842" spans="1:15" ht="33" customHeight="1">
      <c r="A842" s="218">
        <v>841</v>
      </c>
      <c r="B842" s="219" t="s">
        <v>2565</v>
      </c>
      <c r="C842" s="64" t="s">
        <v>2661</v>
      </c>
      <c r="D842" s="191" t="s">
        <v>2775</v>
      </c>
      <c r="E842" s="204" t="s">
        <v>1652</v>
      </c>
      <c r="F842" s="191" t="str">
        <f>VLOOKUP(MP_registro[[#This Row],[TAG]],'DB-EQUIPOS GEN'!$C$11:$H$833,2,0)</f>
        <v>Faja 1006A - Patio de Bagazo</v>
      </c>
      <c r="G842" s="191" t="str">
        <f>VLOOKUP(MP_registro[[#This Row],[TAG]],'DB-EQUIPOS GEN'!$C$11:$H$833,3,0)</f>
        <v>E. TERMICA</v>
      </c>
      <c r="H842" s="191" t="str">
        <f>VLOOKUP(MP_registro[[#This Row],[TAG]],'DB-EQUIPOS GEN'!$C$11:$H$833,4,0)</f>
        <v>TRANSPORTE DE BAGAZO</v>
      </c>
      <c r="I842" s="191" t="str">
        <f>VLOOKUP(MP_registro[[#This Row],[TAG]],'DB-EQUIPOS GEN'!$C$11:$H$833,5,0)</f>
        <v>FAJA TRANSPORTADORA 1006 A</v>
      </c>
      <c r="J842" s="191" t="str">
        <f>VLOOKUP(MP_registro[[#This Row],[TAG]],'DB-EQUIPOS GEN'!$C$11:$H$833,6,0)</f>
        <v>0805CV080</v>
      </c>
      <c r="K842" s="192">
        <v>44797</v>
      </c>
      <c r="L842" s="193" t="s">
        <v>247</v>
      </c>
      <c r="M84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42" s="201" t="s">
        <v>1664</v>
      </c>
      <c r="O842" s="64" t="s">
        <v>1696</v>
      </c>
    </row>
    <row r="843" spans="1:15" ht="33" customHeight="1">
      <c r="A843" s="218">
        <v>842</v>
      </c>
      <c r="B843" s="219" t="s">
        <v>2565</v>
      </c>
      <c r="C843" s="64" t="s">
        <v>2661</v>
      </c>
      <c r="D843" s="191" t="s">
        <v>2776</v>
      </c>
      <c r="E843" s="204" t="s">
        <v>1645</v>
      </c>
      <c r="F843" s="191" t="str">
        <f>VLOOKUP(MP_registro[[#This Row],[TAG]],'DB-EQUIPOS GEN'!$C$11:$H$833,2,0)</f>
        <v>Tamiz rotativo</v>
      </c>
      <c r="G843" s="191" t="str">
        <f>VLOOKUP(MP_registro[[#This Row],[TAG]],'DB-EQUIPOS GEN'!$C$11:$H$833,3,0)</f>
        <v>EXTRACCION</v>
      </c>
      <c r="H843" s="191" t="str">
        <f>VLOOKUP(MP_registro[[#This Row],[TAG]],'DB-EQUIPOS GEN'!$C$11:$H$833,4,0)</f>
        <v>DIFUSOR</v>
      </c>
      <c r="I843" s="191" t="str">
        <f>VLOOKUP(MP_registro[[#This Row],[TAG]],'DB-EQUIPOS GEN'!$C$11:$H$833,5,0)</f>
        <v>TAMIZ ROTATIVO</v>
      </c>
      <c r="J843" s="191" t="str">
        <f>VLOOKUP(MP_registro[[#This Row],[TAG]],'DB-EQUIPOS GEN'!$C$11:$H$833,6,0)</f>
        <v>0305FL010</v>
      </c>
      <c r="K843" s="192">
        <v>44799</v>
      </c>
      <c r="L843" s="193" t="s">
        <v>245</v>
      </c>
      <c r="M84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43" s="201" t="s">
        <v>1664</v>
      </c>
      <c r="O843" s="64" t="s">
        <v>1696</v>
      </c>
    </row>
    <row r="844" spans="1:15" ht="33" customHeight="1">
      <c r="A844" s="218">
        <v>843</v>
      </c>
      <c r="B844" s="219" t="s">
        <v>2565</v>
      </c>
      <c r="C844" s="64" t="s">
        <v>2661</v>
      </c>
      <c r="D844" s="191" t="s">
        <v>2777</v>
      </c>
      <c r="E844" s="204" t="s">
        <v>1643</v>
      </c>
      <c r="F844" s="191" t="str">
        <f>VLOOKUP(MP_registro[[#This Row],[TAG]],'DB-EQUIPOS GEN'!$C$11:$H$833,2,0)</f>
        <v>Nivelador de cama de bagazo en difusor</v>
      </c>
      <c r="G844" s="191" t="str">
        <f>VLOOKUP(MP_registro[[#This Row],[TAG]],'DB-EQUIPOS GEN'!$C$11:$H$833,3,0)</f>
        <v>EXTRACCION</v>
      </c>
      <c r="H844" s="191" t="str">
        <f>VLOOKUP(MP_registro[[#This Row],[TAG]],'DB-EQUIPOS GEN'!$C$11:$H$833,4,0)</f>
        <v>DIFUSOR</v>
      </c>
      <c r="I844" s="191" t="str">
        <f>VLOOKUP(MP_registro[[#This Row],[TAG]],'DB-EQUIPOS GEN'!$C$11:$H$833,5,0)</f>
        <v>CONDUCTOR TRANSVERSAL</v>
      </c>
      <c r="J844" s="191" t="str">
        <f>VLOOKUP(MP_registro[[#This Row],[TAG]],'DB-EQUIPOS GEN'!$C$11:$H$833,6,0)</f>
        <v>0205CV190</v>
      </c>
      <c r="K844" s="192">
        <v>44799</v>
      </c>
      <c r="L844" s="193" t="s">
        <v>247</v>
      </c>
      <c r="M84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44" s="201" t="s">
        <v>1664</v>
      </c>
      <c r="O844" s="64" t="s">
        <v>1696</v>
      </c>
    </row>
    <row r="845" spans="1:15" ht="33" customHeight="1">
      <c r="A845" s="218">
        <v>844</v>
      </c>
      <c r="B845" s="219" t="s">
        <v>2565</v>
      </c>
      <c r="C845" s="64" t="s">
        <v>2661</v>
      </c>
      <c r="D845" s="191" t="s">
        <v>2778</v>
      </c>
      <c r="E845" s="204" t="s">
        <v>1650</v>
      </c>
      <c r="F845" s="191" t="str">
        <f>VLOOKUP(MP_registro[[#This Row],[TAG]],'DB-EQUIPOS GEN'!$C$11:$H$833,2,0)</f>
        <v>Faja 1003 - Conductor distribuidor de bagazo</v>
      </c>
      <c r="G845" s="191" t="str">
        <f>VLOOKUP(MP_registro[[#This Row],[TAG]],'DB-EQUIPOS GEN'!$C$11:$H$833,3,0)</f>
        <v>E. TERMICA</v>
      </c>
      <c r="H845" s="191" t="str">
        <f>VLOOKUP(MP_registro[[#This Row],[TAG]],'DB-EQUIPOS GEN'!$C$11:$H$833,4,0)</f>
        <v>TRANSPORTE DE BAGAZO</v>
      </c>
      <c r="I845" s="191" t="str">
        <f>VLOOKUP(MP_registro[[#This Row],[TAG]],'DB-EQUIPOS GEN'!$C$11:$H$833,5,0)</f>
        <v>TRANSPORTADOR DE BAGAZO 1003</v>
      </c>
      <c r="J845" s="191" t="str">
        <f>VLOOKUP(MP_registro[[#This Row],[TAG]],'DB-EQUIPOS GEN'!$C$11:$H$833,6,0)</f>
        <v>0805CV060</v>
      </c>
      <c r="K845" s="192">
        <v>44799</v>
      </c>
      <c r="L845" s="193" t="s">
        <v>245</v>
      </c>
      <c r="M84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45" s="201" t="s">
        <v>1664</v>
      </c>
      <c r="O845" s="64" t="s">
        <v>1696</v>
      </c>
    </row>
    <row r="846" spans="1:15" ht="33" customHeight="1">
      <c r="A846" s="218">
        <v>845</v>
      </c>
      <c r="B846" s="219" t="s">
        <v>2565</v>
      </c>
      <c r="C846" s="64" t="s">
        <v>2661</v>
      </c>
      <c r="D846" s="191" t="s">
        <v>2779</v>
      </c>
      <c r="E846" s="204" t="s">
        <v>1646</v>
      </c>
      <c r="F846" s="191" t="str">
        <f>VLOOKUP(MP_registro[[#This Row],[TAG]],'DB-EQUIPOS GEN'!$C$11:$H$833,2,0)</f>
        <v>Segundo nivel de Turbina TGM</v>
      </c>
      <c r="G846" s="191" t="str">
        <f>VLOOKUP(MP_registro[[#This Row],[TAG]],'DB-EQUIPOS GEN'!$C$11:$H$833,3,0)</f>
        <v>E. ELECTRICA</v>
      </c>
      <c r="H846" s="191" t="str">
        <f>VLOOKUP(MP_registro[[#This Row],[TAG]],'DB-EQUIPOS GEN'!$C$11:$H$833,4,0)</f>
        <v>SISTEMA DE ENFRIAMIENTO</v>
      </c>
      <c r="I846" s="191" t="str">
        <f>VLOOKUP(MP_registro[[#This Row],[TAG]],'DB-EQUIPOS GEN'!$C$11:$H$833,5,0)</f>
        <v>TORRE DE ENFRIAMIENTO MARLEY - TG TGM</v>
      </c>
      <c r="J846" s="191" t="str">
        <f>VLOOKUP(MP_registro[[#This Row],[TAG]],'DB-EQUIPOS GEN'!$C$11:$H$833,6,0)</f>
        <v>0430CT050</v>
      </c>
      <c r="K846" s="192">
        <v>44799</v>
      </c>
      <c r="L846" s="193" t="s">
        <v>247</v>
      </c>
      <c r="M84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46" s="201" t="s">
        <v>1664</v>
      </c>
      <c r="O846" s="64" t="s">
        <v>1696</v>
      </c>
    </row>
    <row r="847" spans="1:15" ht="33" customHeight="1">
      <c r="A847" s="218">
        <v>846</v>
      </c>
      <c r="B847" s="219" t="s">
        <v>2565</v>
      </c>
      <c r="C847" s="64" t="s">
        <v>2661</v>
      </c>
      <c r="D847" s="191" t="s">
        <v>2780</v>
      </c>
      <c r="E847" s="204" t="s">
        <v>1654</v>
      </c>
      <c r="F847" s="191" t="str">
        <f>VLOOKUP(MP_registro[[#This Row],[TAG]],'DB-EQUIPOS GEN'!$C$11:$H$833,2,0)</f>
        <v>Vista global de sala turbina TGM</v>
      </c>
      <c r="G847" s="191" t="str">
        <f>VLOOKUP(MP_registro[[#This Row],[TAG]],'DB-EQUIPOS GEN'!$C$11:$H$833,3,0)</f>
        <v>E. ELECTRICA</v>
      </c>
      <c r="H847" s="191" t="str">
        <f>VLOOKUP(MP_registro[[#This Row],[TAG]],'DB-EQUIPOS GEN'!$C$11:$H$833,4,0)</f>
        <v>SISTEMA DE ENFRIAMIENTO</v>
      </c>
      <c r="I847" s="191" t="str">
        <f>VLOOKUP(MP_registro[[#This Row],[TAG]],'DB-EQUIPOS GEN'!$C$11:$H$833,5,0)</f>
        <v>TORRE DE ENFRIAMIENTO MARLEY - TG TGM</v>
      </c>
      <c r="J847" s="191" t="str">
        <f>VLOOKUP(MP_registro[[#This Row],[TAG]],'DB-EQUIPOS GEN'!$C$11:$H$833,6,0)</f>
        <v>0430CT050</v>
      </c>
      <c r="K847" s="192">
        <v>44799</v>
      </c>
      <c r="L847" s="193"/>
      <c r="M847" s="77"/>
      <c r="N847" s="201" t="s">
        <v>1695</v>
      </c>
      <c r="O847" s="64" t="s">
        <v>1696</v>
      </c>
    </row>
    <row r="848" spans="1:15" ht="33" customHeight="1">
      <c r="A848" s="218">
        <v>847</v>
      </c>
      <c r="B848" s="219" t="s">
        <v>2565</v>
      </c>
      <c r="C848" s="64" t="s">
        <v>2661</v>
      </c>
      <c r="D848" s="191" t="s">
        <v>2781</v>
      </c>
      <c r="E848" s="204" t="s">
        <v>1651</v>
      </c>
      <c r="F848" s="191" t="str">
        <f>VLOOKUP(MP_registro[[#This Row],[TAG]],'DB-EQUIPOS GEN'!$C$11:$H$833,2,0)</f>
        <v>Faja 1008 - Tolva de retorno de bagazo</v>
      </c>
      <c r="G848" s="191" t="str">
        <f>VLOOKUP(MP_registro[[#This Row],[TAG]],'DB-EQUIPOS GEN'!$C$11:$H$833,3,0)</f>
        <v>E. TERMICA</v>
      </c>
      <c r="H848" s="191" t="str">
        <f>VLOOKUP(MP_registro[[#This Row],[TAG]],'DB-EQUIPOS GEN'!$C$11:$H$833,4,0)</f>
        <v>TRANSPORTE DE BAGAZO</v>
      </c>
      <c r="I848" s="191" t="str">
        <f>VLOOKUP(MP_registro[[#This Row],[TAG]],'DB-EQUIPOS GEN'!$C$11:$H$833,5,0)</f>
        <v>FAJA TRANSPORTADORA 1008</v>
      </c>
      <c r="J848" s="191" t="str">
        <f>VLOOKUP(MP_registro[[#This Row],[TAG]],'DB-EQUIPOS GEN'!$C$11:$H$833,6,0)</f>
        <v>0805CV100</v>
      </c>
      <c r="K848" s="192">
        <v>44799</v>
      </c>
      <c r="L848" s="193" t="s">
        <v>247</v>
      </c>
      <c r="M84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48" s="201" t="s">
        <v>1664</v>
      </c>
      <c r="O848" s="64" t="s">
        <v>1696</v>
      </c>
    </row>
    <row r="849" spans="1:15" ht="33" customHeight="1">
      <c r="A849" s="218">
        <v>848</v>
      </c>
      <c r="B849" s="219" t="s">
        <v>2565</v>
      </c>
      <c r="C849" s="64" t="s">
        <v>2661</v>
      </c>
      <c r="D849" s="191" t="s">
        <v>2782</v>
      </c>
      <c r="E849" s="204" t="s">
        <v>1352</v>
      </c>
      <c r="F849" s="191" t="str">
        <f>VLOOKUP(MP_registro[[#This Row],[TAG]],'DB-EQUIPOS GEN'!$C$11:$H$833,2,0)</f>
        <v>Switch de la red FTE -  green</v>
      </c>
      <c r="G849" s="191" t="str">
        <f>VLOOKUP(MP_registro[[#This Row],[TAG]],'DB-EQUIPOS GEN'!$C$11:$H$833,3,0)</f>
        <v>E. ELECTRICA</v>
      </c>
      <c r="H849" s="191" t="str">
        <f>VLOOKUP(MP_registro[[#This Row],[TAG]],'DB-EQUIPOS GEN'!$C$11:$H$833,4,0)</f>
        <v>SISTEMA DE CONTROL DISTRIBUIDO</v>
      </c>
      <c r="I849" s="191" t="str">
        <f>VLOOKUP(MP_registro[[#This Row],[TAG]],'DB-EQUIPOS GEN'!$C$11:$H$833,5,0)</f>
        <v>SISTEMA DE CONTROL DISTRIBUIDO</v>
      </c>
      <c r="J849" s="191" t="str">
        <f>VLOOKUP(MP_registro[[#This Row],[TAG]],'DB-EQUIPOS GEN'!$C$11:$H$833,6,0)</f>
        <v>DCS</v>
      </c>
      <c r="K849" s="192">
        <v>44800</v>
      </c>
      <c r="L849" s="193" t="s">
        <v>248</v>
      </c>
      <c r="M849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849" s="201" t="s">
        <v>1664</v>
      </c>
      <c r="O849" s="64" t="s">
        <v>1696</v>
      </c>
    </row>
    <row r="850" spans="1:15" ht="33" customHeight="1">
      <c r="A850" s="218">
        <v>849</v>
      </c>
      <c r="B850" s="219" t="s">
        <v>2565</v>
      </c>
      <c r="C850" s="64" t="s">
        <v>2661</v>
      </c>
      <c r="D850" s="191" t="s">
        <v>2783</v>
      </c>
      <c r="E850" s="204" t="s">
        <v>1354</v>
      </c>
      <c r="F850" s="191" t="str">
        <f>VLOOKUP(MP_registro[[#This Row],[TAG]],'DB-EQUIPOS GEN'!$C$11:$H$833,2,0)</f>
        <v>Switch de la red FTE -  yellow</v>
      </c>
      <c r="G850" s="191" t="str">
        <f>VLOOKUP(MP_registro[[#This Row],[TAG]],'DB-EQUIPOS GEN'!$C$11:$H$833,3,0)</f>
        <v>E. ELECTRICA</v>
      </c>
      <c r="H850" s="191" t="str">
        <f>VLOOKUP(MP_registro[[#This Row],[TAG]],'DB-EQUIPOS GEN'!$C$11:$H$833,4,0)</f>
        <v>SISTEMA DE CONTROL DISTRIBUIDO</v>
      </c>
      <c r="I850" s="191" t="str">
        <f>VLOOKUP(MP_registro[[#This Row],[TAG]],'DB-EQUIPOS GEN'!$C$11:$H$833,5,0)</f>
        <v>SISTEMA DE CONTROL DISTRIBUIDO</v>
      </c>
      <c r="J850" s="191" t="str">
        <f>VLOOKUP(MP_registro[[#This Row],[TAG]],'DB-EQUIPOS GEN'!$C$11:$H$833,6,0)</f>
        <v>DCS</v>
      </c>
      <c r="K850" s="192">
        <v>44800</v>
      </c>
      <c r="L850" s="193" t="s">
        <v>248</v>
      </c>
      <c r="M850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850" s="201" t="s">
        <v>1664</v>
      </c>
      <c r="O850" s="64" t="s">
        <v>1696</v>
      </c>
    </row>
    <row r="851" spans="1:15" ht="33" customHeight="1">
      <c r="A851" s="218">
        <v>850</v>
      </c>
      <c r="B851" s="219" t="s">
        <v>2565</v>
      </c>
      <c r="C851" s="64" t="s">
        <v>2661</v>
      </c>
      <c r="D851" s="191" t="s">
        <v>2784</v>
      </c>
      <c r="E851" s="204" t="s">
        <v>2741</v>
      </c>
      <c r="F851" s="191" t="e">
        <f>VLOOKUP(MP_registro[[#This Row],[TAG]],'DB-EQUIPOS GEN'!$C$11:$H$833,2,0)</f>
        <v>#N/A</v>
      </c>
      <c r="G851" s="191" t="e">
        <f>VLOOKUP(MP_registro[[#This Row],[TAG]],'DB-EQUIPOS GEN'!$C$11:$H$833,3,0)</f>
        <v>#N/A</v>
      </c>
      <c r="H851" s="191" t="e">
        <f>VLOOKUP(MP_registro[[#This Row],[TAG]],'DB-EQUIPOS GEN'!$C$11:$H$833,4,0)</f>
        <v>#N/A</v>
      </c>
      <c r="I851" s="191" t="e">
        <f>VLOOKUP(MP_registro[[#This Row],[TAG]],'DB-EQUIPOS GEN'!$C$11:$H$833,5,0)</f>
        <v>#N/A</v>
      </c>
      <c r="J851" s="191" t="e">
        <f>VLOOKUP(MP_registro[[#This Row],[TAG]],'DB-EQUIPOS GEN'!$C$11:$H$833,6,0)</f>
        <v>#N/A</v>
      </c>
      <c r="K851" s="192">
        <v>44800</v>
      </c>
      <c r="L851" s="193" t="s">
        <v>245</v>
      </c>
      <c r="M85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51" s="201" t="s">
        <v>1664</v>
      </c>
      <c r="O851" s="64" t="s">
        <v>1696</v>
      </c>
    </row>
    <row r="852" spans="1:15" ht="33" customHeight="1">
      <c r="A852" s="218">
        <v>851</v>
      </c>
      <c r="B852" s="219" t="s">
        <v>2565</v>
      </c>
      <c r="C852" s="64" t="s">
        <v>2661</v>
      </c>
      <c r="D852" s="191" t="s">
        <v>2785</v>
      </c>
      <c r="E852" s="204" t="s">
        <v>2741</v>
      </c>
      <c r="F852" s="191" t="e">
        <f>VLOOKUP(MP_registro[[#This Row],[TAG]],'DB-EQUIPOS GEN'!$C$11:$H$833,2,0)</f>
        <v>#N/A</v>
      </c>
      <c r="G852" s="191" t="e">
        <f>VLOOKUP(MP_registro[[#This Row],[TAG]],'DB-EQUIPOS GEN'!$C$11:$H$833,3,0)</f>
        <v>#N/A</v>
      </c>
      <c r="H852" s="191" t="e">
        <f>VLOOKUP(MP_registro[[#This Row],[TAG]],'DB-EQUIPOS GEN'!$C$11:$H$833,4,0)</f>
        <v>#N/A</v>
      </c>
      <c r="I852" s="191" t="e">
        <f>VLOOKUP(MP_registro[[#This Row],[TAG]],'DB-EQUIPOS GEN'!$C$11:$H$833,5,0)</f>
        <v>#N/A</v>
      </c>
      <c r="J852" s="191" t="e">
        <f>VLOOKUP(MP_registro[[#This Row],[TAG]],'DB-EQUIPOS GEN'!$C$11:$H$833,6,0)</f>
        <v>#N/A</v>
      </c>
      <c r="K852" s="192">
        <v>44800</v>
      </c>
      <c r="L852" s="193" t="s">
        <v>247</v>
      </c>
      <c r="M85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52" s="201" t="s">
        <v>1664</v>
      </c>
      <c r="O852" s="64" t="s">
        <v>1696</v>
      </c>
    </row>
    <row r="853" spans="1:15" ht="33" customHeight="1">
      <c r="A853" s="218">
        <v>852</v>
      </c>
      <c r="B853" s="219" t="s">
        <v>2565</v>
      </c>
      <c r="C853" s="64" t="s">
        <v>2661</v>
      </c>
      <c r="D853" s="191" t="s">
        <v>2786</v>
      </c>
      <c r="E853" s="204" t="s">
        <v>1644</v>
      </c>
      <c r="F853" s="191" t="str">
        <f>VLOOKUP(MP_registro[[#This Row],[TAG]],'DB-EQUIPOS GEN'!$C$11:$H$833,2,0)</f>
        <v>Explanada de Turbina Triveni</v>
      </c>
      <c r="G853" s="191" t="str">
        <f>VLOOKUP(MP_registro[[#This Row],[TAG]],'DB-EQUIPOS GEN'!$C$11:$H$833,3,0)</f>
        <v>E. ELECTRICA</v>
      </c>
      <c r="H853" s="191" t="str">
        <f>VLOOKUP(MP_registro[[#This Row],[TAG]],'DB-EQUIPOS GEN'!$C$11:$H$833,4,0)</f>
        <v>GENERACIÓN ENERG. ELEC. TURBO GENERADOR</v>
      </c>
      <c r="I853" s="191" t="str">
        <f>VLOOKUP(MP_registro[[#This Row],[TAG]],'DB-EQUIPOS GEN'!$C$11:$H$833,5,0)</f>
        <v>TURBOGENERADOR TRIVENI 23.2 MW</v>
      </c>
      <c r="J853" s="191" t="str">
        <f>VLOOKUP(MP_registro[[#This Row],[TAG]],'DB-EQUIPOS GEN'!$C$11:$H$833,6,0)</f>
        <v>0430TG020</v>
      </c>
      <c r="K853" s="192">
        <v>44801</v>
      </c>
      <c r="L853" s="193" t="s">
        <v>245</v>
      </c>
      <c r="M85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53" s="201" t="s">
        <v>1664</v>
      </c>
      <c r="O853" s="64" t="s">
        <v>1696</v>
      </c>
    </row>
    <row r="854" spans="1:15" ht="33" customHeight="1">
      <c r="A854" s="218">
        <v>853</v>
      </c>
      <c r="B854" s="219" t="s">
        <v>2565</v>
      </c>
      <c r="C854" s="64" t="s">
        <v>2661</v>
      </c>
      <c r="D854" s="191" t="s">
        <v>2787</v>
      </c>
      <c r="E854" s="204" t="s">
        <v>1647</v>
      </c>
      <c r="F854" s="191" t="str">
        <f>VLOOKUP(MP_registro[[#This Row],[TAG]],'DB-EQUIPOS GEN'!$C$11:$H$833,2,0)</f>
        <v>Explanada frontal de Turbina Triveni</v>
      </c>
      <c r="G854" s="191" t="str">
        <f>VLOOKUP(MP_registro[[#This Row],[TAG]],'DB-EQUIPOS GEN'!$C$11:$H$833,3,0)</f>
        <v>E. ELECTRICA</v>
      </c>
      <c r="H854" s="191" t="str">
        <f>VLOOKUP(MP_registro[[#This Row],[TAG]],'DB-EQUIPOS GEN'!$C$11:$H$833,4,0)</f>
        <v>GENERACIÓN ENERG. ELEC. TURBO GENERADOR</v>
      </c>
      <c r="I854" s="191" t="str">
        <f>VLOOKUP(MP_registro[[#This Row],[TAG]],'DB-EQUIPOS GEN'!$C$11:$H$833,5,0)</f>
        <v>TURBOGENERADOR TRIVENI 23.2 MW</v>
      </c>
      <c r="J854" s="191" t="str">
        <f>VLOOKUP(MP_registro[[#This Row],[TAG]],'DB-EQUIPOS GEN'!$C$11:$H$833,6,0)</f>
        <v>0430TG020</v>
      </c>
      <c r="K854" s="192">
        <v>44801</v>
      </c>
      <c r="L854" s="193" t="s">
        <v>247</v>
      </c>
      <c r="M85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54" s="201" t="s">
        <v>1664</v>
      </c>
      <c r="O854" s="64" t="s">
        <v>1696</v>
      </c>
    </row>
    <row r="855" spans="1:15" ht="33" customHeight="1">
      <c r="A855" s="218">
        <v>854</v>
      </c>
      <c r="B855" s="219" t="s">
        <v>2565</v>
      </c>
      <c r="C855" s="64" t="s">
        <v>2661</v>
      </c>
      <c r="D855" s="191" t="s">
        <v>2788</v>
      </c>
      <c r="E855" s="204" t="s">
        <v>1326</v>
      </c>
      <c r="F855" s="191" t="str">
        <f>VLOOKUP(MP_registro[[#This Row],[TAG]],'DB-EQUIPOS GEN'!$C$11:$H$833,2,0)</f>
        <v>Tablero de periferia en Asset Process Houses</v>
      </c>
      <c r="G855" s="191" t="str">
        <f>VLOOKUP(MP_registro[[#This Row],[TAG]],'DB-EQUIPOS GEN'!$C$11:$H$833,3,0)</f>
        <v>PRODUCCION</v>
      </c>
      <c r="H855" s="191" t="str">
        <f>VLOOKUP(MP_registro[[#This Row],[TAG]],'DB-EQUIPOS GEN'!$C$11:$H$833,4,0)</f>
        <v>EVAPORACION DE JUGO</v>
      </c>
      <c r="I855" s="191" t="str">
        <f>VLOOKUP(MP_registro[[#This Row],[TAG]],'DB-EQUIPOS GEN'!$C$11:$H$833,5,0)</f>
        <v>EVAPORADOR FFE 1</v>
      </c>
      <c r="J855" s="191" t="str">
        <f>VLOOKUP(MP_registro[[#This Row],[TAG]],'DB-EQUIPOS GEN'!$C$11:$H$833,6,0)</f>
        <v>0320EV010</v>
      </c>
      <c r="K855" s="192">
        <v>44802</v>
      </c>
      <c r="L855" s="193" t="s">
        <v>248</v>
      </c>
      <c r="M855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855" s="201" t="s">
        <v>1664</v>
      </c>
      <c r="O855" s="64" t="s">
        <v>1696</v>
      </c>
    </row>
    <row r="856" spans="1:15" ht="33" customHeight="1">
      <c r="A856" s="218">
        <v>855</v>
      </c>
      <c r="B856" s="219" t="s">
        <v>2565</v>
      </c>
      <c r="C856" s="64" t="s">
        <v>2661</v>
      </c>
      <c r="D856" s="191" t="s">
        <v>2789</v>
      </c>
      <c r="E856" s="204" t="s">
        <v>1327</v>
      </c>
      <c r="F856" s="191" t="str">
        <f>VLOOKUP(MP_registro[[#This Row],[TAG]],'DB-EQUIPOS GEN'!$C$11:$H$833,2,0)</f>
        <v>Tablero de periferia en Asset Process Houses</v>
      </c>
      <c r="G856" s="191" t="str">
        <f>VLOOKUP(MP_registro[[#This Row],[TAG]],'DB-EQUIPOS GEN'!$C$11:$H$833,3,0)</f>
        <v>PRODUCCION</v>
      </c>
      <c r="H856" s="191" t="str">
        <f>VLOOKUP(MP_registro[[#This Row],[TAG]],'DB-EQUIPOS GEN'!$C$11:$H$833,4,0)</f>
        <v>EVAPORACION DE JUGO</v>
      </c>
      <c r="I856" s="191" t="str">
        <f>VLOOKUP(MP_registro[[#This Row],[TAG]],'DB-EQUIPOS GEN'!$C$11:$H$833,5,0)</f>
        <v>EVAPORADOR FFE 1</v>
      </c>
      <c r="J856" s="191" t="str">
        <f>VLOOKUP(MP_registro[[#This Row],[TAG]],'DB-EQUIPOS GEN'!$C$11:$H$833,6,0)</f>
        <v>0320EV010</v>
      </c>
      <c r="K856" s="192">
        <v>44802</v>
      </c>
      <c r="L856" s="193" t="s">
        <v>248</v>
      </c>
      <c r="M856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856" s="201" t="s">
        <v>1664</v>
      </c>
      <c r="O856" s="64" t="s">
        <v>1696</v>
      </c>
    </row>
    <row r="857" spans="1:15" ht="33" customHeight="1">
      <c r="A857" s="218">
        <v>856</v>
      </c>
      <c r="B857" s="219" t="s">
        <v>2565</v>
      </c>
      <c r="C857" s="64" t="s">
        <v>2661</v>
      </c>
      <c r="D857" s="191" t="s">
        <v>2790</v>
      </c>
      <c r="E857" s="204" t="s">
        <v>1657</v>
      </c>
      <c r="F857" s="191" t="str">
        <f>VLOOKUP(MP_registro[[#This Row],[TAG]],'DB-EQUIPOS GEN'!$C$11:$H$833,2,0)</f>
        <v>Pug mill B, Cabezal C de centrifugas continuas</v>
      </c>
      <c r="G857" s="191" t="str">
        <f>VLOOKUP(MP_registro[[#This Row],[TAG]],'DB-EQUIPOS GEN'!$C$11:$H$833,3,0)</f>
        <v>PRODUCCION</v>
      </c>
      <c r="H857" s="191" t="str">
        <f>VLOOKUP(MP_registro[[#This Row],[TAG]],'DB-EQUIPOS GEN'!$C$11:$H$833,4,0)</f>
        <v>CENTRIFUGACIÓN DE AZÚCAR</v>
      </c>
      <c r="I857" s="191" t="str">
        <f>VLOOKUP(MP_registro[[#This Row],[TAG]],'DB-EQUIPOS GEN'!$C$11:$H$833,5,0)</f>
        <v>PUG MILL - B</v>
      </c>
      <c r="J857" s="191" t="str">
        <f>VLOOKUP(MP_registro[[#This Row],[TAG]],'DB-EQUIPOS GEN'!$C$11:$H$833,6,0)</f>
        <v>0345MM020</v>
      </c>
      <c r="K857" s="192">
        <v>44802</v>
      </c>
      <c r="L857" s="193" t="s">
        <v>245</v>
      </c>
      <c r="M85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57" s="201" t="s">
        <v>1664</v>
      </c>
      <c r="O857" s="64" t="s">
        <v>1696</v>
      </c>
    </row>
    <row r="858" spans="1:15" ht="33" customHeight="1">
      <c r="A858" s="218">
        <v>857</v>
      </c>
      <c r="B858" s="219" t="s">
        <v>2565</v>
      </c>
      <c r="C858" s="64" t="s">
        <v>2661</v>
      </c>
      <c r="D858" s="191" t="s">
        <v>2791</v>
      </c>
      <c r="E858" s="204" t="s">
        <v>1653</v>
      </c>
      <c r="F858" s="191" t="str">
        <f>VLOOKUP(MP_registro[[#This Row],[TAG]],'DB-EQUIPOS GEN'!$C$11:$H$833,2,0)</f>
        <v>Operación del desviador de bagazo</v>
      </c>
      <c r="G858" s="191" t="str">
        <f>VLOOKUP(MP_registro[[#This Row],[TAG]],'DB-EQUIPOS GEN'!$C$11:$H$833,3,0)</f>
        <v>E. TERMICA</v>
      </c>
      <c r="H858" s="191" t="str">
        <f>VLOOKUP(MP_registro[[#This Row],[TAG]],'DB-EQUIPOS GEN'!$C$11:$H$833,4,0)</f>
        <v>TRANSPORTE DE BAGAZO</v>
      </c>
      <c r="I858" s="191" t="str">
        <f>VLOOKUP(MP_registro[[#This Row],[TAG]],'DB-EQUIPOS GEN'!$C$11:$H$833,5,0)</f>
        <v>FAJA TRANSPORTADORA 1004</v>
      </c>
      <c r="J858" s="191" t="str">
        <f>VLOOKUP(MP_registro[[#This Row],[TAG]],'DB-EQUIPOS GEN'!$C$11:$H$833,6,0)</f>
        <v>0805CV070</v>
      </c>
      <c r="K858" s="192">
        <v>44802</v>
      </c>
      <c r="L858" s="193" t="s">
        <v>247</v>
      </c>
      <c r="M85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58" s="201" t="s">
        <v>1664</v>
      </c>
      <c r="O858" s="64" t="s">
        <v>1696</v>
      </c>
    </row>
    <row r="859" spans="1:15" ht="33" customHeight="1">
      <c r="A859" s="218">
        <v>858</v>
      </c>
      <c r="B859" s="219" t="s">
        <v>2565</v>
      </c>
      <c r="C859" s="64" t="s">
        <v>2661</v>
      </c>
      <c r="D859" s="191" t="s">
        <v>2792</v>
      </c>
      <c r="E859" s="204" t="s">
        <v>1655</v>
      </c>
      <c r="F859" s="191" t="str">
        <f>VLOOKUP(MP_registro[[#This Row],[TAG]],'DB-EQUIPOS GEN'!$C$11:$H$833,2,0)</f>
        <v>Vista global de planta de osmosis</v>
      </c>
      <c r="G859" s="191" t="str">
        <f>VLOOKUP(MP_registro[[#This Row],[TAG]],'DB-EQUIPOS GEN'!$C$11:$H$833,3,0)</f>
        <v>E. TERMICA</v>
      </c>
      <c r="H859" s="191" t="str">
        <f>VLOOKUP(MP_registro[[#This Row],[TAG]],'DB-EQUIPOS GEN'!$C$11:$H$833,4,0)</f>
        <v>PLANTA TRATAMIENTO OSMOSIS INVERSA</v>
      </c>
      <c r="I859" s="191" t="str">
        <f>VLOOKUP(MP_registro[[#This Row],[TAG]],'DB-EQUIPOS GEN'!$C$11:$H$833,5,0)</f>
        <v>PLANTA DE OSMOSIS INVERSA</v>
      </c>
      <c r="J859" s="191" t="str">
        <f>VLOOKUP(MP_registro[[#This Row],[TAG]],'DB-EQUIPOS GEN'!$C$11:$H$833,6,0)</f>
        <v>0425OI101</v>
      </c>
      <c r="K859" s="192">
        <v>44802</v>
      </c>
      <c r="L859" s="193" t="s">
        <v>245</v>
      </c>
      <c r="M85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59" s="201" t="s">
        <v>1664</v>
      </c>
      <c r="O859" s="64" t="s">
        <v>1696</v>
      </c>
    </row>
    <row r="860" spans="1:15" ht="33" customHeight="1">
      <c r="A860" s="218">
        <v>859</v>
      </c>
      <c r="B860" s="219" t="s">
        <v>2565</v>
      </c>
      <c r="C860" s="64" t="s">
        <v>2661</v>
      </c>
      <c r="D860" s="191" t="s">
        <v>2793</v>
      </c>
      <c r="E860" s="204" t="s">
        <v>750</v>
      </c>
      <c r="F860" s="191" t="str">
        <f>VLOOKUP(MP_registro[[#This Row],[TAG]],'DB-EQUIPOS GEN'!$C$11:$H$833,2,0)</f>
        <v>Brix de masa B - Celda 1</v>
      </c>
      <c r="G860" s="191" t="str">
        <f>VLOOKUP(MP_registro[[#This Row],[TAG]],'DB-EQUIPOS GEN'!$C$11:$H$833,3,0)</f>
        <v>PRODUCCION</v>
      </c>
      <c r="H860" s="191" t="str">
        <f>VLOOKUP(MP_registro[[#This Row],[TAG]],'DB-EQUIPOS GEN'!$C$11:$H$833,4,0)</f>
        <v>CRISTALIZACION POR COCCION</v>
      </c>
      <c r="I860" s="191" t="str">
        <f>VLOOKUP(MP_registro[[#This Row],[TAG]],'DB-EQUIPOS GEN'!$C$11:$H$833,5,0)</f>
        <v xml:space="preserve">TACHO CONTINUO B </v>
      </c>
      <c r="J860" s="191" t="str">
        <f>VLOOKUP(MP_registro[[#This Row],[TAG]],'DB-EQUIPOS GEN'!$C$11:$H$833,6,0)</f>
        <v xml:space="preserve"> 0335HX230</v>
      </c>
      <c r="K860" s="192">
        <v>44803</v>
      </c>
      <c r="L860" s="193" t="s">
        <v>245</v>
      </c>
      <c r="M86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60" s="201" t="s">
        <v>1664</v>
      </c>
      <c r="O860" s="64" t="s">
        <v>1696</v>
      </c>
    </row>
    <row r="861" spans="1:15" ht="33" customHeight="1">
      <c r="A861" s="218">
        <v>860</v>
      </c>
      <c r="B861" s="219" t="s">
        <v>2565</v>
      </c>
      <c r="C861" s="64" t="s">
        <v>2661</v>
      </c>
      <c r="D861" s="191" t="s">
        <v>2794</v>
      </c>
      <c r="E861" s="204" t="s">
        <v>752</v>
      </c>
      <c r="F861" s="191" t="str">
        <f>VLOOKUP(MP_registro[[#This Row],[TAG]],'DB-EQUIPOS GEN'!$C$11:$H$833,2,0)</f>
        <v>Brix de masa B - Celda 2</v>
      </c>
      <c r="G861" s="191" t="str">
        <f>VLOOKUP(MP_registro[[#This Row],[TAG]],'DB-EQUIPOS GEN'!$C$11:$H$833,3,0)</f>
        <v>PRODUCCION</v>
      </c>
      <c r="H861" s="191" t="str">
        <f>VLOOKUP(MP_registro[[#This Row],[TAG]],'DB-EQUIPOS GEN'!$C$11:$H$833,4,0)</f>
        <v>CRISTALIZACION POR COCCION</v>
      </c>
      <c r="I861" s="191" t="str">
        <f>VLOOKUP(MP_registro[[#This Row],[TAG]],'DB-EQUIPOS GEN'!$C$11:$H$833,5,0)</f>
        <v xml:space="preserve">TACHO CONTINUO B </v>
      </c>
      <c r="J861" s="191" t="str">
        <f>VLOOKUP(MP_registro[[#This Row],[TAG]],'DB-EQUIPOS GEN'!$C$11:$H$833,6,0)</f>
        <v xml:space="preserve"> 0335HX230</v>
      </c>
      <c r="K861" s="192">
        <v>44803</v>
      </c>
      <c r="L861" s="193" t="s">
        <v>245</v>
      </c>
      <c r="M86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61" s="201" t="s">
        <v>1664</v>
      </c>
      <c r="O861" s="64" t="s">
        <v>1696</v>
      </c>
    </row>
    <row r="862" spans="1:15" ht="33" customHeight="1">
      <c r="A862" s="218">
        <v>861</v>
      </c>
      <c r="B862" s="219" t="s">
        <v>2565</v>
      </c>
      <c r="C862" s="64" t="s">
        <v>2661</v>
      </c>
      <c r="D862" s="191" t="s">
        <v>2795</v>
      </c>
      <c r="E862" s="204"/>
      <c r="F862" s="191" t="e">
        <f>VLOOKUP(MP_registro[[#This Row],[TAG]],'DB-EQUIPOS GEN'!$C$11:$H$833,2,0)</f>
        <v>#N/A</v>
      </c>
      <c r="G862" s="191" t="e">
        <f>VLOOKUP(MP_registro[[#This Row],[TAG]],'DB-EQUIPOS GEN'!$C$11:$H$833,3,0)</f>
        <v>#N/A</v>
      </c>
      <c r="H862" s="191" t="e">
        <f>VLOOKUP(MP_registro[[#This Row],[TAG]],'DB-EQUIPOS GEN'!$C$11:$H$833,4,0)</f>
        <v>#N/A</v>
      </c>
      <c r="I862" s="191" t="e">
        <f>VLOOKUP(MP_registro[[#This Row],[TAG]],'DB-EQUIPOS GEN'!$C$11:$H$833,5,0)</f>
        <v>#N/A</v>
      </c>
      <c r="J862" s="191" t="e">
        <f>VLOOKUP(MP_registro[[#This Row],[TAG]],'DB-EQUIPOS GEN'!$C$11:$H$833,6,0)</f>
        <v>#N/A</v>
      </c>
      <c r="K862" s="192">
        <v>44803</v>
      </c>
      <c r="L862" s="193" t="s">
        <v>247</v>
      </c>
      <c r="M86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62" s="201" t="s">
        <v>1664</v>
      </c>
      <c r="O862" s="64" t="s">
        <v>1696</v>
      </c>
    </row>
    <row r="863" spans="1:15" ht="33" customHeight="1">
      <c r="A863" s="218">
        <v>862</v>
      </c>
      <c r="B863" s="219" t="s">
        <v>2565</v>
      </c>
      <c r="C863" s="64" t="s">
        <v>2661</v>
      </c>
      <c r="D863" s="191" t="s">
        <v>2796</v>
      </c>
      <c r="E863" s="204" t="s">
        <v>1640</v>
      </c>
      <c r="F863" s="191" t="str">
        <f>VLOOKUP(MP_registro[[#This Row],[TAG]],'DB-EQUIPOS GEN'!$C$11:$H$833,2,0)</f>
        <v>Conductor de alimentación a difusor y retorno</v>
      </c>
      <c r="G863" s="191" t="str">
        <f>VLOOKUP(MP_registro[[#This Row],[TAG]],'DB-EQUIPOS GEN'!$C$11:$H$833,3,0)</f>
        <v>EXTRACCION</v>
      </c>
      <c r="H863" s="191" t="str">
        <f>VLOOKUP(MP_registro[[#This Row],[TAG]],'DB-EQUIPOS GEN'!$C$11:$H$833,4,0)</f>
        <v>PREPARACIÓN DE CAÑA</v>
      </c>
      <c r="I863" s="191" t="str">
        <f>VLOOKUP(MP_registro[[#This Row],[TAG]],'DB-EQUIPOS GEN'!$C$11:$H$833,5,0)</f>
        <v>CONDUCTOR DE RETORNO</v>
      </c>
      <c r="J863" s="191" t="str">
        <f>VLOOKUP(MP_registro[[#This Row],[TAG]],'DB-EQUIPOS GEN'!$C$11:$H$833,6,0)</f>
        <v>0115CV090</v>
      </c>
      <c r="K863" s="192">
        <v>44803</v>
      </c>
      <c r="L863" s="193" t="s">
        <v>245</v>
      </c>
      <c r="M86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63" s="201" t="s">
        <v>1664</v>
      </c>
      <c r="O863" s="64" t="s">
        <v>1696</v>
      </c>
    </row>
    <row r="864" spans="1:15" ht="33" customHeight="1">
      <c r="A864" s="218">
        <v>863</v>
      </c>
      <c r="B864" s="219" t="s">
        <v>2565</v>
      </c>
      <c r="C864" s="64" t="s">
        <v>2661</v>
      </c>
      <c r="D864" s="191" t="s">
        <v>2797</v>
      </c>
      <c r="E864" s="204" t="s">
        <v>1641</v>
      </c>
      <c r="F864" s="191" t="str">
        <f>VLOOKUP(MP_registro[[#This Row],[TAG]],'DB-EQUIPOS GEN'!$C$11:$H$833,2,0)</f>
        <v>Mesa de caña</v>
      </c>
      <c r="G864" s="191" t="str">
        <f>VLOOKUP(MP_registro[[#This Row],[TAG]],'DB-EQUIPOS GEN'!$C$11:$H$833,3,0)</f>
        <v>EXTRACCION</v>
      </c>
      <c r="H864" s="191" t="str">
        <f>VLOOKUP(MP_registro[[#This Row],[TAG]],'DB-EQUIPOS GEN'!$C$11:$H$833,4,0)</f>
        <v>RECEPCIÓN DE CAÑA</v>
      </c>
      <c r="I864" s="191" t="str">
        <f>VLOOKUP(MP_registro[[#This Row],[TAG]],'DB-EQUIPOS GEN'!$C$11:$H$833,5,0)</f>
        <v>MESA DE CAÑA</v>
      </c>
      <c r="J864" s="191" t="str">
        <f>VLOOKUP(MP_registro[[#This Row],[TAG]],'DB-EQUIPOS GEN'!$C$11:$H$833,6,0)</f>
        <v>0110FE019</v>
      </c>
      <c r="K864" s="192">
        <v>44803</v>
      </c>
      <c r="L864" s="193" t="s">
        <v>247</v>
      </c>
      <c r="M86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64" s="201" t="s">
        <v>1664</v>
      </c>
      <c r="O864" s="64" t="s">
        <v>1696</v>
      </c>
    </row>
    <row r="865" spans="1:15" ht="33" customHeight="1">
      <c r="A865" s="218">
        <v>864</v>
      </c>
      <c r="B865" s="219" t="s">
        <v>2565</v>
      </c>
      <c r="C865" s="64" t="s">
        <v>2661</v>
      </c>
      <c r="D865" s="191" t="s">
        <v>2798</v>
      </c>
      <c r="E865" s="204" t="s">
        <v>1642</v>
      </c>
      <c r="F865" s="191" t="str">
        <f>VLOOKUP(MP_registro[[#This Row],[TAG]],'DB-EQUIPOS GEN'!$C$11:$H$833,2,0)</f>
        <v>Salida de bagazo de molino secador</v>
      </c>
      <c r="G865" s="191" t="str">
        <f>VLOOKUP(MP_registro[[#This Row],[TAG]],'DB-EQUIPOS GEN'!$C$11:$H$833,3,0)</f>
        <v>EXTRACCION</v>
      </c>
      <c r="H865" s="191" t="str">
        <f>VLOOKUP(MP_registro[[#This Row],[TAG]],'DB-EQUIPOS GEN'!$C$11:$H$833,4,0)</f>
        <v>MOLINOS</v>
      </c>
      <c r="I865" s="191" t="str">
        <f>VLOOKUP(MP_registro[[#This Row],[TAG]],'DB-EQUIPOS GEN'!$C$11:$H$833,5,0)</f>
        <v>MOLINO SECADOR</v>
      </c>
      <c r="J865" s="191" t="str">
        <f>VLOOKUP(MP_registro[[#This Row],[TAG]],'DB-EQUIPOS GEN'!$C$11:$H$833,6,0)</f>
        <v>0210MM090</v>
      </c>
      <c r="K865" s="192">
        <v>44803</v>
      </c>
      <c r="L865" s="193" t="s">
        <v>245</v>
      </c>
      <c r="M86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65" s="201" t="s">
        <v>1664</v>
      </c>
      <c r="O865" s="64" t="s">
        <v>1696</v>
      </c>
    </row>
    <row r="866" spans="1:15" ht="33" customHeight="1">
      <c r="A866" s="218">
        <v>865</v>
      </c>
      <c r="B866" s="219" t="s">
        <v>2565</v>
      </c>
      <c r="C866" s="64" t="s">
        <v>2661</v>
      </c>
      <c r="D866" s="191" t="s">
        <v>2799</v>
      </c>
      <c r="E866" s="204" t="s">
        <v>1658</v>
      </c>
      <c r="F866" s="191" t="str">
        <f>VLOOKUP(MP_registro[[#This Row],[TAG]],'DB-EQUIPOS GEN'!$C$11:$H$833,2,0)</f>
        <v>Pug mill A - Centrifugas batch</v>
      </c>
      <c r="G866" s="191" t="str">
        <f>VLOOKUP(MP_registro[[#This Row],[TAG]],'DB-EQUIPOS GEN'!$C$11:$H$833,3,0)</f>
        <v>PRODUCCION</v>
      </c>
      <c r="H866" s="191" t="str">
        <f>VLOOKUP(MP_registro[[#This Row],[TAG]],'DB-EQUIPOS GEN'!$C$11:$H$833,4,0)</f>
        <v>CENTRIFUGACIÓN DE AZÚCAR</v>
      </c>
      <c r="I866" s="191" t="str">
        <f>VLOOKUP(MP_registro[[#This Row],[TAG]],'DB-EQUIPOS GEN'!$C$11:$H$833,5,0)</f>
        <v>PUG MILL - A</v>
      </c>
      <c r="J866" s="191" t="str">
        <f>VLOOKUP(MP_registro[[#This Row],[TAG]],'DB-EQUIPOS GEN'!$C$11:$H$833,6,0)</f>
        <v>0345MM010</v>
      </c>
      <c r="K866" s="192">
        <v>44803</v>
      </c>
      <c r="L866" s="193" t="s">
        <v>247</v>
      </c>
      <c r="M86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66" s="201" t="s">
        <v>1664</v>
      </c>
      <c r="O866" s="64" t="s">
        <v>1696</v>
      </c>
    </row>
    <row r="867" spans="1:15" ht="33" customHeight="1">
      <c r="A867" s="218">
        <v>866</v>
      </c>
      <c r="B867" s="219" t="s">
        <v>2565</v>
      </c>
      <c r="C867" s="64" t="s">
        <v>2661</v>
      </c>
      <c r="D867" s="191" t="s">
        <v>2800</v>
      </c>
      <c r="E867" s="204" t="s">
        <v>1659</v>
      </c>
      <c r="F867" s="191" t="str">
        <f>VLOOKUP(MP_registro[[#This Row],[TAG]],'DB-EQUIPOS GEN'!$C$11:$H$833,2,0)</f>
        <v>Vista global de tanques de jarabe 1,2 y 3</v>
      </c>
      <c r="G867" s="191" t="str">
        <f>VLOOKUP(MP_registro[[#This Row],[TAG]],'DB-EQUIPOS GEN'!$C$11:$H$833,3,0)</f>
        <v>PRODUCCION</v>
      </c>
      <c r="H867" s="191" t="str">
        <f>VLOOKUP(MP_registro[[#This Row],[TAG]],'DB-EQUIPOS GEN'!$C$11:$H$833,4,0)</f>
        <v>CRISTALIZACIÓN POR COCCIÓN</v>
      </c>
      <c r="I867" s="191" t="str">
        <f>VLOOKUP(MP_registro[[#This Row],[TAG]],'DB-EQUIPOS GEN'!$C$11:$H$833,5,0)</f>
        <v>TANQUE DE JARABE 1</v>
      </c>
      <c r="J867" s="191" t="str">
        <f>VLOOKUP(MP_registro[[#This Row],[TAG]],'DB-EQUIPOS GEN'!$C$11:$H$833,6,0)</f>
        <v>0335TK010</v>
      </c>
      <c r="K867" s="192">
        <v>44803</v>
      </c>
      <c r="L867" s="193" t="s">
        <v>245</v>
      </c>
      <c r="M86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67" s="201" t="s">
        <v>1664</v>
      </c>
      <c r="O867" s="64" t="s">
        <v>1696</v>
      </c>
    </row>
    <row r="868" spans="1:15" ht="33" customHeight="1">
      <c r="A868" s="218">
        <v>867</v>
      </c>
      <c r="B868" s="219" t="s">
        <v>2565</v>
      </c>
      <c r="C868" s="64" t="s">
        <v>2661</v>
      </c>
      <c r="D868" s="191" t="s">
        <v>2801</v>
      </c>
      <c r="E868" s="204" t="s">
        <v>1660</v>
      </c>
      <c r="F868" s="191" t="str">
        <f>VLOOKUP(MP_registro[[#This Row],[TAG]],'DB-EQUIPOS GEN'!$C$11:$H$833,2,0)</f>
        <v>Vista global de tacho continuo A.</v>
      </c>
      <c r="G868" s="191" t="str">
        <f>VLOOKUP(MP_registro[[#This Row],[TAG]],'DB-EQUIPOS GEN'!$C$11:$H$833,3,0)</f>
        <v>PRODUCCION</v>
      </c>
      <c r="H868" s="191" t="str">
        <f>VLOOKUP(MP_registro[[#This Row],[TAG]],'DB-EQUIPOS GEN'!$C$11:$H$833,4,0)</f>
        <v>CRISTALIZACIÓN POR COCCIÓN</v>
      </c>
      <c r="I868" s="191" t="str">
        <f>VLOOKUP(MP_registro[[#This Row],[TAG]],'DB-EQUIPOS GEN'!$C$11:$H$833,5,0)</f>
        <v>TACHO CONTINUO - A</v>
      </c>
      <c r="J868" s="191" t="str">
        <f>VLOOKUP(MP_registro[[#This Row],[TAG]],'DB-EQUIPOS GEN'!$C$11:$H$833,6,0)</f>
        <v>0335HX200</v>
      </c>
      <c r="K868" s="192">
        <v>44803</v>
      </c>
      <c r="L868" s="193" t="s">
        <v>247</v>
      </c>
      <c r="M86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68" s="201" t="s">
        <v>1664</v>
      </c>
      <c r="O868" s="64" t="s">
        <v>1696</v>
      </c>
    </row>
    <row r="869" spans="1:15" ht="33" customHeight="1">
      <c r="A869" s="218">
        <v>868</v>
      </c>
      <c r="B869" s="219" t="s">
        <v>2565</v>
      </c>
      <c r="C869" s="64" t="s">
        <v>2661</v>
      </c>
      <c r="D869" s="191" t="s">
        <v>2802</v>
      </c>
      <c r="E869" s="204" t="s">
        <v>1649</v>
      </c>
      <c r="F869" s="191" t="str">
        <f>VLOOKUP(MP_registro[[#This Row],[TAG]],'DB-EQUIPOS GEN'!$C$11:$H$833,2,0)</f>
        <v>Chute alimentadores de bagazo</v>
      </c>
      <c r="G869" s="191" t="str">
        <f>VLOOKUP(MP_registro[[#This Row],[TAG]],'DB-EQUIPOS GEN'!$C$11:$H$833,3,0)</f>
        <v>E. TERMICA</v>
      </c>
      <c r="H869" s="191" t="str">
        <f>VLOOKUP(MP_registro[[#This Row],[TAG]],'DB-EQUIPOS GEN'!$C$11:$H$833,4,0)</f>
        <v>TRANSPORTE DE BAGAZO</v>
      </c>
      <c r="I869" s="191" t="str">
        <f>VLOOKUP(MP_registro[[#This Row],[TAG]],'DB-EQUIPOS GEN'!$C$11:$H$833,5,0)</f>
        <v>ALIMENTADOR DE BAGAZO 1</v>
      </c>
      <c r="J869" s="191" t="str">
        <f>VLOOKUP(MP_registro[[#This Row],[TAG]],'DB-EQUIPOS GEN'!$C$11:$H$833,6,0)</f>
        <v>0405RV240</v>
      </c>
      <c r="K869" s="192">
        <v>44803</v>
      </c>
      <c r="L869" s="193"/>
      <c r="M869" s="77"/>
      <c r="N869" s="201" t="s">
        <v>1695</v>
      </c>
      <c r="O869" s="64" t="s">
        <v>1696</v>
      </c>
    </row>
    <row r="870" spans="1:15" ht="33" customHeight="1">
      <c r="A870" s="218">
        <v>869</v>
      </c>
      <c r="B870" s="219" t="s">
        <v>2565</v>
      </c>
      <c r="C870" s="64" t="s">
        <v>2661</v>
      </c>
      <c r="D870" s="191" t="s">
        <v>2803</v>
      </c>
      <c r="E870" s="204" t="s">
        <v>1656</v>
      </c>
      <c r="F870" s="191" t="str">
        <f>VLOOKUP(MP_registro[[#This Row],[TAG]],'DB-EQUIPOS GEN'!$C$11:$H$833,2,0)</f>
        <v>Descarga de centrifugas continuas</v>
      </c>
      <c r="G870" s="191" t="str">
        <f>VLOOKUP(MP_registro[[#This Row],[TAG]],'DB-EQUIPOS GEN'!$C$11:$H$833,3,0)</f>
        <v>PRODUCCION</v>
      </c>
      <c r="H870" s="191" t="str">
        <f>VLOOKUP(MP_registro[[#This Row],[TAG]],'DB-EQUIPOS GEN'!$C$11:$H$833,4,0)</f>
        <v>CENTRIFUGACIÓN DE AZÚCAR</v>
      </c>
      <c r="I870" s="191" t="str">
        <f>VLOOKUP(MP_registro[[#This Row],[TAG]],'DB-EQUIPOS GEN'!$C$11:$H$833,5,0)</f>
        <v>CENTRIFUGA CONTINUA 1 - C (FRANCIA)</v>
      </c>
      <c r="J870" s="191" t="str">
        <f>VLOOKUP(MP_registro[[#This Row],[TAG]],'DB-EQUIPOS GEN'!$C$11:$H$833,6,0)</f>
        <v>0345SQ160</v>
      </c>
      <c r="K870" s="192">
        <v>44804</v>
      </c>
      <c r="L870" s="193" t="s">
        <v>245</v>
      </c>
      <c r="M87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70" s="201" t="s">
        <v>1664</v>
      </c>
      <c r="O870" s="64" t="s">
        <v>1696</v>
      </c>
    </row>
    <row r="871" spans="1:15" ht="33" customHeight="1">
      <c r="A871" s="218">
        <v>870</v>
      </c>
      <c r="B871" s="219" t="s">
        <v>2565</v>
      </c>
      <c r="C871" s="64" t="s">
        <v>2661</v>
      </c>
      <c r="D871" s="191" t="s">
        <v>2804</v>
      </c>
      <c r="E871" s="204" t="s">
        <v>1661</v>
      </c>
      <c r="F871" s="191" t="str">
        <f>VLOOKUP(MP_registro[[#This Row],[TAG]],'DB-EQUIPOS GEN'!$C$11:$H$833,2,0)</f>
        <v xml:space="preserve">Faja de azucar seca a Silo </v>
      </c>
      <c r="G871" s="191" t="str">
        <f>VLOOKUP(MP_registro[[#This Row],[TAG]],'DB-EQUIPOS GEN'!$C$11:$H$833,3,0)</f>
        <v>PRODUCCION</v>
      </c>
      <c r="H871" s="191" t="str">
        <f>VLOOKUP(MP_registro[[#This Row],[TAG]],'DB-EQUIPOS GEN'!$C$11:$H$833,4,0)</f>
        <v>ENVASADO DE AZÚCAR RUBIA</v>
      </c>
      <c r="I871" s="191" t="str">
        <f>VLOOKUP(MP_registro[[#This Row],[TAG]],'DB-EQUIPOS GEN'!$C$11:$H$833,5,0)</f>
        <v>SILO DE AZUCAR 1</v>
      </c>
      <c r="J871" s="191" t="str">
        <f>VLOOKUP(MP_registro[[#This Row],[TAG]],'DB-EQUIPOS GEN'!$C$11:$H$833,6,0)</f>
        <v>0355BI090</v>
      </c>
      <c r="K871" s="192">
        <v>44804</v>
      </c>
      <c r="L871" s="193" t="s">
        <v>247</v>
      </c>
      <c r="M87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71" s="201" t="s">
        <v>1664</v>
      </c>
      <c r="O871" s="64" t="s">
        <v>1696</v>
      </c>
    </row>
    <row r="872" spans="1:15" ht="33" customHeight="1">
      <c r="A872" s="218">
        <v>871</v>
      </c>
      <c r="B872" s="219" t="s">
        <v>2565</v>
      </c>
      <c r="C872" s="64" t="s">
        <v>2661</v>
      </c>
      <c r="D872" s="191" t="s">
        <v>2805</v>
      </c>
      <c r="E872" s="204" t="s">
        <v>1648</v>
      </c>
      <c r="F872" s="191" t="str">
        <f>VLOOKUP(MP_registro[[#This Row],[TAG]],'DB-EQUIPOS GEN'!$C$11:$H$833,2,0)</f>
        <v>Nivel de agua en domo</v>
      </c>
      <c r="G872" s="191" t="str">
        <f>VLOOKUP(MP_registro[[#This Row],[TAG]],'DB-EQUIPOS GEN'!$C$11:$H$833,3,0)</f>
        <v>E. TERMICA</v>
      </c>
      <c r="H872" s="191" t="str">
        <f>VLOOKUP(MP_registro[[#This Row],[TAG]],'DB-EQUIPOS GEN'!$C$11:$H$833,4,0)</f>
        <v>GENERACIÓN DE VAPOR</v>
      </c>
      <c r="I872" s="191" t="str">
        <f>VLOOKUP(MP_registro[[#This Row],[TAG]],'DB-EQUIPOS GEN'!$C$11:$H$833,5,0)</f>
        <v>DOMO SUPERIOR</v>
      </c>
      <c r="J872" s="191" t="str">
        <f>VLOOKUP(MP_registro[[#This Row],[TAG]],'DB-EQUIPOS GEN'!$C$11:$H$833,6,0)</f>
        <v>0405DO020</v>
      </c>
      <c r="K872" s="192">
        <v>44804</v>
      </c>
      <c r="L872" s="193"/>
      <c r="M872" s="77"/>
      <c r="N872" s="201" t="s">
        <v>1695</v>
      </c>
      <c r="O872" s="64" t="s">
        <v>1696</v>
      </c>
    </row>
    <row r="873" spans="1:15" ht="33" customHeight="1">
      <c r="A873" s="218">
        <v>872</v>
      </c>
      <c r="B873" s="219" t="s">
        <v>2565</v>
      </c>
      <c r="C873" s="64" t="s">
        <v>2661</v>
      </c>
      <c r="D873" s="191" t="s">
        <v>2806</v>
      </c>
      <c r="E873" s="204" t="s">
        <v>1652</v>
      </c>
      <c r="F873" s="191" t="str">
        <f>VLOOKUP(MP_registro[[#This Row],[TAG]],'DB-EQUIPOS GEN'!$C$11:$H$833,2,0)</f>
        <v>Faja 1006A - Patio de Bagazo</v>
      </c>
      <c r="G873" s="191" t="str">
        <f>VLOOKUP(MP_registro[[#This Row],[TAG]],'DB-EQUIPOS GEN'!$C$11:$H$833,3,0)</f>
        <v>E. TERMICA</v>
      </c>
      <c r="H873" s="191" t="str">
        <f>VLOOKUP(MP_registro[[#This Row],[TAG]],'DB-EQUIPOS GEN'!$C$11:$H$833,4,0)</f>
        <v>TRANSPORTE DE BAGAZO</v>
      </c>
      <c r="I873" s="191" t="str">
        <f>VLOOKUP(MP_registro[[#This Row],[TAG]],'DB-EQUIPOS GEN'!$C$11:$H$833,5,0)</f>
        <v>FAJA TRANSPORTADORA 1006 A</v>
      </c>
      <c r="J873" s="191" t="str">
        <f>VLOOKUP(MP_registro[[#This Row],[TAG]],'DB-EQUIPOS GEN'!$C$11:$H$833,6,0)</f>
        <v>0805CV080</v>
      </c>
      <c r="K873" s="192">
        <v>44804</v>
      </c>
      <c r="L873" s="193" t="s">
        <v>245</v>
      </c>
      <c r="M87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73" s="201" t="s">
        <v>1664</v>
      </c>
      <c r="O873" s="64" t="s">
        <v>1696</v>
      </c>
    </row>
    <row r="874" spans="1:15" ht="33" customHeight="1">
      <c r="A874" s="231">
        <v>873</v>
      </c>
      <c r="B874" s="219" t="s">
        <v>2565</v>
      </c>
      <c r="C874" s="64" t="s">
        <v>2661</v>
      </c>
      <c r="D874" s="232" t="s">
        <v>2786</v>
      </c>
      <c r="E874" s="235" t="s">
        <v>1644</v>
      </c>
      <c r="F874" s="232" t="str">
        <f>VLOOKUP(MP_registro[[#This Row],[TAG]],'DB-EQUIPOS GEN'!$C$11:$H$833,2,0)</f>
        <v>Explanada de Turbina Triveni</v>
      </c>
      <c r="G874" s="232" t="str">
        <f>VLOOKUP(MP_registro[[#This Row],[TAG]],'DB-EQUIPOS GEN'!$C$11:$H$833,3,0)</f>
        <v>E. ELECTRICA</v>
      </c>
      <c r="H874" s="232" t="str">
        <f>VLOOKUP(MP_registro[[#This Row],[TAG]],'DB-EQUIPOS GEN'!$C$11:$H$833,4,0)</f>
        <v>GENERACIÓN ENERG. ELEC. TURBO GENERADOR</v>
      </c>
      <c r="I874" s="232" t="str">
        <f>VLOOKUP(MP_registro[[#This Row],[TAG]],'DB-EQUIPOS GEN'!$C$11:$H$833,5,0)</f>
        <v>TURBOGENERADOR TRIVENI 23.2 MW</v>
      </c>
      <c r="J874" s="232" t="str">
        <f>VLOOKUP(MP_registro[[#This Row],[TAG]],'DB-EQUIPOS GEN'!$C$11:$H$833,6,0)</f>
        <v>0430TG020</v>
      </c>
      <c r="K874" s="233">
        <v>44801</v>
      </c>
      <c r="L874" s="231" t="s">
        <v>245</v>
      </c>
      <c r="M87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74" s="201" t="s">
        <v>1664</v>
      </c>
      <c r="O874" s="64" t="s">
        <v>1696</v>
      </c>
    </row>
    <row r="875" spans="1:15" ht="33" customHeight="1">
      <c r="A875" s="231">
        <v>874</v>
      </c>
      <c r="B875" s="219" t="s">
        <v>2565</v>
      </c>
      <c r="C875" s="64" t="s">
        <v>2661</v>
      </c>
      <c r="D875" s="232" t="s">
        <v>2779</v>
      </c>
      <c r="E875" s="235" t="s">
        <v>1646</v>
      </c>
      <c r="F875" s="232" t="str">
        <f>VLOOKUP(MP_registro[[#This Row],[TAG]],'DB-EQUIPOS GEN'!$C$11:$H$833,2,0)</f>
        <v>Segundo nivel de Turbina TGM</v>
      </c>
      <c r="G875" s="232" t="str">
        <f>VLOOKUP(MP_registro[[#This Row],[TAG]],'DB-EQUIPOS GEN'!$C$11:$H$833,3,0)</f>
        <v>E. ELECTRICA</v>
      </c>
      <c r="H875" s="232" t="str">
        <f>VLOOKUP(MP_registro[[#This Row],[TAG]],'DB-EQUIPOS GEN'!$C$11:$H$833,4,0)</f>
        <v>SISTEMA DE ENFRIAMIENTO</v>
      </c>
      <c r="I875" s="232" t="str">
        <f>VLOOKUP(MP_registro[[#This Row],[TAG]],'DB-EQUIPOS GEN'!$C$11:$H$833,5,0)</f>
        <v>TORRE DE ENFRIAMIENTO MARLEY - TG TGM</v>
      </c>
      <c r="J875" s="232" t="str">
        <f>VLOOKUP(MP_registro[[#This Row],[TAG]],'DB-EQUIPOS GEN'!$C$11:$H$833,6,0)</f>
        <v>0430CT050</v>
      </c>
      <c r="K875" s="233">
        <v>44800</v>
      </c>
      <c r="L875" s="231" t="s">
        <v>247</v>
      </c>
      <c r="M875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75" s="201" t="s">
        <v>1664</v>
      </c>
      <c r="O875" s="64" t="s">
        <v>1696</v>
      </c>
    </row>
    <row r="876" spans="1:15" ht="33" customHeight="1">
      <c r="A876" s="231">
        <v>875</v>
      </c>
      <c r="B876" s="219" t="s">
        <v>2565</v>
      </c>
      <c r="C876" s="64" t="s">
        <v>2661</v>
      </c>
      <c r="D876" s="232" t="s">
        <v>2787</v>
      </c>
      <c r="E876" s="235" t="s">
        <v>1647</v>
      </c>
      <c r="F876" s="232" t="str">
        <f>VLOOKUP(MP_registro[[#This Row],[TAG]],'DB-EQUIPOS GEN'!$C$11:$H$833,2,0)</f>
        <v>Explanada frontal de Turbina Triveni</v>
      </c>
      <c r="G876" s="232" t="str">
        <f>VLOOKUP(MP_registro[[#This Row],[TAG]],'DB-EQUIPOS GEN'!$C$11:$H$833,3,0)</f>
        <v>E. ELECTRICA</v>
      </c>
      <c r="H876" s="232" t="str">
        <f>VLOOKUP(MP_registro[[#This Row],[TAG]],'DB-EQUIPOS GEN'!$C$11:$H$833,4,0)</f>
        <v>GENERACIÓN ENERG. ELEC. TURBO GENERADOR</v>
      </c>
      <c r="I876" s="232" t="str">
        <f>VLOOKUP(MP_registro[[#This Row],[TAG]],'DB-EQUIPOS GEN'!$C$11:$H$833,5,0)</f>
        <v>TURBOGENERADOR TRIVENI 23.2 MW</v>
      </c>
      <c r="J876" s="232" t="str">
        <f>VLOOKUP(MP_registro[[#This Row],[TAG]],'DB-EQUIPOS GEN'!$C$11:$H$833,6,0)</f>
        <v>0430TG020</v>
      </c>
      <c r="K876" s="233">
        <v>44800</v>
      </c>
      <c r="L876" s="231" t="s">
        <v>247</v>
      </c>
      <c r="M87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876" s="234" t="s">
        <v>1664</v>
      </c>
      <c r="O876" s="64" t="s">
        <v>1696</v>
      </c>
    </row>
    <row r="877" spans="1:15" ht="33" customHeight="1">
      <c r="A877" s="218">
        <v>873</v>
      </c>
      <c r="B877" s="219" t="s">
        <v>2842</v>
      </c>
      <c r="C877" s="64" t="s">
        <v>2843</v>
      </c>
      <c r="D877" s="191" t="s">
        <v>2844</v>
      </c>
      <c r="E877" s="204" t="s">
        <v>1653</v>
      </c>
      <c r="F877" s="191" t="str">
        <f>VLOOKUP(MP_registro[[#This Row],[TAG]],'DB-EQUIPOS GEN'!$C$11:$H$833,2,0)</f>
        <v>Operación del desviador de bagazo</v>
      </c>
      <c r="G877" s="191" t="str">
        <f>VLOOKUP(MP_registro[[#This Row],[TAG]],'DB-EQUIPOS GEN'!$C$11:$H$833,3,0)</f>
        <v>E. TERMICA</v>
      </c>
      <c r="H877" s="191" t="str">
        <f>VLOOKUP(MP_registro[[#This Row],[TAG]],'DB-EQUIPOS GEN'!$C$11:$H$833,4,0)</f>
        <v>TRANSPORTE DE BAGAZO</v>
      </c>
      <c r="I877" s="191" t="str">
        <f>VLOOKUP(MP_registro[[#This Row],[TAG]],'DB-EQUIPOS GEN'!$C$11:$H$833,5,0)</f>
        <v>FAJA TRANSPORTADORA 1004</v>
      </c>
      <c r="J877" s="191" t="str">
        <f>VLOOKUP(MP_registro[[#This Row],[TAG]],'DB-EQUIPOS GEN'!$C$11:$H$833,6,0)</f>
        <v>0805CV070</v>
      </c>
      <c r="K877" s="192">
        <v>44805</v>
      </c>
      <c r="L877" s="193" t="s">
        <v>245</v>
      </c>
      <c r="M87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77" s="201" t="s">
        <v>1664</v>
      </c>
      <c r="O877" s="64" t="s">
        <v>1696</v>
      </c>
    </row>
    <row r="878" spans="1:15" ht="33" customHeight="1">
      <c r="A878" s="218">
        <v>874</v>
      </c>
      <c r="B878" s="219" t="s">
        <v>2842</v>
      </c>
      <c r="C878" s="64" t="s">
        <v>2843</v>
      </c>
      <c r="D878" s="191" t="s">
        <v>2845</v>
      </c>
      <c r="E878" s="204" t="s">
        <v>1655</v>
      </c>
      <c r="F878" s="191" t="str">
        <f>VLOOKUP(MP_registro[[#This Row],[TAG]],'DB-EQUIPOS GEN'!$C$11:$H$833,2,0)</f>
        <v>Vista global de planta de osmosis</v>
      </c>
      <c r="G878" s="191" t="str">
        <f>VLOOKUP(MP_registro[[#This Row],[TAG]],'DB-EQUIPOS GEN'!$C$11:$H$833,3,0)</f>
        <v>E. TERMICA</v>
      </c>
      <c r="H878" s="191" t="str">
        <f>VLOOKUP(MP_registro[[#This Row],[TAG]],'DB-EQUIPOS GEN'!$C$11:$H$833,4,0)</f>
        <v>PLANTA TRATAMIENTO OSMOSIS INVERSA</v>
      </c>
      <c r="I878" s="191" t="str">
        <f>VLOOKUP(MP_registro[[#This Row],[TAG]],'DB-EQUIPOS GEN'!$C$11:$H$833,5,0)</f>
        <v>PLANTA DE OSMOSIS INVERSA</v>
      </c>
      <c r="J878" s="191" t="str">
        <f>VLOOKUP(MP_registro[[#This Row],[TAG]],'DB-EQUIPOS GEN'!$C$11:$H$833,6,0)</f>
        <v>0425OI101</v>
      </c>
      <c r="K878" s="192">
        <v>44805</v>
      </c>
      <c r="L878" s="193" t="s">
        <v>245</v>
      </c>
      <c r="M87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78" s="201" t="s">
        <v>1664</v>
      </c>
      <c r="O878" s="64" t="s">
        <v>1696</v>
      </c>
    </row>
    <row r="879" spans="1:15" ht="33" customHeight="1">
      <c r="A879" s="218">
        <v>875</v>
      </c>
      <c r="B879" s="219" t="s">
        <v>2842</v>
      </c>
      <c r="C879" s="64" t="s">
        <v>2843</v>
      </c>
      <c r="D879" s="191" t="s">
        <v>2808</v>
      </c>
      <c r="E879" s="204" t="s">
        <v>2416</v>
      </c>
      <c r="F879" s="191" t="str">
        <f>VLOOKUP(MP_registro[[#This Row],[TAG]],'DB-EQUIPOS GEN'!$C$11:$H$833,2,0)</f>
        <v>Vista Conductor Auxiliar - Superior</v>
      </c>
      <c r="G879" s="191" t="str">
        <f>VLOOKUP(MP_registro[[#This Row],[TAG]],'DB-EQUIPOS GEN'!$C$11:$H$833,3,0)</f>
        <v>EXTRACCION</v>
      </c>
      <c r="H879" s="191" t="str">
        <f>VLOOKUP(MP_registro[[#This Row],[TAG]],'DB-EQUIPOS GEN'!$C$11:$H$833,4,0)</f>
        <v>PREPARACIÓN DE CAÑA</v>
      </c>
      <c r="I879" s="191" t="str">
        <f>VLOOKUP(MP_registro[[#This Row],[TAG]],'DB-EQUIPOS GEN'!$C$11:$H$833,5,0)</f>
        <v>CONDUCTOR AUXILIAR DE CAÑA</v>
      </c>
      <c r="J879" s="191" t="str">
        <f>VLOOKUP(MP_registro[[#This Row],[TAG]],'DB-EQUIPOS GEN'!$C$11:$H$833,6,0)</f>
        <v>0115CV010</v>
      </c>
      <c r="K879" s="192">
        <v>44806</v>
      </c>
      <c r="L879" s="193" t="s">
        <v>249</v>
      </c>
      <c r="M87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879" s="201" t="s">
        <v>1664</v>
      </c>
      <c r="O879" s="64" t="s">
        <v>1696</v>
      </c>
    </row>
    <row r="880" spans="1:15" ht="33" customHeight="1">
      <c r="A880" s="218">
        <v>876</v>
      </c>
      <c r="B880" s="219" t="s">
        <v>2842</v>
      </c>
      <c r="C880" s="64" t="s">
        <v>2843</v>
      </c>
      <c r="D880" s="191" t="s">
        <v>2809</v>
      </c>
      <c r="E880" s="204" t="s">
        <v>2406</v>
      </c>
      <c r="F880" s="191" t="str">
        <f>VLOOKUP(MP_registro[[#This Row],[TAG]],'DB-EQUIPOS GEN'!$C$11:$H$833,2,0)</f>
        <v>Vista Mesa de Caña - Descarga de Tetras</v>
      </c>
      <c r="G880" s="191" t="str">
        <f>VLOOKUP(MP_registro[[#This Row],[TAG]],'DB-EQUIPOS GEN'!$C$11:$H$833,3,0)</f>
        <v>EXTRACCION</v>
      </c>
      <c r="H880" s="191" t="str">
        <f>VLOOKUP(MP_registro[[#This Row],[TAG]],'DB-EQUIPOS GEN'!$C$11:$H$833,4,0)</f>
        <v>RECEPCIÓN DE CAÑA</v>
      </c>
      <c r="I880" s="191" t="str">
        <f>VLOOKUP(MP_registro[[#This Row],[TAG]],'DB-EQUIPOS GEN'!$C$11:$H$833,5,0)</f>
        <v>MESA DE CAÑA</v>
      </c>
      <c r="J880" s="191" t="str">
        <f>VLOOKUP(MP_registro[[#This Row],[TAG]],'DB-EQUIPOS GEN'!$C$11:$H$833,6,0)</f>
        <v>0110FE019</v>
      </c>
      <c r="K880" s="192">
        <v>44806</v>
      </c>
      <c r="L880" s="193" t="s">
        <v>249</v>
      </c>
      <c r="M88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880" s="201" t="s">
        <v>1664</v>
      </c>
      <c r="O880" s="64" t="s">
        <v>1696</v>
      </c>
    </row>
    <row r="881" spans="1:15" ht="33" customHeight="1">
      <c r="A881" s="218">
        <v>877</v>
      </c>
      <c r="B881" s="219" t="s">
        <v>2842</v>
      </c>
      <c r="C881" s="64" t="s">
        <v>2843</v>
      </c>
      <c r="D881" s="191" t="s">
        <v>2810</v>
      </c>
      <c r="E881" s="204" t="s">
        <v>1643</v>
      </c>
      <c r="F881" s="191" t="str">
        <f>VLOOKUP(MP_registro[[#This Row],[TAG]],'DB-EQUIPOS GEN'!$C$11:$H$833,2,0)</f>
        <v>Nivelador de cama de bagazo en difusor</v>
      </c>
      <c r="G881" s="191" t="str">
        <f>VLOOKUP(MP_registro[[#This Row],[TAG]],'DB-EQUIPOS GEN'!$C$11:$H$833,3,0)</f>
        <v>EXTRACCION</v>
      </c>
      <c r="H881" s="191" t="str">
        <f>VLOOKUP(MP_registro[[#This Row],[TAG]],'DB-EQUIPOS GEN'!$C$11:$H$833,4,0)</f>
        <v>DIFUSOR</v>
      </c>
      <c r="I881" s="191" t="str">
        <f>VLOOKUP(MP_registro[[#This Row],[TAG]],'DB-EQUIPOS GEN'!$C$11:$H$833,5,0)</f>
        <v>CONDUCTOR TRANSVERSAL</v>
      </c>
      <c r="J881" s="191" t="str">
        <f>VLOOKUP(MP_registro[[#This Row],[TAG]],'DB-EQUIPOS GEN'!$C$11:$H$833,6,0)</f>
        <v>0205CV190</v>
      </c>
      <c r="K881" s="192">
        <v>44806</v>
      </c>
      <c r="L881" s="193" t="s">
        <v>249</v>
      </c>
      <c r="M88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881" s="201" t="s">
        <v>1664</v>
      </c>
      <c r="O881" s="64" t="s">
        <v>1696</v>
      </c>
    </row>
    <row r="882" spans="1:15" ht="33" customHeight="1">
      <c r="A882" s="218">
        <v>878</v>
      </c>
      <c r="B882" s="219" t="s">
        <v>2842</v>
      </c>
      <c r="C882" s="64" t="s">
        <v>2843</v>
      </c>
      <c r="D882" s="191" t="s">
        <v>2811</v>
      </c>
      <c r="E882" s="204" t="s">
        <v>1645</v>
      </c>
      <c r="F882" s="191" t="str">
        <f>VLOOKUP(MP_registro[[#This Row],[TAG]],'DB-EQUIPOS GEN'!$C$11:$H$833,2,0)</f>
        <v>Tamiz rotativo</v>
      </c>
      <c r="G882" s="191" t="str">
        <f>VLOOKUP(MP_registro[[#This Row],[TAG]],'DB-EQUIPOS GEN'!$C$11:$H$833,3,0)</f>
        <v>EXTRACCION</v>
      </c>
      <c r="H882" s="191" t="str">
        <f>VLOOKUP(MP_registro[[#This Row],[TAG]],'DB-EQUIPOS GEN'!$C$11:$H$833,4,0)</f>
        <v>DIFUSOR</v>
      </c>
      <c r="I882" s="191" t="str">
        <f>VLOOKUP(MP_registro[[#This Row],[TAG]],'DB-EQUIPOS GEN'!$C$11:$H$833,5,0)</f>
        <v>TAMIZ ROTATIVO</v>
      </c>
      <c r="J882" s="191" t="str">
        <f>VLOOKUP(MP_registro[[#This Row],[TAG]],'DB-EQUIPOS GEN'!$C$11:$H$833,6,0)</f>
        <v>0305FL010</v>
      </c>
      <c r="K882" s="192">
        <v>44806</v>
      </c>
      <c r="L882" s="193" t="s">
        <v>249</v>
      </c>
      <c r="M88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882" s="201" t="s">
        <v>1664</v>
      </c>
      <c r="O882" s="64" t="s">
        <v>1696</v>
      </c>
    </row>
    <row r="883" spans="1:15" ht="33" customHeight="1">
      <c r="A883" s="218">
        <v>879</v>
      </c>
      <c r="B883" s="219" t="s">
        <v>2842</v>
      </c>
      <c r="C883" s="64" t="s">
        <v>2843</v>
      </c>
      <c r="D883" s="191" t="s">
        <v>2812</v>
      </c>
      <c r="E883" s="204" t="s">
        <v>1646</v>
      </c>
      <c r="F883" s="191" t="str">
        <f>VLOOKUP(MP_registro[[#This Row],[TAG]],'DB-EQUIPOS GEN'!$C$11:$H$833,2,0)</f>
        <v>Segundo nivel de Turbina TGM</v>
      </c>
      <c r="G883" s="191" t="str">
        <f>VLOOKUP(MP_registro[[#This Row],[TAG]],'DB-EQUIPOS GEN'!$C$11:$H$833,3,0)</f>
        <v>E. ELECTRICA</v>
      </c>
      <c r="H883" s="191" t="str">
        <f>VLOOKUP(MP_registro[[#This Row],[TAG]],'DB-EQUIPOS GEN'!$C$11:$H$833,4,0)</f>
        <v>SISTEMA DE ENFRIAMIENTO</v>
      </c>
      <c r="I883" s="191" t="str">
        <f>VLOOKUP(MP_registro[[#This Row],[TAG]],'DB-EQUIPOS GEN'!$C$11:$H$833,5,0)</f>
        <v>TORRE DE ENFRIAMIENTO MARLEY - TG TGM</v>
      </c>
      <c r="J883" s="191" t="str">
        <f>VLOOKUP(MP_registro[[#This Row],[TAG]],'DB-EQUIPOS GEN'!$C$11:$H$833,6,0)</f>
        <v>0430CT050</v>
      </c>
      <c r="K883" s="192">
        <v>44806</v>
      </c>
      <c r="L883" s="193" t="s">
        <v>249</v>
      </c>
      <c r="M88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883" s="201" t="s">
        <v>1664</v>
      </c>
      <c r="O883" s="64" t="s">
        <v>1696</v>
      </c>
    </row>
    <row r="884" spans="1:15" ht="33" customHeight="1">
      <c r="A884" s="218">
        <v>880</v>
      </c>
      <c r="B884" s="219" t="s">
        <v>2842</v>
      </c>
      <c r="C884" s="64" t="s">
        <v>2843</v>
      </c>
      <c r="D884" s="191" t="s">
        <v>2846</v>
      </c>
      <c r="E884" s="204" t="s">
        <v>1650</v>
      </c>
      <c r="F884" s="191" t="str">
        <f>VLOOKUP(MP_registro[[#This Row],[TAG]],'DB-EQUIPOS GEN'!$C$11:$H$833,2,0)</f>
        <v>Faja 1003 - Conductor distribuidor de bagazo</v>
      </c>
      <c r="G884" s="191" t="str">
        <f>VLOOKUP(MP_registro[[#This Row],[TAG]],'DB-EQUIPOS GEN'!$C$11:$H$833,3,0)</f>
        <v>E. TERMICA</v>
      </c>
      <c r="H884" s="191" t="str">
        <f>VLOOKUP(MP_registro[[#This Row],[TAG]],'DB-EQUIPOS GEN'!$C$11:$H$833,4,0)</f>
        <v>TRANSPORTE DE BAGAZO</v>
      </c>
      <c r="I884" s="191" t="str">
        <f>VLOOKUP(MP_registro[[#This Row],[TAG]],'DB-EQUIPOS GEN'!$C$11:$H$833,5,0)</f>
        <v>TRANSPORTADOR DE BAGAZO 1003</v>
      </c>
      <c r="J884" s="191" t="str">
        <f>VLOOKUP(MP_registro[[#This Row],[TAG]],'DB-EQUIPOS GEN'!$C$11:$H$833,6,0)</f>
        <v>0805CV060</v>
      </c>
      <c r="K884" s="192">
        <v>44806</v>
      </c>
      <c r="L884" s="193" t="s">
        <v>245</v>
      </c>
      <c r="M88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84" s="201" t="s">
        <v>1664</v>
      </c>
      <c r="O884" s="64" t="s">
        <v>1696</v>
      </c>
    </row>
    <row r="885" spans="1:15" ht="33" customHeight="1">
      <c r="A885" s="218">
        <v>881</v>
      </c>
      <c r="B885" s="219" t="s">
        <v>2842</v>
      </c>
      <c r="C885" s="64" t="s">
        <v>2843</v>
      </c>
      <c r="D885" s="191" t="s">
        <v>2847</v>
      </c>
      <c r="E885" s="204" t="s">
        <v>1651</v>
      </c>
      <c r="F885" s="191" t="str">
        <f>VLOOKUP(MP_registro[[#This Row],[TAG]],'DB-EQUIPOS GEN'!$C$11:$H$833,2,0)</f>
        <v>Faja 1008 - Tolva de retorno de bagazo</v>
      </c>
      <c r="G885" s="191" t="str">
        <f>VLOOKUP(MP_registro[[#This Row],[TAG]],'DB-EQUIPOS GEN'!$C$11:$H$833,3,0)</f>
        <v>E. TERMICA</v>
      </c>
      <c r="H885" s="191" t="str">
        <f>VLOOKUP(MP_registro[[#This Row],[TAG]],'DB-EQUIPOS GEN'!$C$11:$H$833,4,0)</f>
        <v>TRANSPORTE DE BAGAZO</v>
      </c>
      <c r="I885" s="191" t="str">
        <f>VLOOKUP(MP_registro[[#This Row],[TAG]],'DB-EQUIPOS GEN'!$C$11:$H$833,5,0)</f>
        <v>FAJA TRANSPORTADORA 1008</v>
      </c>
      <c r="J885" s="191" t="str">
        <f>VLOOKUP(MP_registro[[#This Row],[TAG]],'DB-EQUIPOS GEN'!$C$11:$H$833,6,0)</f>
        <v>0805CV100</v>
      </c>
      <c r="K885" s="192">
        <v>44806</v>
      </c>
      <c r="L885" s="193" t="s">
        <v>245</v>
      </c>
      <c r="M88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85" s="201" t="s">
        <v>1664</v>
      </c>
      <c r="O885" s="64" t="s">
        <v>1696</v>
      </c>
    </row>
    <row r="886" spans="1:15" ht="33" customHeight="1">
      <c r="A886" s="218">
        <v>882</v>
      </c>
      <c r="B886" s="219" t="s">
        <v>2842</v>
      </c>
      <c r="C886" s="64" t="s">
        <v>2843</v>
      </c>
      <c r="D886" s="191" t="s">
        <v>2813</v>
      </c>
      <c r="E886" s="204" t="s">
        <v>1654</v>
      </c>
      <c r="F886" s="191" t="str">
        <f>VLOOKUP(MP_registro[[#This Row],[TAG]],'DB-EQUIPOS GEN'!$C$11:$H$833,2,0)</f>
        <v>Vista global de sala turbina TGM</v>
      </c>
      <c r="G886" s="191" t="str">
        <f>VLOOKUP(MP_registro[[#This Row],[TAG]],'DB-EQUIPOS GEN'!$C$11:$H$833,3,0)</f>
        <v>E. ELECTRICA</v>
      </c>
      <c r="H886" s="191" t="str">
        <f>VLOOKUP(MP_registro[[#This Row],[TAG]],'DB-EQUIPOS GEN'!$C$11:$H$833,4,0)</f>
        <v>SISTEMA DE ENFRIAMIENTO</v>
      </c>
      <c r="I886" s="191" t="str">
        <f>VLOOKUP(MP_registro[[#This Row],[TAG]],'DB-EQUIPOS GEN'!$C$11:$H$833,5,0)</f>
        <v>TORRE DE ENFRIAMIENTO MARLEY - TG TGM</v>
      </c>
      <c r="J886" s="191" t="str">
        <f>VLOOKUP(MP_registro[[#This Row],[TAG]],'DB-EQUIPOS GEN'!$C$11:$H$833,6,0)</f>
        <v>0430CT050</v>
      </c>
      <c r="K886" s="192">
        <v>44806</v>
      </c>
      <c r="L886" s="193" t="s">
        <v>249</v>
      </c>
      <c r="M88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886" s="201" t="s">
        <v>1664</v>
      </c>
      <c r="O886" s="64" t="s">
        <v>1696</v>
      </c>
    </row>
    <row r="887" spans="1:15" ht="33" customHeight="1">
      <c r="A887" s="218">
        <v>883</v>
      </c>
      <c r="B887" s="219" t="s">
        <v>2842</v>
      </c>
      <c r="C887" s="64" t="s">
        <v>2843</v>
      </c>
      <c r="D887" s="191" t="s">
        <v>2848</v>
      </c>
      <c r="E887" s="204" t="s">
        <v>2884</v>
      </c>
      <c r="F887" s="191" t="e">
        <f>VLOOKUP(MP_registro[[#This Row],[TAG]],'DB-EQUIPOS GEN'!$C$11:$H$833,2,0)</f>
        <v>#N/A</v>
      </c>
      <c r="G887" s="191" t="e">
        <f>VLOOKUP(MP_registro[[#This Row],[TAG]],'DB-EQUIPOS GEN'!$C$11:$H$833,3,0)</f>
        <v>#N/A</v>
      </c>
      <c r="H887" s="191" t="e">
        <f>VLOOKUP(MP_registro[[#This Row],[TAG]],'DB-EQUIPOS GEN'!$C$11:$H$833,4,0)</f>
        <v>#N/A</v>
      </c>
      <c r="I887" s="191" t="e">
        <f>VLOOKUP(MP_registro[[#This Row],[TAG]],'DB-EQUIPOS GEN'!$C$11:$H$833,5,0)</f>
        <v>#N/A</v>
      </c>
      <c r="J887" s="191" t="e">
        <f>VLOOKUP(MP_registro[[#This Row],[TAG]],'DB-EQUIPOS GEN'!$C$11:$H$833,6,0)</f>
        <v>#N/A</v>
      </c>
      <c r="K887" s="192">
        <v>44806</v>
      </c>
      <c r="L887" s="193" t="s">
        <v>245</v>
      </c>
      <c r="M88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87" s="201" t="s">
        <v>1664</v>
      </c>
      <c r="O887" s="64" t="s">
        <v>1696</v>
      </c>
    </row>
    <row r="888" spans="1:15" ht="33" customHeight="1">
      <c r="A888" s="218">
        <v>884</v>
      </c>
      <c r="B888" s="219" t="s">
        <v>2842</v>
      </c>
      <c r="C888" s="64" t="s">
        <v>2843</v>
      </c>
      <c r="D888" s="191" t="s">
        <v>2814</v>
      </c>
      <c r="E888" s="204" t="s">
        <v>1644</v>
      </c>
      <c r="F888" s="191" t="str">
        <f>VLOOKUP(MP_registro[[#This Row],[TAG]],'DB-EQUIPOS GEN'!$C$11:$H$833,2,0)</f>
        <v>Explanada de Turbina Triveni</v>
      </c>
      <c r="G888" s="191" t="str">
        <f>VLOOKUP(MP_registro[[#This Row],[TAG]],'DB-EQUIPOS GEN'!$C$11:$H$833,3,0)</f>
        <v>E. ELECTRICA</v>
      </c>
      <c r="H888" s="191" t="str">
        <f>VLOOKUP(MP_registro[[#This Row],[TAG]],'DB-EQUIPOS GEN'!$C$11:$H$833,4,0)</f>
        <v>GENERACIÓN ENERG. ELEC. TURBO GENERADOR</v>
      </c>
      <c r="I888" s="191" t="str">
        <f>VLOOKUP(MP_registro[[#This Row],[TAG]],'DB-EQUIPOS GEN'!$C$11:$H$833,5,0)</f>
        <v>TURBOGENERADOR TRIVENI 23.2 MW</v>
      </c>
      <c r="J888" s="191" t="str">
        <f>VLOOKUP(MP_registro[[#This Row],[TAG]],'DB-EQUIPOS GEN'!$C$11:$H$833,6,0)</f>
        <v>0430TG020</v>
      </c>
      <c r="K888" s="192">
        <v>44807</v>
      </c>
      <c r="L888" s="193" t="s">
        <v>249</v>
      </c>
      <c r="M88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888" s="201" t="s">
        <v>1664</v>
      </c>
      <c r="O888" s="64" t="s">
        <v>1696</v>
      </c>
    </row>
    <row r="889" spans="1:15" ht="33" customHeight="1">
      <c r="A889" s="218">
        <v>885</v>
      </c>
      <c r="B889" s="219" t="s">
        <v>2842</v>
      </c>
      <c r="C889" s="64" t="s">
        <v>2843</v>
      </c>
      <c r="D889" s="191" t="s">
        <v>2849</v>
      </c>
      <c r="E889" s="204" t="s">
        <v>1657</v>
      </c>
      <c r="F889" s="191" t="str">
        <f>VLOOKUP(MP_registro[[#This Row],[TAG]],'DB-EQUIPOS GEN'!$C$11:$H$833,2,0)</f>
        <v>Pug mill B, Cabezal C de centrifugas continuas</v>
      </c>
      <c r="G889" s="191" t="str">
        <f>VLOOKUP(MP_registro[[#This Row],[TAG]],'DB-EQUIPOS GEN'!$C$11:$H$833,3,0)</f>
        <v>PRODUCCION</v>
      </c>
      <c r="H889" s="191" t="str">
        <f>VLOOKUP(MP_registro[[#This Row],[TAG]],'DB-EQUIPOS GEN'!$C$11:$H$833,4,0)</f>
        <v>CENTRIFUGACIÓN DE AZÚCAR</v>
      </c>
      <c r="I889" s="191" t="str">
        <f>VLOOKUP(MP_registro[[#This Row],[TAG]],'DB-EQUIPOS GEN'!$C$11:$H$833,5,0)</f>
        <v>PUG MILL - B</v>
      </c>
      <c r="J889" s="191" t="str">
        <f>VLOOKUP(MP_registro[[#This Row],[TAG]],'DB-EQUIPOS GEN'!$C$11:$H$833,6,0)</f>
        <v>0345MM020</v>
      </c>
      <c r="K889" s="192">
        <v>44807</v>
      </c>
      <c r="L889" s="193" t="s">
        <v>245</v>
      </c>
      <c r="M88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89" s="201" t="s">
        <v>1664</v>
      </c>
      <c r="O889" s="64" t="s">
        <v>1696</v>
      </c>
    </row>
    <row r="890" spans="1:15" ht="33" customHeight="1">
      <c r="A890" s="218">
        <v>886</v>
      </c>
      <c r="B890" s="219" t="s">
        <v>2842</v>
      </c>
      <c r="C890" s="64" t="s">
        <v>2843</v>
      </c>
      <c r="D890" s="191" t="s">
        <v>2815</v>
      </c>
      <c r="E890" s="204" t="s">
        <v>1647</v>
      </c>
      <c r="F890" s="191" t="str">
        <f>VLOOKUP(MP_registro[[#This Row],[TAG]],'DB-EQUIPOS GEN'!$C$11:$H$833,2,0)</f>
        <v>Explanada frontal de Turbina Triveni</v>
      </c>
      <c r="G890" s="191" t="str">
        <f>VLOOKUP(MP_registro[[#This Row],[TAG]],'DB-EQUIPOS GEN'!$C$11:$H$833,3,0)</f>
        <v>E. ELECTRICA</v>
      </c>
      <c r="H890" s="191" t="str">
        <f>VLOOKUP(MP_registro[[#This Row],[TAG]],'DB-EQUIPOS GEN'!$C$11:$H$833,4,0)</f>
        <v>GENERACIÓN ENERG. ELEC. TURBO GENERADOR</v>
      </c>
      <c r="I890" s="191" t="str">
        <f>VLOOKUP(MP_registro[[#This Row],[TAG]],'DB-EQUIPOS GEN'!$C$11:$H$833,5,0)</f>
        <v>TURBOGENERADOR TRIVENI 23.2 MW</v>
      </c>
      <c r="J890" s="191" t="str">
        <f>VLOOKUP(MP_registro[[#This Row],[TAG]],'DB-EQUIPOS GEN'!$C$11:$H$833,6,0)</f>
        <v>0430TG020</v>
      </c>
      <c r="K890" s="192">
        <v>44807</v>
      </c>
      <c r="L890" s="193" t="s">
        <v>249</v>
      </c>
      <c r="M89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890" s="201" t="s">
        <v>1664</v>
      </c>
      <c r="O890" s="64" t="s">
        <v>1696</v>
      </c>
    </row>
    <row r="891" spans="1:15" ht="33" customHeight="1">
      <c r="A891" s="218">
        <v>887</v>
      </c>
      <c r="B891" s="219" t="s">
        <v>2842</v>
      </c>
      <c r="C891" s="64" t="s">
        <v>2843</v>
      </c>
      <c r="D891" s="191" t="s">
        <v>2816</v>
      </c>
      <c r="E891" s="204" t="s">
        <v>3006</v>
      </c>
      <c r="F891" s="191" t="e">
        <f>VLOOKUP(MP_registro[[#This Row],[TAG]],'DB-EQUIPOS GEN'!$C$11:$H$833,2,0)</f>
        <v>#N/A</v>
      </c>
      <c r="G891" s="191" t="e">
        <f>VLOOKUP(MP_registro[[#This Row],[TAG]],'DB-EQUIPOS GEN'!$C$11:$H$833,3,0)</f>
        <v>#N/A</v>
      </c>
      <c r="H891" s="191" t="e">
        <f>VLOOKUP(MP_registro[[#This Row],[TAG]],'DB-EQUIPOS GEN'!$C$11:$H$833,4,0)</f>
        <v>#N/A</v>
      </c>
      <c r="I891" s="191" t="e">
        <f>VLOOKUP(MP_registro[[#This Row],[TAG]],'DB-EQUIPOS GEN'!$C$11:$H$833,5,0)</f>
        <v>#N/A</v>
      </c>
      <c r="J891" s="191" t="e">
        <f>VLOOKUP(MP_registro[[#This Row],[TAG]],'DB-EQUIPOS GEN'!$C$11:$H$833,6,0)</f>
        <v>#N/A</v>
      </c>
      <c r="K891" s="192">
        <v>44807</v>
      </c>
      <c r="L891" s="193" t="s">
        <v>249</v>
      </c>
      <c r="M89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891" s="201" t="s">
        <v>1664</v>
      </c>
      <c r="O891" s="64" t="s">
        <v>1696</v>
      </c>
    </row>
    <row r="892" spans="1:15" ht="33" customHeight="1">
      <c r="A892" s="218">
        <v>888</v>
      </c>
      <c r="B892" s="219" t="s">
        <v>2842</v>
      </c>
      <c r="C892" s="64" t="s">
        <v>2843</v>
      </c>
      <c r="D892" s="191" t="s">
        <v>2817</v>
      </c>
      <c r="E892" s="204" t="s">
        <v>3007</v>
      </c>
      <c r="F892" s="191" t="e">
        <f>VLOOKUP(MP_registro[[#This Row],[TAG]],'DB-EQUIPOS GEN'!$C$11:$H$833,2,0)</f>
        <v>#N/A</v>
      </c>
      <c r="G892" s="191" t="e">
        <f>VLOOKUP(MP_registro[[#This Row],[TAG]],'DB-EQUIPOS GEN'!$C$11:$H$833,3,0)</f>
        <v>#N/A</v>
      </c>
      <c r="H892" s="191" t="e">
        <f>VLOOKUP(MP_registro[[#This Row],[TAG]],'DB-EQUIPOS GEN'!$C$11:$H$833,4,0)</f>
        <v>#N/A</v>
      </c>
      <c r="I892" s="191" t="e">
        <f>VLOOKUP(MP_registro[[#This Row],[TAG]],'DB-EQUIPOS GEN'!$C$11:$H$833,5,0)</f>
        <v>#N/A</v>
      </c>
      <c r="J892" s="191" t="e">
        <f>VLOOKUP(MP_registro[[#This Row],[TAG]],'DB-EQUIPOS GEN'!$C$11:$H$833,6,0)</f>
        <v>#N/A</v>
      </c>
      <c r="K892" s="192">
        <v>44807</v>
      </c>
      <c r="L892" s="193" t="s">
        <v>249</v>
      </c>
      <c r="M89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892" s="201" t="s">
        <v>1664</v>
      </c>
      <c r="O892" s="64" t="s">
        <v>1696</v>
      </c>
    </row>
    <row r="893" spans="1:15" ht="33" customHeight="1">
      <c r="A893" s="218">
        <v>889</v>
      </c>
      <c r="B893" s="219" t="s">
        <v>2842</v>
      </c>
      <c r="C893" s="64" t="s">
        <v>2843</v>
      </c>
      <c r="D893" s="191" t="s">
        <v>2818</v>
      </c>
      <c r="E893" s="204" t="s">
        <v>1642</v>
      </c>
      <c r="F893" s="191" t="str">
        <f>VLOOKUP(MP_registro[[#This Row],[TAG]],'DB-EQUIPOS GEN'!$C$11:$H$833,2,0)</f>
        <v>Salida de bagazo de molino secador</v>
      </c>
      <c r="G893" s="191" t="str">
        <f>VLOOKUP(MP_registro[[#This Row],[TAG]],'DB-EQUIPOS GEN'!$C$11:$H$833,3,0)</f>
        <v>EXTRACCION</v>
      </c>
      <c r="H893" s="191" t="str">
        <f>VLOOKUP(MP_registro[[#This Row],[TAG]],'DB-EQUIPOS GEN'!$C$11:$H$833,4,0)</f>
        <v>MOLINOS</v>
      </c>
      <c r="I893" s="191" t="str">
        <f>VLOOKUP(MP_registro[[#This Row],[TAG]],'DB-EQUIPOS GEN'!$C$11:$H$833,5,0)</f>
        <v>MOLINO SECADOR</v>
      </c>
      <c r="J893" s="191" t="str">
        <f>VLOOKUP(MP_registro[[#This Row],[TAG]],'DB-EQUIPOS GEN'!$C$11:$H$833,6,0)</f>
        <v>0210MM090</v>
      </c>
      <c r="K893" s="192">
        <v>44808</v>
      </c>
      <c r="L893" s="193" t="s">
        <v>249</v>
      </c>
      <c r="M89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893" s="201" t="s">
        <v>1664</v>
      </c>
      <c r="O893" s="64" t="s">
        <v>1696</v>
      </c>
    </row>
    <row r="894" spans="1:15" ht="33" customHeight="1">
      <c r="A894" s="218">
        <v>890</v>
      </c>
      <c r="B894" s="219" t="s">
        <v>2842</v>
      </c>
      <c r="C894" s="64" t="s">
        <v>2843</v>
      </c>
      <c r="D894" s="191" t="s">
        <v>2850</v>
      </c>
      <c r="E894" s="204" t="s">
        <v>1694</v>
      </c>
      <c r="F894" s="191" t="str">
        <f>VLOOKUP(MP_registro[[#This Row],[TAG]],'DB-EQUIPOS GEN'!$C$11:$H$833,2,0)</f>
        <v>Aire Instrumentacion p/ Caldera</v>
      </c>
      <c r="G894" s="191" t="str">
        <f>VLOOKUP(MP_registro[[#This Row],[TAG]],'DB-EQUIPOS GEN'!$C$11:$H$833,3,0)</f>
        <v>E. ELECTRICA</v>
      </c>
      <c r="H894" s="191" t="str">
        <f>VLOOKUP(MP_registro[[#This Row],[TAG]],'DB-EQUIPOS GEN'!$C$11:$H$833,4,0)</f>
        <v>GENERACION ENERG. ELEC. TURBO GENERADOR</v>
      </c>
      <c r="I894" s="191" t="str">
        <f>VLOOKUP(MP_registro[[#This Row],[TAG]],'DB-EQUIPOS GEN'!$C$11:$H$833,5,0)</f>
        <v/>
      </c>
      <c r="J894" s="191" t="str">
        <f>VLOOKUP(MP_registro[[#This Row],[TAG]],'DB-EQUIPOS GEN'!$C$11:$H$833,6,0)</f>
        <v/>
      </c>
      <c r="K894" s="192">
        <v>44809</v>
      </c>
      <c r="L894" s="193" t="s">
        <v>245</v>
      </c>
      <c r="M89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94" s="201" t="s">
        <v>1664</v>
      </c>
      <c r="O894" s="64" t="s">
        <v>1696</v>
      </c>
    </row>
    <row r="895" spans="1:15" ht="33" customHeight="1">
      <c r="A895" s="218">
        <v>891</v>
      </c>
      <c r="B895" s="219" t="s">
        <v>2842</v>
      </c>
      <c r="C895" s="64" t="s">
        <v>2843</v>
      </c>
      <c r="D895" s="191" t="s">
        <v>2851</v>
      </c>
      <c r="E895" s="204" t="s">
        <v>1656</v>
      </c>
      <c r="F895" s="191" t="str">
        <f>VLOOKUP(MP_registro[[#This Row],[TAG]],'DB-EQUIPOS GEN'!$C$11:$H$833,2,0)</f>
        <v>Descarga de centrifugas continuas</v>
      </c>
      <c r="G895" s="191" t="str">
        <f>VLOOKUP(MP_registro[[#This Row],[TAG]],'DB-EQUIPOS GEN'!$C$11:$H$833,3,0)</f>
        <v>PRODUCCION</v>
      </c>
      <c r="H895" s="191" t="str">
        <f>VLOOKUP(MP_registro[[#This Row],[TAG]],'DB-EQUIPOS GEN'!$C$11:$H$833,4,0)</f>
        <v>CENTRIFUGACIÓN DE AZÚCAR</v>
      </c>
      <c r="I895" s="191" t="str">
        <f>VLOOKUP(MP_registro[[#This Row],[TAG]],'DB-EQUIPOS GEN'!$C$11:$H$833,5,0)</f>
        <v>CENTRIFUGA CONTINUA 1 - C (FRANCIA)</v>
      </c>
      <c r="J895" s="191" t="str">
        <f>VLOOKUP(MP_registro[[#This Row],[TAG]],'DB-EQUIPOS GEN'!$C$11:$H$833,6,0)</f>
        <v>0345SQ160</v>
      </c>
      <c r="K895" s="192">
        <v>44809</v>
      </c>
      <c r="L895" s="193" t="s">
        <v>245</v>
      </c>
      <c r="M89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95" s="201" t="s">
        <v>1664</v>
      </c>
      <c r="O895" s="64" t="s">
        <v>1696</v>
      </c>
    </row>
    <row r="896" spans="1:15" ht="33" customHeight="1">
      <c r="A896" s="218">
        <v>892</v>
      </c>
      <c r="B896" s="219" t="s">
        <v>2842</v>
      </c>
      <c r="C896" s="64" t="s">
        <v>2843</v>
      </c>
      <c r="D896" s="191" t="s">
        <v>2819</v>
      </c>
      <c r="E896" s="204" t="s">
        <v>2407</v>
      </c>
      <c r="F896" s="191" t="str">
        <f>VLOOKUP(MP_registro[[#This Row],[TAG]],'DB-EQUIPOS GEN'!$C$11:$H$833,2,0)</f>
        <v>Vista Molino Secador - Conductor Intermedio</v>
      </c>
      <c r="G896" s="191" t="str">
        <f>VLOOKUP(MP_registro[[#This Row],[TAG]],'DB-EQUIPOS GEN'!$C$11:$H$833,3,0)</f>
        <v>EXTRACCION</v>
      </c>
      <c r="H896" s="191" t="str">
        <f>VLOOKUP(MP_registro[[#This Row],[TAG]],'DB-EQUIPOS GEN'!$C$11:$H$833,4,0)</f>
        <v>MOLINOS</v>
      </c>
      <c r="I896" s="191" t="str">
        <f>VLOOKUP(MP_registro[[#This Row],[TAG]],'DB-EQUIPOS GEN'!$C$11:$H$833,5,0)</f>
        <v>CONDUCTOR INTERMEDIO - MOLINO SECADOR</v>
      </c>
      <c r="J896" s="191" t="str">
        <f>VLOOKUP(MP_registro[[#This Row],[TAG]],'DB-EQUIPOS GEN'!$C$11:$H$833,6,0)</f>
        <v>0210CV070</v>
      </c>
      <c r="K896" s="192">
        <v>44810</v>
      </c>
      <c r="L896" s="193" t="s">
        <v>249</v>
      </c>
      <c r="M89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896" s="201" t="s">
        <v>1664</v>
      </c>
      <c r="O896" s="64" t="s">
        <v>1696</v>
      </c>
    </row>
    <row r="897" spans="1:15" ht="33" customHeight="1">
      <c r="A897" s="218">
        <v>893</v>
      </c>
      <c r="B897" s="219" t="s">
        <v>2842</v>
      </c>
      <c r="C897" s="64" t="s">
        <v>2843</v>
      </c>
      <c r="D897" s="191" t="s">
        <v>2820</v>
      </c>
      <c r="E897" s="204" t="s">
        <v>1640</v>
      </c>
      <c r="F897" s="191" t="str">
        <f>VLOOKUP(MP_registro[[#This Row],[TAG]],'DB-EQUIPOS GEN'!$C$11:$H$833,2,0)</f>
        <v>Conductor de alimentación a difusor y retorno</v>
      </c>
      <c r="G897" s="191" t="str">
        <f>VLOOKUP(MP_registro[[#This Row],[TAG]],'DB-EQUIPOS GEN'!$C$11:$H$833,3,0)</f>
        <v>EXTRACCION</v>
      </c>
      <c r="H897" s="191" t="str">
        <f>VLOOKUP(MP_registro[[#This Row],[TAG]],'DB-EQUIPOS GEN'!$C$11:$H$833,4,0)</f>
        <v>PREPARACIÓN DE CAÑA</v>
      </c>
      <c r="I897" s="191" t="str">
        <f>VLOOKUP(MP_registro[[#This Row],[TAG]],'DB-EQUIPOS GEN'!$C$11:$H$833,5,0)</f>
        <v>CONDUCTOR DE RETORNO</v>
      </c>
      <c r="J897" s="191" t="str">
        <f>VLOOKUP(MP_registro[[#This Row],[TAG]],'DB-EQUIPOS GEN'!$C$11:$H$833,6,0)</f>
        <v>0115CV090</v>
      </c>
      <c r="K897" s="192">
        <v>44810</v>
      </c>
      <c r="L897" s="193" t="s">
        <v>249</v>
      </c>
      <c r="M897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897" s="201" t="s">
        <v>1664</v>
      </c>
      <c r="O897" s="64" t="s">
        <v>1696</v>
      </c>
    </row>
    <row r="898" spans="1:15" ht="33" customHeight="1">
      <c r="A898" s="218">
        <v>894</v>
      </c>
      <c r="B898" s="219" t="s">
        <v>2842</v>
      </c>
      <c r="C898" s="64" t="s">
        <v>2843</v>
      </c>
      <c r="D898" s="191" t="s">
        <v>2821</v>
      </c>
      <c r="E898" s="204" t="s">
        <v>1641</v>
      </c>
      <c r="F898" s="191" t="str">
        <f>VLOOKUP(MP_registro[[#This Row],[TAG]],'DB-EQUIPOS GEN'!$C$11:$H$833,2,0)</f>
        <v>Mesa de caña</v>
      </c>
      <c r="G898" s="191" t="str">
        <f>VLOOKUP(MP_registro[[#This Row],[TAG]],'DB-EQUIPOS GEN'!$C$11:$H$833,3,0)</f>
        <v>EXTRACCION</v>
      </c>
      <c r="H898" s="191" t="str">
        <f>VLOOKUP(MP_registro[[#This Row],[TAG]],'DB-EQUIPOS GEN'!$C$11:$H$833,4,0)</f>
        <v>RECEPCIÓN DE CAÑA</v>
      </c>
      <c r="I898" s="191" t="str">
        <f>VLOOKUP(MP_registro[[#This Row],[TAG]],'DB-EQUIPOS GEN'!$C$11:$H$833,5,0)</f>
        <v>MESA DE CAÑA</v>
      </c>
      <c r="J898" s="191" t="str">
        <f>VLOOKUP(MP_registro[[#This Row],[TAG]],'DB-EQUIPOS GEN'!$C$11:$H$833,6,0)</f>
        <v>0110FE019</v>
      </c>
      <c r="K898" s="192">
        <v>44810</v>
      </c>
      <c r="L898" s="193" t="s">
        <v>249</v>
      </c>
      <c r="M89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898" s="201" t="s">
        <v>1664</v>
      </c>
      <c r="O898" s="64" t="s">
        <v>1696</v>
      </c>
    </row>
    <row r="899" spans="1:15" ht="33" customHeight="1">
      <c r="A899" s="218">
        <v>895</v>
      </c>
      <c r="B899" s="219" t="s">
        <v>2842</v>
      </c>
      <c r="C899" s="64" t="s">
        <v>2843</v>
      </c>
      <c r="D899" s="191" t="s">
        <v>2852</v>
      </c>
      <c r="E899" s="204" t="s">
        <v>1659</v>
      </c>
      <c r="F899" s="191" t="str">
        <f>VLOOKUP(MP_registro[[#This Row],[TAG]],'DB-EQUIPOS GEN'!$C$11:$H$833,2,0)</f>
        <v>Vista global de tanques de jarabe 1,2 y 3</v>
      </c>
      <c r="G899" s="191" t="str">
        <f>VLOOKUP(MP_registro[[#This Row],[TAG]],'DB-EQUIPOS GEN'!$C$11:$H$833,3,0)</f>
        <v>PRODUCCION</v>
      </c>
      <c r="H899" s="191" t="str">
        <f>VLOOKUP(MP_registro[[#This Row],[TAG]],'DB-EQUIPOS GEN'!$C$11:$H$833,4,0)</f>
        <v>CRISTALIZACIÓN POR COCCIÓN</v>
      </c>
      <c r="I899" s="191" t="str">
        <f>VLOOKUP(MP_registro[[#This Row],[TAG]],'DB-EQUIPOS GEN'!$C$11:$H$833,5,0)</f>
        <v>TANQUE DE JARABE 1</v>
      </c>
      <c r="J899" s="191" t="str">
        <f>VLOOKUP(MP_registro[[#This Row],[TAG]],'DB-EQUIPOS GEN'!$C$11:$H$833,6,0)</f>
        <v>0335TK010</v>
      </c>
      <c r="K899" s="192">
        <v>44810</v>
      </c>
      <c r="L899" s="193" t="s">
        <v>245</v>
      </c>
      <c r="M89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899" s="201" t="s">
        <v>1664</v>
      </c>
      <c r="O899" s="64" t="s">
        <v>1696</v>
      </c>
    </row>
    <row r="900" spans="1:15" ht="33" customHeight="1">
      <c r="A900" s="218">
        <v>896</v>
      </c>
      <c r="B900" s="219" t="s">
        <v>2842</v>
      </c>
      <c r="C900" s="64" t="s">
        <v>2843</v>
      </c>
      <c r="D900" s="191" t="s">
        <v>2853</v>
      </c>
      <c r="E900" s="204" t="s">
        <v>1660</v>
      </c>
      <c r="F900" s="191" t="str">
        <f>VLOOKUP(MP_registro[[#This Row],[TAG]],'DB-EQUIPOS GEN'!$C$11:$H$833,2,0)</f>
        <v>Vista global de tacho continuo A.</v>
      </c>
      <c r="G900" s="191" t="str">
        <f>VLOOKUP(MP_registro[[#This Row],[TAG]],'DB-EQUIPOS GEN'!$C$11:$H$833,3,0)</f>
        <v>PRODUCCION</v>
      </c>
      <c r="H900" s="191" t="str">
        <f>VLOOKUP(MP_registro[[#This Row],[TAG]],'DB-EQUIPOS GEN'!$C$11:$H$833,4,0)</f>
        <v>CRISTALIZACIÓN POR COCCIÓN</v>
      </c>
      <c r="I900" s="191" t="str">
        <f>VLOOKUP(MP_registro[[#This Row],[TAG]],'DB-EQUIPOS GEN'!$C$11:$H$833,5,0)</f>
        <v>TACHO CONTINUO - A</v>
      </c>
      <c r="J900" s="191" t="str">
        <f>VLOOKUP(MP_registro[[#This Row],[TAG]],'DB-EQUIPOS GEN'!$C$11:$H$833,6,0)</f>
        <v>0335HX200</v>
      </c>
      <c r="K900" s="192">
        <v>44810</v>
      </c>
      <c r="L900" s="193" t="s">
        <v>245</v>
      </c>
      <c r="M90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00" s="201" t="s">
        <v>1664</v>
      </c>
      <c r="O900" s="64" t="s">
        <v>1696</v>
      </c>
    </row>
    <row r="901" spans="1:15" ht="33" customHeight="1">
      <c r="A901" s="218">
        <v>897</v>
      </c>
      <c r="B901" s="219" t="s">
        <v>2842</v>
      </c>
      <c r="C901" s="64" t="s">
        <v>2843</v>
      </c>
      <c r="D901" s="191" t="s">
        <v>2854</v>
      </c>
      <c r="E901" s="204" t="s">
        <v>1649</v>
      </c>
      <c r="F901" s="191" t="str">
        <f>VLOOKUP(MP_registro[[#This Row],[TAG]],'DB-EQUIPOS GEN'!$C$11:$H$833,2,0)</f>
        <v>Chute alimentadores de bagazo</v>
      </c>
      <c r="G901" s="191" t="str">
        <f>VLOOKUP(MP_registro[[#This Row],[TAG]],'DB-EQUIPOS GEN'!$C$11:$H$833,3,0)</f>
        <v>E. TERMICA</v>
      </c>
      <c r="H901" s="191" t="str">
        <f>VLOOKUP(MP_registro[[#This Row],[TAG]],'DB-EQUIPOS GEN'!$C$11:$H$833,4,0)</f>
        <v>TRANSPORTE DE BAGAZO</v>
      </c>
      <c r="I901" s="191" t="str">
        <f>VLOOKUP(MP_registro[[#This Row],[TAG]],'DB-EQUIPOS GEN'!$C$11:$H$833,5,0)</f>
        <v>ALIMENTADOR DE BAGAZO 1</v>
      </c>
      <c r="J901" s="191" t="str">
        <f>VLOOKUP(MP_registro[[#This Row],[TAG]],'DB-EQUIPOS GEN'!$C$11:$H$833,6,0)</f>
        <v>0405RV240</v>
      </c>
      <c r="K901" s="192">
        <v>44810</v>
      </c>
      <c r="L901" s="193" t="s">
        <v>245</v>
      </c>
      <c r="M90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01" s="201" t="s">
        <v>1664</v>
      </c>
      <c r="O901" s="64" t="s">
        <v>1696</v>
      </c>
    </row>
    <row r="902" spans="1:15" ht="33" customHeight="1">
      <c r="A902" s="218">
        <v>898</v>
      </c>
      <c r="B902" s="219" t="s">
        <v>2842</v>
      </c>
      <c r="C902" s="64" t="s">
        <v>2843</v>
      </c>
      <c r="D902" s="191" t="s">
        <v>2822</v>
      </c>
      <c r="E902" s="204" t="s">
        <v>1179</v>
      </c>
      <c r="F902" s="191" t="str">
        <f>VLOOKUP(MP_registro[[#This Row],[TAG]],'DB-EQUIPOS GEN'!$C$11:$H$833,2,0)</f>
        <v>Valvula control de nivel FFE - 5A</v>
      </c>
      <c r="G902" s="191" t="str">
        <f>VLOOKUP(MP_registro[[#This Row],[TAG]],'DB-EQUIPOS GEN'!$C$11:$H$833,3,0)</f>
        <v>PRODUCCION</v>
      </c>
      <c r="H902" s="191" t="str">
        <f>VLOOKUP(MP_registro[[#This Row],[TAG]],'DB-EQUIPOS GEN'!$C$11:$H$833,4,0)</f>
        <v>EVAPORACION DE JUGO</v>
      </c>
      <c r="I902" s="191" t="str">
        <f>VLOOKUP(MP_registro[[#This Row],[TAG]],'DB-EQUIPOS GEN'!$C$11:$H$833,5,0)</f>
        <v>EVAPORADOR FFE 5A</v>
      </c>
      <c r="J902" s="191" t="str">
        <f>VLOOKUP(MP_registro[[#This Row],[TAG]],'DB-EQUIPOS GEN'!$C$11:$H$833,6,0)</f>
        <v>0320EV060</v>
      </c>
      <c r="K902" s="192">
        <v>44811</v>
      </c>
      <c r="L902" s="193" t="s">
        <v>249</v>
      </c>
      <c r="M90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02" s="201" t="s">
        <v>1664</v>
      </c>
      <c r="O902" s="64" t="s">
        <v>1696</v>
      </c>
    </row>
    <row r="903" spans="1:15" ht="33" customHeight="1">
      <c r="A903" s="218">
        <v>899</v>
      </c>
      <c r="B903" s="219" t="s">
        <v>2842</v>
      </c>
      <c r="C903" s="64" t="s">
        <v>2843</v>
      </c>
      <c r="D903" s="191" t="s">
        <v>2855</v>
      </c>
      <c r="E903" s="204" t="s">
        <v>1658</v>
      </c>
      <c r="F903" s="191" t="str">
        <f>VLOOKUP(MP_registro[[#This Row],[TAG]],'DB-EQUIPOS GEN'!$C$11:$H$833,2,0)</f>
        <v>Pug mill A - Centrifugas batch</v>
      </c>
      <c r="G903" s="191" t="str">
        <f>VLOOKUP(MP_registro[[#This Row],[TAG]],'DB-EQUIPOS GEN'!$C$11:$H$833,3,0)</f>
        <v>PRODUCCION</v>
      </c>
      <c r="H903" s="191" t="str">
        <f>VLOOKUP(MP_registro[[#This Row],[TAG]],'DB-EQUIPOS GEN'!$C$11:$H$833,4,0)</f>
        <v>CENTRIFUGACIÓN DE AZÚCAR</v>
      </c>
      <c r="I903" s="191" t="str">
        <f>VLOOKUP(MP_registro[[#This Row],[TAG]],'DB-EQUIPOS GEN'!$C$11:$H$833,5,0)</f>
        <v>PUG MILL - A</v>
      </c>
      <c r="J903" s="191" t="str">
        <f>VLOOKUP(MP_registro[[#This Row],[TAG]],'DB-EQUIPOS GEN'!$C$11:$H$833,6,0)</f>
        <v>0345MM010</v>
      </c>
      <c r="K903" s="192">
        <v>44811</v>
      </c>
      <c r="L903" s="193" t="s">
        <v>245</v>
      </c>
      <c r="M90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03" s="201" t="s">
        <v>1664</v>
      </c>
      <c r="O903" s="64" t="s">
        <v>1696</v>
      </c>
    </row>
    <row r="904" spans="1:15" ht="33" customHeight="1">
      <c r="A904" s="218">
        <v>900</v>
      </c>
      <c r="B904" s="219" t="s">
        <v>2842</v>
      </c>
      <c r="C904" s="64" t="s">
        <v>2843</v>
      </c>
      <c r="D904" s="191" t="s">
        <v>2856</v>
      </c>
      <c r="E904" s="204" t="s">
        <v>1661</v>
      </c>
      <c r="F904" s="191" t="str">
        <f>VLOOKUP(MP_registro[[#This Row],[TAG]],'DB-EQUIPOS GEN'!$C$11:$H$833,2,0)</f>
        <v xml:space="preserve">Faja de azucar seca a Silo </v>
      </c>
      <c r="G904" s="191" t="str">
        <f>VLOOKUP(MP_registro[[#This Row],[TAG]],'DB-EQUIPOS GEN'!$C$11:$H$833,3,0)</f>
        <v>PRODUCCION</v>
      </c>
      <c r="H904" s="191" t="str">
        <f>VLOOKUP(MP_registro[[#This Row],[TAG]],'DB-EQUIPOS GEN'!$C$11:$H$833,4,0)</f>
        <v>ENVASADO DE AZÚCAR RUBIA</v>
      </c>
      <c r="I904" s="191" t="str">
        <f>VLOOKUP(MP_registro[[#This Row],[TAG]],'DB-EQUIPOS GEN'!$C$11:$H$833,5,0)</f>
        <v>SILO DE AZUCAR 1</v>
      </c>
      <c r="J904" s="191" t="str">
        <f>VLOOKUP(MP_registro[[#This Row],[TAG]],'DB-EQUIPOS GEN'!$C$11:$H$833,6,0)</f>
        <v>0355BI090</v>
      </c>
      <c r="K904" s="192">
        <v>44811</v>
      </c>
      <c r="L904" s="193" t="s">
        <v>245</v>
      </c>
      <c r="M90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04" s="201" t="s">
        <v>1664</v>
      </c>
      <c r="O904" s="64" t="s">
        <v>1696</v>
      </c>
    </row>
    <row r="905" spans="1:15" ht="33" customHeight="1">
      <c r="A905" s="218">
        <v>901</v>
      </c>
      <c r="B905" s="219" t="s">
        <v>2842</v>
      </c>
      <c r="C905" s="64" t="s">
        <v>2843</v>
      </c>
      <c r="D905" s="191" t="s">
        <v>2857</v>
      </c>
      <c r="E905" s="204" t="s">
        <v>1648</v>
      </c>
      <c r="F905" s="191" t="str">
        <f>VLOOKUP(MP_registro[[#This Row],[TAG]],'DB-EQUIPOS GEN'!$C$11:$H$833,2,0)</f>
        <v>Nivel de agua en domo</v>
      </c>
      <c r="G905" s="191" t="str">
        <f>VLOOKUP(MP_registro[[#This Row],[TAG]],'DB-EQUIPOS GEN'!$C$11:$H$833,3,0)</f>
        <v>E. TERMICA</v>
      </c>
      <c r="H905" s="191" t="str">
        <f>VLOOKUP(MP_registro[[#This Row],[TAG]],'DB-EQUIPOS GEN'!$C$11:$H$833,4,0)</f>
        <v>GENERACIÓN DE VAPOR</v>
      </c>
      <c r="I905" s="191" t="str">
        <f>VLOOKUP(MP_registro[[#This Row],[TAG]],'DB-EQUIPOS GEN'!$C$11:$H$833,5,0)</f>
        <v>DOMO SUPERIOR</v>
      </c>
      <c r="J905" s="191" t="str">
        <f>VLOOKUP(MP_registro[[#This Row],[TAG]],'DB-EQUIPOS GEN'!$C$11:$H$833,6,0)</f>
        <v>0405DO020</v>
      </c>
      <c r="K905" s="192">
        <v>44811</v>
      </c>
      <c r="L905" s="193" t="s">
        <v>245</v>
      </c>
      <c r="M90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05" s="201" t="s">
        <v>1664</v>
      </c>
      <c r="O905" s="64" t="s">
        <v>1696</v>
      </c>
    </row>
    <row r="906" spans="1:15" ht="33" customHeight="1">
      <c r="A906" s="218">
        <v>902</v>
      </c>
      <c r="B906" s="219" t="s">
        <v>2842</v>
      </c>
      <c r="C906" s="64" t="s">
        <v>2843</v>
      </c>
      <c r="D906" s="191" t="s">
        <v>2858</v>
      </c>
      <c r="E906" s="204" t="s">
        <v>1652</v>
      </c>
      <c r="F906" s="191" t="str">
        <f>VLOOKUP(MP_registro[[#This Row],[TAG]],'DB-EQUIPOS GEN'!$C$11:$H$833,2,0)</f>
        <v>Faja 1006A - Patio de Bagazo</v>
      </c>
      <c r="G906" s="191" t="str">
        <f>VLOOKUP(MP_registro[[#This Row],[TAG]],'DB-EQUIPOS GEN'!$C$11:$H$833,3,0)</f>
        <v>E. TERMICA</v>
      </c>
      <c r="H906" s="191" t="str">
        <f>VLOOKUP(MP_registro[[#This Row],[TAG]],'DB-EQUIPOS GEN'!$C$11:$H$833,4,0)</f>
        <v>TRANSPORTE DE BAGAZO</v>
      </c>
      <c r="I906" s="191" t="str">
        <f>VLOOKUP(MP_registro[[#This Row],[TAG]],'DB-EQUIPOS GEN'!$C$11:$H$833,5,0)</f>
        <v>FAJA TRANSPORTADORA 1006 A</v>
      </c>
      <c r="J906" s="191" t="str">
        <f>VLOOKUP(MP_registro[[#This Row],[TAG]],'DB-EQUIPOS GEN'!$C$11:$H$833,6,0)</f>
        <v>0805CV080</v>
      </c>
      <c r="K906" s="192">
        <v>44811</v>
      </c>
      <c r="L906" s="193" t="s">
        <v>245</v>
      </c>
      <c r="M90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06" s="201" t="s">
        <v>1664</v>
      </c>
      <c r="O906" s="64" t="s">
        <v>1696</v>
      </c>
    </row>
    <row r="907" spans="1:15" ht="33" customHeight="1">
      <c r="A907" s="218">
        <v>903</v>
      </c>
      <c r="B907" s="219" t="s">
        <v>2842</v>
      </c>
      <c r="C907" s="64" t="s">
        <v>2843</v>
      </c>
      <c r="D907" s="191" t="s">
        <v>2823</v>
      </c>
      <c r="E907" s="204" t="s">
        <v>276</v>
      </c>
      <c r="F907" s="191" t="str">
        <f>VLOOKUP(MP_registro[[#This Row],[TAG]],'DB-EQUIPOS GEN'!$C$11:$H$833,2,0)</f>
        <v>PH de jugo encalado - Principal</v>
      </c>
      <c r="G907" s="191" t="str">
        <f>VLOOKUP(MP_registro[[#This Row],[TAG]],'DB-EQUIPOS GEN'!$C$11:$H$833,3,0)</f>
        <v>PRODUCCION</v>
      </c>
      <c r="H907" s="191" t="str">
        <f>VLOOKUP(MP_registro[[#This Row],[TAG]],'DB-EQUIPOS GEN'!$C$11:$H$833,4,0)</f>
        <v>CLARIFICACION DE JUGO</v>
      </c>
      <c r="I907" s="191" t="str">
        <f>VLOOKUP(MP_registro[[#This Row],[TAG]],'DB-EQUIPOS GEN'!$C$11:$H$833,5,0)</f>
        <v xml:space="preserve">TANQUE DE JUGO COLADO </v>
      </c>
      <c r="J907" s="191" t="str">
        <f>VLOOKUP(MP_registro[[#This Row],[TAG]],'DB-EQUIPOS GEN'!$C$11:$H$833,6,0)</f>
        <v xml:space="preserve"> 0305TK040</v>
      </c>
      <c r="K907" s="192">
        <v>44812</v>
      </c>
      <c r="L907" s="193" t="s">
        <v>249</v>
      </c>
      <c r="M907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07" s="201" t="s">
        <v>1664</v>
      </c>
      <c r="O907" s="64" t="s">
        <v>1696</v>
      </c>
    </row>
    <row r="908" spans="1:15" ht="33" customHeight="1">
      <c r="A908" s="218">
        <v>904</v>
      </c>
      <c r="B908" s="219" t="s">
        <v>2842</v>
      </c>
      <c r="C908" s="64" t="s">
        <v>2843</v>
      </c>
      <c r="D908" s="191" t="s">
        <v>2824</v>
      </c>
      <c r="E908" s="204" t="s">
        <v>252</v>
      </c>
      <c r="F908" s="191" t="str">
        <f>VLOOKUP(MP_registro[[#This Row],[TAG]],'DB-EQUIPOS GEN'!$C$11:$H$833,2,0)</f>
        <v>Valvula reductora 2</v>
      </c>
      <c r="G908" s="191" t="str">
        <f>VLOOKUP(MP_registro[[#This Row],[TAG]],'DB-EQUIPOS GEN'!$C$11:$H$833,3,0)</f>
        <v>E. TERMICA</v>
      </c>
      <c r="H908" s="191" t="str">
        <f>VLOOKUP(MP_registro[[#This Row],[TAG]],'DB-EQUIPOS GEN'!$C$11:$H$833,4,0)</f>
        <v>DISTRIBUCION DE VAPOR</v>
      </c>
      <c r="I908" s="191" t="str">
        <f>VLOOKUP(MP_registro[[#This Row],[TAG]],'DB-EQUIPOS GEN'!$C$11:$H$833,5,0)</f>
        <v>REDUCTOR DE DESPACHO DE VAPOR 2</v>
      </c>
      <c r="J908" s="191" t="str">
        <f>VLOOKUP(MP_registro[[#This Row],[TAG]],'DB-EQUIPOS GEN'!$C$11:$H$833,6,0)</f>
        <v>0405RE020</v>
      </c>
      <c r="K908" s="192">
        <v>44812</v>
      </c>
      <c r="L908" s="193" t="s">
        <v>249</v>
      </c>
      <c r="M90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08" s="201" t="s">
        <v>1664</v>
      </c>
      <c r="O908" s="64" t="s">
        <v>1696</v>
      </c>
    </row>
    <row r="909" spans="1:15" ht="33" customHeight="1">
      <c r="A909" s="218">
        <v>905</v>
      </c>
      <c r="B909" s="219" t="s">
        <v>2842</v>
      </c>
      <c r="C909" s="64" t="s">
        <v>2843</v>
      </c>
      <c r="D909" s="191" t="s">
        <v>2859</v>
      </c>
      <c r="E909" s="204" t="s">
        <v>1653</v>
      </c>
      <c r="F909" s="191" t="str">
        <f>VLOOKUP(MP_registro[[#This Row],[TAG]],'DB-EQUIPOS GEN'!$C$11:$H$833,2,0)</f>
        <v>Operación del desviador de bagazo</v>
      </c>
      <c r="G909" s="191" t="str">
        <f>VLOOKUP(MP_registro[[#This Row],[TAG]],'DB-EQUIPOS GEN'!$C$11:$H$833,3,0)</f>
        <v>E. TERMICA</v>
      </c>
      <c r="H909" s="191" t="str">
        <f>VLOOKUP(MP_registro[[#This Row],[TAG]],'DB-EQUIPOS GEN'!$C$11:$H$833,4,0)</f>
        <v>TRANSPORTE DE BAGAZO</v>
      </c>
      <c r="I909" s="191" t="str">
        <f>VLOOKUP(MP_registro[[#This Row],[TAG]],'DB-EQUIPOS GEN'!$C$11:$H$833,5,0)</f>
        <v>FAJA TRANSPORTADORA 1004</v>
      </c>
      <c r="J909" s="191" t="str">
        <f>VLOOKUP(MP_registro[[#This Row],[TAG]],'DB-EQUIPOS GEN'!$C$11:$H$833,6,0)</f>
        <v>0805CV070</v>
      </c>
      <c r="K909" s="192">
        <v>44812</v>
      </c>
      <c r="L909" s="193" t="s">
        <v>245</v>
      </c>
      <c r="M90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09" s="201" t="s">
        <v>1664</v>
      </c>
      <c r="O909" s="64" t="s">
        <v>1696</v>
      </c>
    </row>
    <row r="910" spans="1:15" ht="33" customHeight="1">
      <c r="A910" s="218">
        <v>906</v>
      </c>
      <c r="B910" s="219" t="s">
        <v>2842</v>
      </c>
      <c r="C910" s="64" t="s">
        <v>2843</v>
      </c>
      <c r="D910" s="191" t="s">
        <v>2860</v>
      </c>
      <c r="E910" s="204" t="s">
        <v>1655</v>
      </c>
      <c r="F910" s="191" t="str">
        <f>VLOOKUP(MP_registro[[#This Row],[TAG]],'DB-EQUIPOS GEN'!$C$11:$H$833,2,0)</f>
        <v>Vista global de planta de osmosis</v>
      </c>
      <c r="G910" s="191" t="str">
        <f>VLOOKUP(MP_registro[[#This Row],[TAG]],'DB-EQUIPOS GEN'!$C$11:$H$833,3,0)</f>
        <v>E. TERMICA</v>
      </c>
      <c r="H910" s="191" t="str">
        <f>VLOOKUP(MP_registro[[#This Row],[TAG]],'DB-EQUIPOS GEN'!$C$11:$H$833,4,0)</f>
        <v>PLANTA TRATAMIENTO OSMOSIS INVERSA</v>
      </c>
      <c r="I910" s="191" t="str">
        <f>VLOOKUP(MP_registro[[#This Row],[TAG]],'DB-EQUIPOS GEN'!$C$11:$H$833,5,0)</f>
        <v>PLANTA DE OSMOSIS INVERSA</v>
      </c>
      <c r="J910" s="191" t="str">
        <f>VLOOKUP(MP_registro[[#This Row],[TAG]],'DB-EQUIPOS GEN'!$C$11:$H$833,6,0)</f>
        <v>0425OI101</v>
      </c>
      <c r="K910" s="192">
        <v>44812</v>
      </c>
      <c r="L910" s="193" t="s">
        <v>245</v>
      </c>
      <c r="M91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10" s="201" t="s">
        <v>1664</v>
      </c>
      <c r="O910" s="64" t="s">
        <v>1696</v>
      </c>
    </row>
    <row r="911" spans="1:15" ht="33" customHeight="1">
      <c r="A911" s="218">
        <v>907</v>
      </c>
      <c r="B911" s="219" t="s">
        <v>2842</v>
      </c>
      <c r="C911" s="64" t="s">
        <v>2843</v>
      </c>
      <c r="D911" s="191" t="s">
        <v>2825</v>
      </c>
      <c r="E911" s="204" t="s">
        <v>2416</v>
      </c>
      <c r="F911" s="191" t="str">
        <f>VLOOKUP(MP_registro[[#This Row],[TAG]],'DB-EQUIPOS GEN'!$C$11:$H$833,2,0)</f>
        <v>Vista Conductor Auxiliar - Superior</v>
      </c>
      <c r="G911" s="191" t="str">
        <f>VLOOKUP(MP_registro[[#This Row],[TAG]],'DB-EQUIPOS GEN'!$C$11:$H$833,3,0)</f>
        <v>EXTRACCION</v>
      </c>
      <c r="H911" s="191" t="str">
        <f>VLOOKUP(MP_registro[[#This Row],[TAG]],'DB-EQUIPOS GEN'!$C$11:$H$833,4,0)</f>
        <v>PREPARACIÓN DE CAÑA</v>
      </c>
      <c r="I911" s="191" t="str">
        <f>VLOOKUP(MP_registro[[#This Row],[TAG]],'DB-EQUIPOS GEN'!$C$11:$H$833,5,0)</f>
        <v>CONDUCTOR AUXILIAR DE CAÑA</v>
      </c>
      <c r="J911" s="191" t="str">
        <f>VLOOKUP(MP_registro[[#This Row],[TAG]],'DB-EQUIPOS GEN'!$C$11:$H$833,6,0)</f>
        <v>0115CV010</v>
      </c>
      <c r="K911" s="192">
        <v>44813</v>
      </c>
      <c r="L911" s="193" t="s">
        <v>249</v>
      </c>
      <c r="M91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11" s="201" t="s">
        <v>1664</v>
      </c>
      <c r="O911" s="64" t="s">
        <v>1696</v>
      </c>
    </row>
    <row r="912" spans="1:15" ht="33" customHeight="1">
      <c r="A912" s="218">
        <v>908</v>
      </c>
      <c r="B912" s="219" t="s">
        <v>2842</v>
      </c>
      <c r="C912" s="64" t="s">
        <v>2843</v>
      </c>
      <c r="D912" s="191" t="s">
        <v>2826</v>
      </c>
      <c r="E912" s="204" t="s">
        <v>2406</v>
      </c>
      <c r="F912" s="191" t="str">
        <f>VLOOKUP(MP_registro[[#This Row],[TAG]],'DB-EQUIPOS GEN'!$C$11:$H$833,2,0)</f>
        <v>Vista Mesa de Caña - Descarga de Tetras</v>
      </c>
      <c r="G912" s="191" t="str">
        <f>VLOOKUP(MP_registro[[#This Row],[TAG]],'DB-EQUIPOS GEN'!$C$11:$H$833,3,0)</f>
        <v>EXTRACCION</v>
      </c>
      <c r="H912" s="191" t="str">
        <f>VLOOKUP(MP_registro[[#This Row],[TAG]],'DB-EQUIPOS GEN'!$C$11:$H$833,4,0)</f>
        <v>RECEPCIÓN DE CAÑA</v>
      </c>
      <c r="I912" s="191" t="str">
        <f>VLOOKUP(MP_registro[[#This Row],[TAG]],'DB-EQUIPOS GEN'!$C$11:$H$833,5,0)</f>
        <v>MESA DE CAÑA</v>
      </c>
      <c r="J912" s="191" t="str">
        <f>VLOOKUP(MP_registro[[#This Row],[TAG]],'DB-EQUIPOS GEN'!$C$11:$H$833,6,0)</f>
        <v>0110FE019</v>
      </c>
      <c r="K912" s="192">
        <v>44813</v>
      </c>
      <c r="L912" s="193" t="s">
        <v>249</v>
      </c>
      <c r="M91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12" s="201" t="s">
        <v>1664</v>
      </c>
      <c r="O912" s="64" t="s">
        <v>1696</v>
      </c>
    </row>
    <row r="913" spans="1:15" ht="33" customHeight="1">
      <c r="A913" s="218">
        <v>909</v>
      </c>
      <c r="B913" s="219" t="s">
        <v>2842</v>
      </c>
      <c r="C913" s="64" t="s">
        <v>2843</v>
      </c>
      <c r="D913" s="191" t="s">
        <v>2827</v>
      </c>
      <c r="E913" s="204" t="s">
        <v>1643</v>
      </c>
      <c r="F913" s="191" t="str">
        <f>VLOOKUP(MP_registro[[#This Row],[TAG]],'DB-EQUIPOS GEN'!$C$11:$H$833,2,0)</f>
        <v>Nivelador de cama de bagazo en difusor</v>
      </c>
      <c r="G913" s="191" t="str">
        <f>VLOOKUP(MP_registro[[#This Row],[TAG]],'DB-EQUIPOS GEN'!$C$11:$H$833,3,0)</f>
        <v>EXTRACCION</v>
      </c>
      <c r="H913" s="191" t="str">
        <f>VLOOKUP(MP_registro[[#This Row],[TAG]],'DB-EQUIPOS GEN'!$C$11:$H$833,4,0)</f>
        <v>DIFUSOR</v>
      </c>
      <c r="I913" s="191" t="str">
        <f>VLOOKUP(MP_registro[[#This Row],[TAG]],'DB-EQUIPOS GEN'!$C$11:$H$833,5,0)</f>
        <v>CONDUCTOR TRANSVERSAL</v>
      </c>
      <c r="J913" s="191" t="str">
        <f>VLOOKUP(MP_registro[[#This Row],[TAG]],'DB-EQUIPOS GEN'!$C$11:$H$833,6,0)</f>
        <v>0205CV190</v>
      </c>
      <c r="K913" s="192">
        <v>44813</v>
      </c>
      <c r="L913" s="193" t="s">
        <v>249</v>
      </c>
      <c r="M91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13" s="201" t="s">
        <v>1664</v>
      </c>
      <c r="O913" s="64" t="s">
        <v>1696</v>
      </c>
    </row>
    <row r="914" spans="1:15" ht="33" customHeight="1">
      <c r="A914" s="218">
        <v>910</v>
      </c>
      <c r="B914" s="219" t="s">
        <v>2842</v>
      </c>
      <c r="C914" s="64" t="s">
        <v>2843</v>
      </c>
      <c r="D914" s="191" t="s">
        <v>2828</v>
      </c>
      <c r="E914" s="204" t="s">
        <v>1645</v>
      </c>
      <c r="F914" s="191" t="str">
        <f>VLOOKUP(MP_registro[[#This Row],[TAG]],'DB-EQUIPOS GEN'!$C$11:$H$833,2,0)</f>
        <v>Tamiz rotativo</v>
      </c>
      <c r="G914" s="191" t="str">
        <f>VLOOKUP(MP_registro[[#This Row],[TAG]],'DB-EQUIPOS GEN'!$C$11:$H$833,3,0)</f>
        <v>EXTRACCION</v>
      </c>
      <c r="H914" s="191" t="str">
        <f>VLOOKUP(MP_registro[[#This Row],[TAG]],'DB-EQUIPOS GEN'!$C$11:$H$833,4,0)</f>
        <v>DIFUSOR</v>
      </c>
      <c r="I914" s="191" t="str">
        <f>VLOOKUP(MP_registro[[#This Row],[TAG]],'DB-EQUIPOS GEN'!$C$11:$H$833,5,0)</f>
        <v>TAMIZ ROTATIVO</v>
      </c>
      <c r="J914" s="191" t="str">
        <f>VLOOKUP(MP_registro[[#This Row],[TAG]],'DB-EQUIPOS GEN'!$C$11:$H$833,6,0)</f>
        <v>0305FL010</v>
      </c>
      <c r="K914" s="192">
        <v>44813</v>
      </c>
      <c r="L914" s="193" t="s">
        <v>249</v>
      </c>
      <c r="M91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14" s="201" t="s">
        <v>1664</v>
      </c>
      <c r="O914" s="64" t="s">
        <v>1696</v>
      </c>
    </row>
    <row r="915" spans="1:15" ht="33" customHeight="1">
      <c r="A915" s="218">
        <v>911</v>
      </c>
      <c r="B915" s="219" t="s">
        <v>2842</v>
      </c>
      <c r="C915" s="64" t="s">
        <v>2843</v>
      </c>
      <c r="D915" s="191" t="s">
        <v>2829</v>
      </c>
      <c r="E915" s="204" t="s">
        <v>1646</v>
      </c>
      <c r="F915" s="191" t="str">
        <f>VLOOKUP(MP_registro[[#This Row],[TAG]],'DB-EQUIPOS GEN'!$C$11:$H$833,2,0)</f>
        <v>Segundo nivel de Turbina TGM</v>
      </c>
      <c r="G915" s="191" t="str">
        <f>VLOOKUP(MP_registro[[#This Row],[TAG]],'DB-EQUIPOS GEN'!$C$11:$H$833,3,0)</f>
        <v>E. ELECTRICA</v>
      </c>
      <c r="H915" s="191" t="str">
        <f>VLOOKUP(MP_registro[[#This Row],[TAG]],'DB-EQUIPOS GEN'!$C$11:$H$833,4,0)</f>
        <v>SISTEMA DE ENFRIAMIENTO</v>
      </c>
      <c r="I915" s="191" t="str">
        <f>VLOOKUP(MP_registro[[#This Row],[TAG]],'DB-EQUIPOS GEN'!$C$11:$H$833,5,0)</f>
        <v>TORRE DE ENFRIAMIENTO MARLEY - TG TGM</v>
      </c>
      <c r="J915" s="191" t="str">
        <f>VLOOKUP(MP_registro[[#This Row],[TAG]],'DB-EQUIPOS GEN'!$C$11:$H$833,6,0)</f>
        <v>0430CT050</v>
      </c>
      <c r="K915" s="192">
        <v>44813</v>
      </c>
      <c r="L915" s="193" t="s">
        <v>249</v>
      </c>
      <c r="M915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15" s="201" t="s">
        <v>1664</v>
      </c>
      <c r="O915" s="64" t="s">
        <v>1696</v>
      </c>
    </row>
    <row r="916" spans="1:15" ht="33" customHeight="1">
      <c r="A916" s="218">
        <v>912</v>
      </c>
      <c r="B916" s="219" t="s">
        <v>2842</v>
      </c>
      <c r="C916" s="64" t="s">
        <v>2843</v>
      </c>
      <c r="D916" s="191" t="s">
        <v>2861</v>
      </c>
      <c r="E916" s="204" t="s">
        <v>1650</v>
      </c>
      <c r="F916" s="191" t="str">
        <f>VLOOKUP(MP_registro[[#This Row],[TAG]],'DB-EQUIPOS GEN'!$C$11:$H$833,2,0)</f>
        <v>Faja 1003 - Conductor distribuidor de bagazo</v>
      </c>
      <c r="G916" s="191" t="str">
        <f>VLOOKUP(MP_registro[[#This Row],[TAG]],'DB-EQUIPOS GEN'!$C$11:$H$833,3,0)</f>
        <v>E. TERMICA</v>
      </c>
      <c r="H916" s="191" t="str">
        <f>VLOOKUP(MP_registro[[#This Row],[TAG]],'DB-EQUIPOS GEN'!$C$11:$H$833,4,0)</f>
        <v>TRANSPORTE DE BAGAZO</v>
      </c>
      <c r="I916" s="191" t="str">
        <f>VLOOKUP(MP_registro[[#This Row],[TAG]],'DB-EQUIPOS GEN'!$C$11:$H$833,5,0)</f>
        <v>TRANSPORTADOR DE BAGAZO 1003</v>
      </c>
      <c r="J916" s="191" t="str">
        <f>VLOOKUP(MP_registro[[#This Row],[TAG]],'DB-EQUIPOS GEN'!$C$11:$H$833,6,0)</f>
        <v>0805CV060</v>
      </c>
      <c r="K916" s="192">
        <v>44813</v>
      </c>
      <c r="L916" s="193" t="s">
        <v>245</v>
      </c>
      <c r="M91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16" s="201" t="s">
        <v>1664</v>
      </c>
      <c r="O916" s="64" t="s">
        <v>1696</v>
      </c>
    </row>
    <row r="917" spans="1:15" ht="33" customHeight="1">
      <c r="A917" s="218">
        <v>913</v>
      </c>
      <c r="B917" s="219" t="s">
        <v>2842</v>
      </c>
      <c r="C917" s="64" t="s">
        <v>2843</v>
      </c>
      <c r="D917" s="191" t="s">
        <v>2862</v>
      </c>
      <c r="E917" s="204" t="s">
        <v>1651</v>
      </c>
      <c r="F917" s="191" t="str">
        <f>VLOOKUP(MP_registro[[#This Row],[TAG]],'DB-EQUIPOS GEN'!$C$11:$H$833,2,0)</f>
        <v>Faja 1008 - Tolva de retorno de bagazo</v>
      </c>
      <c r="G917" s="191" t="str">
        <f>VLOOKUP(MP_registro[[#This Row],[TAG]],'DB-EQUIPOS GEN'!$C$11:$H$833,3,0)</f>
        <v>E. TERMICA</v>
      </c>
      <c r="H917" s="191" t="str">
        <f>VLOOKUP(MP_registro[[#This Row],[TAG]],'DB-EQUIPOS GEN'!$C$11:$H$833,4,0)</f>
        <v>TRANSPORTE DE BAGAZO</v>
      </c>
      <c r="I917" s="191" t="str">
        <f>VLOOKUP(MP_registro[[#This Row],[TAG]],'DB-EQUIPOS GEN'!$C$11:$H$833,5,0)</f>
        <v>FAJA TRANSPORTADORA 1008</v>
      </c>
      <c r="J917" s="191" t="str">
        <f>VLOOKUP(MP_registro[[#This Row],[TAG]],'DB-EQUIPOS GEN'!$C$11:$H$833,6,0)</f>
        <v>0805CV100</v>
      </c>
      <c r="K917" s="192">
        <v>44813</v>
      </c>
      <c r="L917" s="193" t="s">
        <v>245</v>
      </c>
      <c r="M91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17" s="201" t="s">
        <v>1664</v>
      </c>
      <c r="O917" s="64" t="s">
        <v>1696</v>
      </c>
    </row>
    <row r="918" spans="1:15" ht="33" customHeight="1">
      <c r="A918" s="218">
        <v>914</v>
      </c>
      <c r="B918" s="219" t="s">
        <v>2842</v>
      </c>
      <c r="C918" s="64" t="s">
        <v>2843</v>
      </c>
      <c r="D918" s="191" t="s">
        <v>2830</v>
      </c>
      <c r="E918" s="204" t="s">
        <v>1654</v>
      </c>
      <c r="F918" s="191" t="str">
        <f>VLOOKUP(MP_registro[[#This Row],[TAG]],'DB-EQUIPOS GEN'!$C$11:$H$833,2,0)</f>
        <v>Vista global de sala turbina TGM</v>
      </c>
      <c r="G918" s="191" t="str">
        <f>VLOOKUP(MP_registro[[#This Row],[TAG]],'DB-EQUIPOS GEN'!$C$11:$H$833,3,0)</f>
        <v>E. ELECTRICA</v>
      </c>
      <c r="H918" s="191" t="str">
        <f>VLOOKUP(MP_registro[[#This Row],[TAG]],'DB-EQUIPOS GEN'!$C$11:$H$833,4,0)</f>
        <v>SISTEMA DE ENFRIAMIENTO</v>
      </c>
      <c r="I918" s="191" t="str">
        <f>VLOOKUP(MP_registro[[#This Row],[TAG]],'DB-EQUIPOS GEN'!$C$11:$H$833,5,0)</f>
        <v>TORRE DE ENFRIAMIENTO MARLEY - TG TGM</v>
      </c>
      <c r="J918" s="191" t="str">
        <f>VLOOKUP(MP_registro[[#This Row],[TAG]],'DB-EQUIPOS GEN'!$C$11:$H$833,6,0)</f>
        <v>0430CT050</v>
      </c>
      <c r="K918" s="192">
        <v>44813</v>
      </c>
      <c r="L918" s="193" t="s">
        <v>249</v>
      </c>
      <c r="M91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18" s="201" t="s">
        <v>1664</v>
      </c>
      <c r="O918" s="64" t="s">
        <v>1696</v>
      </c>
    </row>
    <row r="919" spans="1:15" ht="33" customHeight="1">
      <c r="A919" s="218">
        <v>915</v>
      </c>
      <c r="B919" s="219" t="s">
        <v>2842</v>
      </c>
      <c r="C919" s="64" t="s">
        <v>2843</v>
      </c>
      <c r="D919" s="191" t="s">
        <v>2863</v>
      </c>
      <c r="E919" s="204" t="s">
        <v>730</v>
      </c>
      <c r="F919" s="191" t="str">
        <f>VLOOKUP(MP_registro[[#This Row],[TAG]],'DB-EQUIPOS GEN'!$C$11:$H$833,2,0)</f>
        <v>Brix de masa A - Celda 1</v>
      </c>
      <c r="G919" s="191" t="str">
        <f>VLOOKUP(MP_registro[[#This Row],[TAG]],'DB-EQUIPOS GEN'!$C$11:$H$833,3,0)</f>
        <v>PRODUCCION</v>
      </c>
      <c r="H919" s="191" t="str">
        <f>VLOOKUP(MP_registro[[#This Row],[TAG]],'DB-EQUIPOS GEN'!$C$11:$H$833,4,0)</f>
        <v>CRISTALIZACION POR COCCION</v>
      </c>
      <c r="I919" s="191" t="str">
        <f>VLOOKUP(MP_registro[[#This Row],[TAG]],'DB-EQUIPOS GEN'!$C$11:$H$833,5,0)</f>
        <v xml:space="preserve">TACHO CONTINUO A </v>
      </c>
      <c r="J919" s="191" t="str">
        <f>VLOOKUP(MP_registro[[#This Row],[TAG]],'DB-EQUIPOS GEN'!$C$11:$H$833,6,0)</f>
        <v xml:space="preserve"> 0335HX200</v>
      </c>
      <c r="K919" s="192">
        <v>44814</v>
      </c>
      <c r="L919" s="193" t="s">
        <v>245</v>
      </c>
      <c r="M91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19" s="201" t="s">
        <v>1664</v>
      </c>
      <c r="O919" s="64" t="s">
        <v>1696</v>
      </c>
    </row>
    <row r="920" spans="1:15" ht="33" customHeight="1">
      <c r="A920" s="218">
        <v>916</v>
      </c>
      <c r="B920" s="219" t="s">
        <v>2842</v>
      </c>
      <c r="C920" s="64" t="s">
        <v>2843</v>
      </c>
      <c r="D920" s="191" t="s">
        <v>2864</v>
      </c>
      <c r="E920" s="204" t="s">
        <v>736</v>
      </c>
      <c r="F920" s="191" t="str">
        <f>VLOOKUP(MP_registro[[#This Row],[TAG]],'DB-EQUIPOS GEN'!$C$11:$H$833,2,0)</f>
        <v>Brix de masa A - Celda 4</v>
      </c>
      <c r="G920" s="191" t="str">
        <f>VLOOKUP(MP_registro[[#This Row],[TAG]],'DB-EQUIPOS GEN'!$C$11:$H$833,3,0)</f>
        <v>PRODUCCION</v>
      </c>
      <c r="H920" s="191" t="str">
        <f>VLOOKUP(MP_registro[[#This Row],[TAG]],'DB-EQUIPOS GEN'!$C$11:$H$833,4,0)</f>
        <v>CRISTALIZACION POR COCCION</v>
      </c>
      <c r="I920" s="191" t="str">
        <f>VLOOKUP(MP_registro[[#This Row],[TAG]],'DB-EQUIPOS GEN'!$C$11:$H$833,5,0)</f>
        <v xml:space="preserve">TACHO CONTINUO A </v>
      </c>
      <c r="J920" s="191" t="str">
        <f>VLOOKUP(MP_registro[[#This Row],[TAG]],'DB-EQUIPOS GEN'!$C$11:$H$833,6,0)</f>
        <v xml:space="preserve"> 0335HX200</v>
      </c>
      <c r="K920" s="192">
        <v>44814</v>
      </c>
      <c r="L920" s="193" t="s">
        <v>245</v>
      </c>
      <c r="M92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20" s="201" t="s">
        <v>1664</v>
      </c>
      <c r="O920" s="64" t="s">
        <v>1696</v>
      </c>
    </row>
    <row r="921" spans="1:15" ht="33" customHeight="1">
      <c r="A921" s="218">
        <v>917</v>
      </c>
      <c r="B921" s="219" t="s">
        <v>2842</v>
      </c>
      <c r="C921" s="64" t="s">
        <v>2843</v>
      </c>
      <c r="D921" s="191" t="s">
        <v>2865</v>
      </c>
      <c r="E921" s="204" t="s">
        <v>803</v>
      </c>
      <c r="F921" s="191" t="str">
        <f>VLOOKUP(MP_registro[[#This Row],[TAG]],'DB-EQUIPOS GEN'!$C$11:$H$833,2,0)</f>
        <v>Peso de azucar balanza B - Silo 2</v>
      </c>
      <c r="G921" s="191" t="str">
        <f>VLOOKUP(MP_registro[[#This Row],[TAG]],'DB-EQUIPOS GEN'!$C$11:$H$833,3,0)</f>
        <v>PRODUCCION</v>
      </c>
      <c r="H921" s="191" t="str">
        <f>VLOOKUP(MP_registro[[#This Row],[TAG]],'DB-EQUIPOS GEN'!$C$11:$H$833,4,0)</f>
        <v>ENVASADO DE AZUCAR RUBIA</v>
      </c>
      <c r="I921" s="191" t="str">
        <f>VLOOKUP(MP_registro[[#This Row],[TAG]],'DB-EQUIPOS GEN'!$C$11:$H$833,5,0)</f>
        <v>SILO 2</v>
      </c>
      <c r="J921" s="191" t="str">
        <f>VLOOKUP(MP_registro[[#This Row],[TAG]],'DB-EQUIPOS GEN'!$C$11:$H$833,6,0)</f>
        <v>0355BI100</v>
      </c>
      <c r="K921" s="192">
        <v>44814</v>
      </c>
      <c r="L921" s="193" t="s">
        <v>245</v>
      </c>
      <c r="M92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21" s="201" t="s">
        <v>1664</v>
      </c>
      <c r="O921" s="64" t="s">
        <v>1696</v>
      </c>
    </row>
    <row r="922" spans="1:15" ht="33" customHeight="1">
      <c r="A922" s="218">
        <v>918</v>
      </c>
      <c r="B922" s="219" t="s">
        <v>2842</v>
      </c>
      <c r="C922" s="64" t="s">
        <v>2843</v>
      </c>
      <c r="D922" s="191" t="s">
        <v>2831</v>
      </c>
      <c r="E922" s="204" t="s">
        <v>1644</v>
      </c>
      <c r="F922" s="191" t="str">
        <f>VLOOKUP(MP_registro[[#This Row],[TAG]],'DB-EQUIPOS GEN'!$C$11:$H$833,2,0)</f>
        <v>Explanada de Turbina Triveni</v>
      </c>
      <c r="G922" s="191" t="str">
        <f>VLOOKUP(MP_registro[[#This Row],[TAG]],'DB-EQUIPOS GEN'!$C$11:$H$833,3,0)</f>
        <v>E. ELECTRICA</v>
      </c>
      <c r="H922" s="191" t="str">
        <f>VLOOKUP(MP_registro[[#This Row],[TAG]],'DB-EQUIPOS GEN'!$C$11:$H$833,4,0)</f>
        <v>GENERACIÓN ENERG. ELEC. TURBO GENERADOR</v>
      </c>
      <c r="I922" s="191" t="str">
        <f>VLOOKUP(MP_registro[[#This Row],[TAG]],'DB-EQUIPOS GEN'!$C$11:$H$833,5,0)</f>
        <v>TURBOGENERADOR TRIVENI 23.2 MW</v>
      </c>
      <c r="J922" s="191" t="str">
        <f>VLOOKUP(MP_registro[[#This Row],[TAG]],'DB-EQUIPOS GEN'!$C$11:$H$833,6,0)</f>
        <v>0430TG020</v>
      </c>
      <c r="K922" s="192">
        <v>44814</v>
      </c>
      <c r="L922" s="193" t="s">
        <v>249</v>
      </c>
      <c r="M92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22" s="201" t="s">
        <v>1664</v>
      </c>
      <c r="O922" s="64" t="s">
        <v>1696</v>
      </c>
    </row>
    <row r="923" spans="1:15" ht="33" customHeight="1">
      <c r="A923" s="218">
        <v>919</v>
      </c>
      <c r="B923" s="219" t="s">
        <v>2842</v>
      </c>
      <c r="C923" s="64" t="s">
        <v>2843</v>
      </c>
      <c r="D923" s="191" t="s">
        <v>2866</v>
      </c>
      <c r="E923" s="204" t="s">
        <v>1657</v>
      </c>
      <c r="F923" s="191" t="str">
        <f>VLOOKUP(MP_registro[[#This Row],[TAG]],'DB-EQUIPOS GEN'!$C$11:$H$833,2,0)</f>
        <v>Pug mill B, Cabezal C de centrifugas continuas</v>
      </c>
      <c r="G923" s="191" t="str">
        <f>VLOOKUP(MP_registro[[#This Row],[TAG]],'DB-EQUIPOS GEN'!$C$11:$H$833,3,0)</f>
        <v>PRODUCCION</v>
      </c>
      <c r="H923" s="191" t="str">
        <f>VLOOKUP(MP_registro[[#This Row],[TAG]],'DB-EQUIPOS GEN'!$C$11:$H$833,4,0)</f>
        <v>CENTRIFUGACIÓN DE AZÚCAR</v>
      </c>
      <c r="I923" s="191" t="str">
        <f>VLOOKUP(MP_registro[[#This Row],[TAG]],'DB-EQUIPOS GEN'!$C$11:$H$833,5,0)</f>
        <v>PUG MILL - B</v>
      </c>
      <c r="J923" s="191" t="str">
        <f>VLOOKUP(MP_registro[[#This Row],[TAG]],'DB-EQUIPOS GEN'!$C$11:$H$833,6,0)</f>
        <v>0345MM020</v>
      </c>
      <c r="K923" s="192">
        <v>44814</v>
      </c>
      <c r="L923" s="193" t="s">
        <v>245</v>
      </c>
      <c r="M92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23" s="201" t="s">
        <v>1664</v>
      </c>
      <c r="O923" s="64" t="s">
        <v>1696</v>
      </c>
    </row>
    <row r="924" spans="1:15" ht="33" customHeight="1">
      <c r="A924" s="218">
        <v>920</v>
      </c>
      <c r="B924" s="219" t="s">
        <v>2842</v>
      </c>
      <c r="C924" s="64" t="s">
        <v>2843</v>
      </c>
      <c r="D924" s="191" t="s">
        <v>2832</v>
      </c>
      <c r="E924" s="204" t="s">
        <v>1647</v>
      </c>
      <c r="F924" s="191" t="str">
        <f>VLOOKUP(MP_registro[[#This Row],[TAG]],'DB-EQUIPOS GEN'!$C$11:$H$833,2,0)</f>
        <v>Explanada frontal de Turbina Triveni</v>
      </c>
      <c r="G924" s="191" t="str">
        <f>VLOOKUP(MP_registro[[#This Row],[TAG]],'DB-EQUIPOS GEN'!$C$11:$H$833,3,0)</f>
        <v>E. ELECTRICA</v>
      </c>
      <c r="H924" s="191" t="str">
        <f>VLOOKUP(MP_registro[[#This Row],[TAG]],'DB-EQUIPOS GEN'!$C$11:$H$833,4,0)</f>
        <v>GENERACIÓN ENERG. ELEC. TURBO GENERADOR</v>
      </c>
      <c r="I924" s="191" t="str">
        <f>VLOOKUP(MP_registro[[#This Row],[TAG]],'DB-EQUIPOS GEN'!$C$11:$H$833,5,0)</f>
        <v>TURBOGENERADOR TRIVENI 23.2 MW</v>
      </c>
      <c r="J924" s="191" t="str">
        <f>VLOOKUP(MP_registro[[#This Row],[TAG]],'DB-EQUIPOS GEN'!$C$11:$H$833,6,0)</f>
        <v>0430TG020</v>
      </c>
      <c r="K924" s="192">
        <v>44814</v>
      </c>
      <c r="L924" s="193" t="s">
        <v>249</v>
      </c>
      <c r="M92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24" s="201" t="s">
        <v>1664</v>
      </c>
      <c r="O924" s="64" t="s">
        <v>1696</v>
      </c>
    </row>
    <row r="925" spans="1:15" ht="33" customHeight="1">
      <c r="A925" s="218">
        <v>921</v>
      </c>
      <c r="B925" s="219" t="s">
        <v>2842</v>
      </c>
      <c r="C925" s="64" t="s">
        <v>2843</v>
      </c>
      <c r="D925" s="191" t="s">
        <v>2867</v>
      </c>
      <c r="E925" s="204" t="s">
        <v>740</v>
      </c>
      <c r="F925" s="191" t="str">
        <f>VLOOKUP(MP_registro[[#This Row],[TAG]],'DB-EQUIPOS GEN'!$C$11:$H$833,2,0)</f>
        <v>Brix de masa A - Celda 6</v>
      </c>
      <c r="G925" s="191" t="str">
        <f>VLOOKUP(MP_registro[[#This Row],[TAG]],'DB-EQUIPOS GEN'!$C$11:$H$833,3,0)</f>
        <v>PRODUCCION</v>
      </c>
      <c r="H925" s="191" t="str">
        <f>VLOOKUP(MP_registro[[#This Row],[TAG]],'DB-EQUIPOS GEN'!$C$11:$H$833,4,0)</f>
        <v>CRISTALIZACION POR COCCION</v>
      </c>
      <c r="I925" s="191" t="str">
        <f>VLOOKUP(MP_registro[[#This Row],[TAG]],'DB-EQUIPOS GEN'!$C$11:$H$833,5,0)</f>
        <v xml:space="preserve">TACHO CONTINUO A </v>
      </c>
      <c r="J925" s="191" t="str">
        <f>VLOOKUP(MP_registro[[#This Row],[TAG]],'DB-EQUIPOS GEN'!$C$11:$H$833,6,0)</f>
        <v xml:space="preserve"> 0335HX200</v>
      </c>
      <c r="K925" s="192">
        <v>44815</v>
      </c>
      <c r="L925" s="193" t="s">
        <v>245</v>
      </c>
      <c r="M92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25" s="201" t="s">
        <v>1664</v>
      </c>
      <c r="O925" s="64" t="s">
        <v>1696</v>
      </c>
    </row>
    <row r="926" spans="1:15" ht="33" customHeight="1">
      <c r="A926" s="218">
        <v>922</v>
      </c>
      <c r="B926" s="219" t="s">
        <v>2842</v>
      </c>
      <c r="C926" s="64" t="s">
        <v>2843</v>
      </c>
      <c r="D926" s="191" t="s">
        <v>2833</v>
      </c>
      <c r="E926" s="204" t="s">
        <v>1750</v>
      </c>
      <c r="F926" s="191" t="str">
        <f>VLOOKUP(MP_registro[[#This Row],[TAG]],'DB-EQUIPOS GEN'!$C$11:$H$833,2,0)</f>
        <v>Aire Instrumentacion p/ Caldera</v>
      </c>
      <c r="G926" s="191" t="str">
        <f>VLOOKUP(MP_registro[[#This Row],[TAG]],'DB-EQUIPOS GEN'!$C$11:$H$833,3,0)</f>
        <v>E. ELECTRICA</v>
      </c>
      <c r="H926" s="191" t="str">
        <f>VLOOKUP(MP_registro[[#This Row],[TAG]],'DB-EQUIPOS GEN'!$C$11:$H$833,4,0)</f>
        <v>GENERACION ENERG. ELEC. TURBO GENERADOR</v>
      </c>
      <c r="I926" s="191" t="str">
        <f>VLOOKUP(MP_registro[[#This Row],[TAG]],'DB-EQUIPOS GEN'!$C$11:$H$833,5,0)</f>
        <v/>
      </c>
      <c r="J926" s="191" t="str">
        <f>VLOOKUP(MP_registro[[#This Row],[TAG]],'DB-EQUIPOS GEN'!$C$11:$H$833,6,0)</f>
        <v/>
      </c>
      <c r="K926" s="192">
        <v>44815</v>
      </c>
      <c r="L926" s="193" t="s">
        <v>249</v>
      </c>
      <c r="M92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26" s="201" t="s">
        <v>1664</v>
      </c>
      <c r="O926" s="64" t="s">
        <v>1696</v>
      </c>
    </row>
    <row r="927" spans="1:15" ht="33" customHeight="1">
      <c r="A927" s="218">
        <v>923</v>
      </c>
      <c r="B927" s="219" t="s">
        <v>2842</v>
      </c>
      <c r="C927" s="64" t="s">
        <v>2843</v>
      </c>
      <c r="D927" s="191" t="s">
        <v>2834</v>
      </c>
      <c r="E927" s="204" t="s">
        <v>1642</v>
      </c>
      <c r="F927" s="191" t="str">
        <f>VLOOKUP(MP_registro[[#This Row],[TAG]],'DB-EQUIPOS GEN'!$C$11:$H$833,2,0)</f>
        <v>Salida de bagazo de molino secador</v>
      </c>
      <c r="G927" s="191" t="str">
        <f>VLOOKUP(MP_registro[[#This Row],[TAG]],'DB-EQUIPOS GEN'!$C$11:$H$833,3,0)</f>
        <v>EXTRACCION</v>
      </c>
      <c r="H927" s="191" t="str">
        <f>VLOOKUP(MP_registro[[#This Row],[TAG]],'DB-EQUIPOS GEN'!$C$11:$H$833,4,0)</f>
        <v>MOLINOS</v>
      </c>
      <c r="I927" s="191" t="str">
        <f>VLOOKUP(MP_registro[[#This Row],[TAG]],'DB-EQUIPOS GEN'!$C$11:$H$833,5,0)</f>
        <v>MOLINO SECADOR</v>
      </c>
      <c r="J927" s="191" t="str">
        <f>VLOOKUP(MP_registro[[#This Row],[TAG]],'DB-EQUIPOS GEN'!$C$11:$H$833,6,0)</f>
        <v>0210MM090</v>
      </c>
      <c r="K927" s="192">
        <v>44815</v>
      </c>
      <c r="L927" s="193" t="s">
        <v>249</v>
      </c>
      <c r="M927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27" s="201" t="s">
        <v>1664</v>
      </c>
      <c r="O927" s="64" t="s">
        <v>1696</v>
      </c>
    </row>
    <row r="928" spans="1:15" ht="33" customHeight="1">
      <c r="A928" s="218">
        <v>924</v>
      </c>
      <c r="B928" s="219" t="s">
        <v>2842</v>
      </c>
      <c r="C928" s="64" t="s">
        <v>2843</v>
      </c>
      <c r="D928" s="191" t="s">
        <v>2835</v>
      </c>
      <c r="E928" s="204" t="s">
        <v>344</v>
      </c>
      <c r="F928" s="191" t="str">
        <f>VLOOKUP(MP_registro[[#This Row],[TAG]],'DB-EQUIPOS GEN'!$C$11:$H$833,2,0)</f>
        <v>Nivel de bagazo de chute donelly de molino secador</v>
      </c>
      <c r="G928" s="191" t="str">
        <f>VLOOKUP(MP_registro[[#This Row],[TAG]],'DB-EQUIPOS GEN'!$C$11:$H$833,3,0)</f>
        <v>EXTRACCION</v>
      </c>
      <c r="H928" s="191" t="str">
        <f>VLOOKUP(MP_registro[[#This Row],[TAG]],'DB-EQUIPOS GEN'!$C$11:$H$833,4,0)</f>
        <v>MOLINOS</v>
      </c>
      <c r="I928" s="191" t="str">
        <f>VLOOKUP(MP_registro[[#This Row],[TAG]],'DB-EQUIPOS GEN'!$C$11:$H$833,5,0)</f>
        <v xml:space="preserve">MOLINO SECADOR </v>
      </c>
      <c r="J928" s="191" t="str">
        <f>VLOOKUP(MP_registro[[#This Row],[TAG]],'DB-EQUIPOS GEN'!$C$11:$H$833,6,0)</f>
        <v>0210MM090</v>
      </c>
      <c r="K928" s="192">
        <v>44816</v>
      </c>
      <c r="L928" s="193" t="s">
        <v>249</v>
      </c>
      <c r="M92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28" s="201" t="s">
        <v>1664</v>
      </c>
      <c r="O928" s="64" t="s">
        <v>1696</v>
      </c>
    </row>
    <row r="929" spans="1:15" ht="33" customHeight="1">
      <c r="A929" s="218">
        <v>925</v>
      </c>
      <c r="B929" s="219" t="s">
        <v>2842</v>
      </c>
      <c r="C929" s="64" t="s">
        <v>2843</v>
      </c>
      <c r="D929" s="191" t="s">
        <v>2868</v>
      </c>
      <c r="E929" s="204" t="s">
        <v>1656</v>
      </c>
      <c r="F929" s="191" t="str">
        <f>VLOOKUP(MP_registro[[#This Row],[TAG]],'DB-EQUIPOS GEN'!$C$11:$H$833,2,0)</f>
        <v>Descarga de centrifugas continuas</v>
      </c>
      <c r="G929" s="191" t="str">
        <f>VLOOKUP(MP_registro[[#This Row],[TAG]],'DB-EQUIPOS GEN'!$C$11:$H$833,3,0)</f>
        <v>PRODUCCION</v>
      </c>
      <c r="H929" s="191" t="str">
        <f>VLOOKUP(MP_registro[[#This Row],[TAG]],'DB-EQUIPOS GEN'!$C$11:$H$833,4,0)</f>
        <v>CENTRIFUGACIÓN DE AZÚCAR</v>
      </c>
      <c r="I929" s="191" t="str">
        <f>VLOOKUP(MP_registro[[#This Row],[TAG]],'DB-EQUIPOS GEN'!$C$11:$H$833,5,0)</f>
        <v>CENTRIFUGA CONTINUA 1 - C (FRANCIA)</v>
      </c>
      <c r="J929" s="191" t="str">
        <f>VLOOKUP(MP_registro[[#This Row],[TAG]],'DB-EQUIPOS GEN'!$C$11:$H$833,6,0)</f>
        <v>0345SQ160</v>
      </c>
      <c r="K929" s="192">
        <v>44816</v>
      </c>
      <c r="L929" s="193" t="s">
        <v>245</v>
      </c>
      <c r="M92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29" s="201" t="s">
        <v>1664</v>
      </c>
      <c r="O929" s="64" t="s">
        <v>1696</v>
      </c>
    </row>
    <row r="930" spans="1:15" ht="33" customHeight="1">
      <c r="A930" s="218">
        <v>926</v>
      </c>
      <c r="B930" s="219" t="s">
        <v>2842</v>
      </c>
      <c r="C930" s="64" t="s">
        <v>2843</v>
      </c>
      <c r="D930" s="191" t="s">
        <v>2869</v>
      </c>
      <c r="E930" s="204" t="s">
        <v>732</v>
      </c>
      <c r="F930" s="191" t="str">
        <f>VLOOKUP(MP_registro[[#This Row],[TAG]],'DB-EQUIPOS GEN'!$C$11:$H$833,2,0)</f>
        <v>Brix de masa A - Celda 2</v>
      </c>
      <c r="G930" s="191" t="str">
        <f>VLOOKUP(MP_registro[[#This Row],[TAG]],'DB-EQUIPOS GEN'!$C$11:$H$833,3,0)</f>
        <v>PRODUCCION</v>
      </c>
      <c r="H930" s="191" t="str">
        <f>VLOOKUP(MP_registro[[#This Row],[TAG]],'DB-EQUIPOS GEN'!$C$11:$H$833,4,0)</f>
        <v>CRISTALIZACION POR COCCION</v>
      </c>
      <c r="I930" s="191" t="str">
        <f>VLOOKUP(MP_registro[[#This Row],[TAG]],'DB-EQUIPOS GEN'!$C$11:$H$833,5,0)</f>
        <v xml:space="preserve">TACHO CONTINUO A </v>
      </c>
      <c r="J930" s="191" t="str">
        <f>VLOOKUP(MP_registro[[#This Row],[TAG]],'DB-EQUIPOS GEN'!$C$11:$H$833,6,0)</f>
        <v xml:space="preserve"> 0335HX200</v>
      </c>
      <c r="K930" s="192">
        <v>44817</v>
      </c>
      <c r="L930" s="193" t="s">
        <v>245</v>
      </c>
      <c r="M93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30" s="201" t="s">
        <v>1664</v>
      </c>
      <c r="O930" s="64" t="s">
        <v>1696</v>
      </c>
    </row>
    <row r="931" spans="1:15" ht="33" customHeight="1">
      <c r="A931" s="218">
        <v>927</v>
      </c>
      <c r="B931" s="219" t="s">
        <v>2842</v>
      </c>
      <c r="C931" s="64" t="s">
        <v>2843</v>
      </c>
      <c r="D931" s="191" t="s">
        <v>2870</v>
      </c>
      <c r="E931" s="204" t="s">
        <v>744</v>
      </c>
      <c r="F931" s="191" t="str">
        <f>VLOOKUP(MP_registro[[#This Row],[TAG]],'DB-EQUIPOS GEN'!$C$11:$H$833,2,0)</f>
        <v>Brix de masa A - Celda 8</v>
      </c>
      <c r="G931" s="191" t="str">
        <f>VLOOKUP(MP_registro[[#This Row],[TAG]],'DB-EQUIPOS GEN'!$C$11:$H$833,3,0)</f>
        <v>PRODUCCION</v>
      </c>
      <c r="H931" s="191" t="str">
        <f>VLOOKUP(MP_registro[[#This Row],[TAG]],'DB-EQUIPOS GEN'!$C$11:$H$833,4,0)</f>
        <v>CRISTALIZACION POR COCCION</v>
      </c>
      <c r="I931" s="191" t="str">
        <f>VLOOKUP(MP_registro[[#This Row],[TAG]],'DB-EQUIPOS GEN'!$C$11:$H$833,5,0)</f>
        <v xml:space="preserve">TACHO CONTINUO A </v>
      </c>
      <c r="J931" s="191" t="str">
        <f>VLOOKUP(MP_registro[[#This Row],[TAG]],'DB-EQUIPOS GEN'!$C$11:$H$833,6,0)</f>
        <v xml:space="preserve"> 0335HX200</v>
      </c>
      <c r="K931" s="192">
        <v>44817</v>
      </c>
      <c r="L931" s="193" t="s">
        <v>245</v>
      </c>
      <c r="M93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31" s="201" t="s">
        <v>1664</v>
      </c>
      <c r="O931" s="64" t="s">
        <v>1696</v>
      </c>
    </row>
    <row r="932" spans="1:15" ht="33" customHeight="1">
      <c r="A932" s="218">
        <v>928</v>
      </c>
      <c r="B932" s="219" t="s">
        <v>2842</v>
      </c>
      <c r="C932" s="64" t="s">
        <v>2843</v>
      </c>
      <c r="D932" s="191" t="s">
        <v>2871</v>
      </c>
      <c r="E932" s="204" t="s">
        <v>746</v>
      </c>
      <c r="F932" s="191" t="str">
        <f>VLOOKUP(MP_registro[[#This Row],[TAG]],'DB-EQUIPOS GEN'!$C$11:$H$833,2,0)</f>
        <v>Brix de masa A - Celda 9</v>
      </c>
      <c r="G932" s="191" t="str">
        <f>VLOOKUP(MP_registro[[#This Row],[TAG]],'DB-EQUIPOS GEN'!$C$11:$H$833,3,0)</f>
        <v>PRODUCCION</v>
      </c>
      <c r="H932" s="191" t="str">
        <f>VLOOKUP(MP_registro[[#This Row],[TAG]],'DB-EQUIPOS GEN'!$C$11:$H$833,4,0)</f>
        <v>CRISTALIZACION POR COCCION</v>
      </c>
      <c r="I932" s="191" t="str">
        <f>VLOOKUP(MP_registro[[#This Row],[TAG]],'DB-EQUIPOS GEN'!$C$11:$H$833,5,0)</f>
        <v xml:space="preserve">TACHO CONTINUO A </v>
      </c>
      <c r="J932" s="191" t="str">
        <f>VLOOKUP(MP_registro[[#This Row],[TAG]],'DB-EQUIPOS GEN'!$C$11:$H$833,6,0)</f>
        <v xml:space="preserve"> 0335HX200</v>
      </c>
      <c r="K932" s="192">
        <v>44817</v>
      </c>
      <c r="L932" s="193" t="s">
        <v>245</v>
      </c>
      <c r="M932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32" s="201" t="s">
        <v>1664</v>
      </c>
      <c r="O932" s="64" t="s">
        <v>1696</v>
      </c>
    </row>
    <row r="933" spans="1:15" ht="33" customHeight="1">
      <c r="A933" s="218">
        <v>929</v>
      </c>
      <c r="B933" s="219" t="s">
        <v>2842</v>
      </c>
      <c r="C933" s="64" t="s">
        <v>2843</v>
      </c>
      <c r="D933" s="191" t="s">
        <v>2872</v>
      </c>
      <c r="E933" s="204" t="s">
        <v>1336</v>
      </c>
      <c r="F933" s="191" t="str">
        <f>VLOOKUP(MP_registro[[#This Row],[TAG]],'DB-EQUIPOS GEN'!$C$11:$H$833,2,0)</f>
        <v>Tablero de controladores C300 - Planta</v>
      </c>
      <c r="G933" s="191" t="str">
        <f>VLOOKUP(MP_registro[[#This Row],[TAG]],'DB-EQUIPOS GEN'!$C$11:$H$833,3,0)</f>
        <v>E. ELECTRICA</v>
      </c>
      <c r="H933" s="191" t="str">
        <f>VLOOKUP(MP_registro[[#This Row],[TAG]],'DB-EQUIPOS GEN'!$C$11:$H$833,4,0)</f>
        <v>SISTEMA DE CONTROL DISTRIBUIDO</v>
      </c>
      <c r="I933" s="191" t="str">
        <f>VLOOKUP(MP_registro[[#This Row],[TAG]],'DB-EQUIPOS GEN'!$C$11:$H$833,5,0)</f>
        <v>SISTEMA DE CONTROL DISTRIBUIDO</v>
      </c>
      <c r="J933" s="191" t="str">
        <f>VLOOKUP(MP_registro[[#This Row],[TAG]],'DB-EQUIPOS GEN'!$C$11:$H$833,6,0)</f>
        <v>DCS</v>
      </c>
      <c r="K933" s="192">
        <v>44817</v>
      </c>
      <c r="L933" s="193" t="s">
        <v>248</v>
      </c>
      <c r="M933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933" s="201" t="s">
        <v>1664</v>
      </c>
      <c r="O933" s="64" t="s">
        <v>1696</v>
      </c>
    </row>
    <row r="934" spans="1:15" ht="33" customHeight="1">
      <c r="A934" s="218">
        <v>930</v>
      </c>
      <c r="B934" s="219" t="s">
        <v>2842</v>
      </c>
      <c r="C934" s="64" t="s">
        <v>2843</v>
      </c>
      <c r="D934" s="191" t="s">
        <v>2836</v>
      </c>
      <c r="E934" s="204" t="s">
        <v>2407</v>
      </c>
      <c r="F934" s="191" t="str">
        <f>VLOOKUP(MP_registro[[#This Row],[TAG]],'DB-EQUIPOS GEN'!$C$11:$H$833,2,0)</f>
        <v>Vista Molino Secador - Conductor Intermedio</v>
      </c>
      <c r="G934" s="191" t="str">
        <f>VLOOKUP(MP_registro[[#This Row],[TAG]],'DB-EQUIPOS GEN'!$C$11:$H$833,3,0)</f>
        <v>EXTRACCION</v>
      </c>
      <c r="H934" s="191" t="str">
        <f>VLOOKUP(MP_registro[[#This Row],[TAG]],'DB-EQUIPOS GEN'!$C$11:$H$833,4,0)</f>
        <v>MOLINOS</v>
      </c>
      <c r="I934" s="191" t="str">
        <f>VLOOKUP(MP_registro[[#This Row],[TAG]],'DB-EQUIPOS GEN'!$C$11:$H$833,5,0)</f>
        <v>CONDUCTOR INTERMEDIO - MOLINO SECADOR</v>
      </c>
      <c r="J934" s="191" t="str">
        <f>VLOOKUP(MP_registro[[#This Row],[TAG]],'DB-EQUIPOS GEN'!$C$11:$H$833,6,0)</f>
        <v>0210CV070</v>
      </c>
      <c r="K934" s="192">
        <v>44817</v>
      </c>
      <c r="L934" s="193" t="s">
        <v>249</v>
      </c>
      <c r="M93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34" s="201" t="s">
        <v>1664</v>
      </c>
      <c r="O934" s="64" t="s">
        <v>1696</v>
      </c>
    </row>
    <row r="935" spans="1:15" ht="33" customHeight="1">
      <c r="A935" s="218">
        <v>931</v>
      </c>
      <c r="B935" s="219" t="s">
        <v>2842</v>
      </c>
      <c r="C935" s="64" t="s">
        <v>2843</v>
      </c>
      <c r="D935" s="191" t="s">
        <v>2837</v>
      </c>
      <c r="E935" s="204" t="s">
        <v>1640</v>
      </c>
      <c r="F935" s="191" t="str">
        <f>VLOOKUP(MP_registro[[#This Row],[TAG]],'DB-EQUIPOS GEN'!$C$11:$H$833,2,0)</f>
        <v>Conductor de alimentación a difusor y retorno</v>
      </c>
      <c r="G935" s="191" t="str">
        <f>VLOOKUP(MP_registro[[#This Row],[TAG]],'DB-EQUIPOS GEN'!$C$11:$H$833,3,0)</f>
        <v>EXTRACCION</v>
      </c>
      <c r="H935" s="191" t="str">
        <f>VLOOKUP(MP_registro[[#This Row],[TAG]],'DB-EQUIPOS GEN'!$C$11:$H$833,4,0)</f>
        <v>PREPARACIÓN DE CAÑA</v>
      </c>
      <c r="I935" s="191" t="str">
        <f>VLOOKUP(MP_registro[[#This Row],[TAG]],'DB-EQUIPOS GEN'!$C$11:$H$833,5,0)</f>
        <v>CONDUCTOR DE RETORNO</v>
      </c>
      <c r="J935" s="191" t="str">
        <f>VLOOKUP(MP_registro[[#This Row],[TAG]],'DB-EQUIPOS GEN'!$C$11:$H$833,6,0)</f>
        <v>0115CV090</v>
      </c>
      <c r="K935" s="192">
        <v>44817</v>
      </c>
      <c r="L935" s="193" t="s">
        <v>249</v>
      </c>
      <c r="M935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35" s="201" t="s">
        <v>1664</v>
      </c>
      <c r="O935" s="64" t="s">
        <v>1696</v>
      </c>
    </row>
    <row r="936" spans="1:15" ht="33" customHeight="1">
      <c r="A936" s="218">
        <v>932</v>
      </c>
      <c r="B936" s="219" t="s">
        <v>2842</v>
      </c>
      <c r="C936" s="64" t="s">
        <v>2843</v>
      </c>
      <c r="D936" s="191" t="s">
        <v>2838</v>
      </c>
      <c r="E936" s="204" t="s">
        <v>1641</v>
      </c>
      <c r="F936" s="191" t="str">
        <f>VLOOKUP(MP_registro[[#This Row],[TAG]],'DB-EQUIPOS GEN'!$C$11:$H$833,2,0)</f>
        <v>Mesa de caña</v>
      </c>
      <c r="G936" s="191" t="str">
        <f>VLOOKUP(MP_registro[[#This Row],[TAG]],'DB-EQUIPOS GEN'!$C$11:$H$833,3,0)</f>
        <v>EXTRACCION</v>
      </c>
      <c r="H936" s="191" t="str">
        <f>VLOOKUP(MP_registro[[#This Row],[TAG]],'DB-EQUIPOS GEN'!$C$11:$H$833,4,0)</f>
        <v>RECEPCIÓN DE CAÑA</v>
      </c>
      <c r="I936" s="191" t="str">
        <f>VLOOKUP(MP_registro[[#This Row],[TAG]],'DB-EQUIPOS GEN'!$C$11:$H$833,5,0)</f>
        <v>MESA DE CAÑA</v>
      </c>
      <c r="J936" s="191" t="str">
        <f>VLOOKUP(MP_registro[[#This Row],[TAG]],'DB-EQUIPOS GEN'!$C$11:$H$833,6,0)</f>
        <v>0110FE019</v>
      </c>
      <c r="K936" s="192">
        <v>44817</v>
      </c>
      <c r="L936" s="193" t="s">
        <v>249</v>
      </c>
      <c r="M93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36" s="201" t="s">
        <v>1664</v>
      </c>
      <c r="O936" s="64" t="s">
        <v>1696</v>
      </c>
    </row>
    <row r="937" spans="1:15" ht="33" customHeight="1">
      <c r="A937" s="218">
        <v>933</v>
      </c>
      <c r="B937" s="219" t="s">
        <v>2842</v>
      </c>
      <c r="C937" s="64" t="s">
        <v>2843</v>
      </c>
      <c r="D937" s="191" t="s">
        <v>2873</v>
      </c>
      <c r="E937" s="204" t="s">
        <v>1659</v>
      </c>
      <c r="F937" s="191" t="str">
        <f>VLOOKUP(MP_registro[[#This Row],[TAG]],'DB-EQUIPOS GEN'!$C$11:$H$833,2,0)</f>
        <v>Vista global de tanques de jarabe 1,2 y 3</v>
      </c>
      <c r="G937" s="191" t="str">
        <f>VLOOKUP(MP_registro[[#This Row],[TAG]],'DB-EQUIPOS GEN'!$C$11:$H$833,3,0)</f>
        <v>PRODUCCION</v>
      </c>
      <c r="H937" s="191" t="str">
        <f>VLOOKUP(MP_registro[[#This Row],[TAG]],'DB-EQUIPOS GEN'!$C$11:$H$833,4,0)</f>
        <v>CRISTALIZACIÓN POR COCCIÓN</v>
      </c>
      <c r="I937" s="191" t="str">
        <f>VLOOKUP(MP_registro[[#This Row],[TAG]],'DB-EQUIPOS GEN'!$C$11:$H$833,5,0)</f>
        <v>TANQUE DE JARABE 1</v>
      </c>
      <c r="J937" s="191" t="str">
        <f>VLOOKUP(MP_registro[[#This Row],[TAG]],'DB-EQUIPOS GEN'!$C$11:$H$833,6,0)</f>
        <v>0335TK010</v>
      </c>
      <c r="K937" s="192">
        <v>44817</v>
      </c>
      <c r="L937" s="193" t="s">
        <v>245</v>
      </c>
      <c r="M93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37" s="201" t="s">
        <v>1664</v>
      </c>
      <c r="O937" s="64" t="s">
        <v>1696</v>
      </c>
    </row>
    <row r="938" spans="1:15" ht="33" customHeight="1">
      <c r="A938" s="218">
        <v>934</v>
      </c>
      <c r="B938" s="219" t="s">
        <v>2842</v>
      </c>
      <c r="C938" s="64" t="s">
        <v>2843</v>
      </c>
      <c r="D938" s="191" t="s">
        <v>2874</v>
      </c>
      <c r="E938" s="204" t="s">
        <v>1660</v>
      </c>
      <c r="F938" s="191" t="str">
        <f>VLOOKUP(MP_registro[[#This Row],[TAG]],'DB-EQUIPOS GEN'!$C$11:$H$833,2,0)</f>
        <v>Vista global de tacho continuo A.</v>
      </c>
      <c r="G938" s="191" t="str">
        <f>VLOOKUP(MP_registro[[#This Row],[TAG]],'DB-EQUIPOS GEN'!$C$11:$H$833,3,0)</f>
        <v>PRODUCCION</v>
      </c>
      <c r="H938" s="191" t="str">
        <f>VLOOKUP(MP_registro[[#This Row],[TAG]],'DB-EQUIPOS GEN'!$C$11:$H$833,4,0)</f>
        <v>CRISTALIZACIÓN POR COCCIÓN</v>
      </c>
      <c r="I938" s="191" t="str">
        <f>VLOOKUP(MP_registro[[#This Row],[TAG]],'DB-EQUIPOS GEN'!$C$11:$H$833,5,0)</f>
        <v>TACHO CONTINUO - A</v>
      </c>
      <c r="J938" s="191" t="str">
        <f>VLOOKUP(MP_registro[[#This Row],[TAG]],'DB-EQUIPOS GEN'!$C$11:$H$833,6,0)</f>
        <v>0335HX200</v>
      </c>
      <c r="K938" s="192">
        <v>44817</v>
      </c>
      <c r="L938" s="193" t="s">
        <v>245</v>
      </c>
      <c r="M93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38" s="201" t="s">
        <v>1664</v>
      </c>
      <c r="O938" s="64" t="s">
        <v>1696</v>
      </c>
    </row>
    <row r="939" spans="1:15" ht="33" customHeight="1">
      <c r="A939" s="218">
        <v>935</v>
      </c>
      <c r="B939" s="219" t="s">
        <v>2842</v>
      </c>
      <c r="C939" s="64" t="s">
        <v>2843</v>
      </c>
      <c r="D939" s="191" t="s">
        <v>2875</v>
      </c>
      <c r="E939" s="204" t="s">
        <v>1649</v>
      </c>
      <c r="F939" s="191" t="str">
        <f>VLOOKUP(MP_registro[[#This Row],[TAG]],'DB-EQUIPOS GEN'!$C$11:$H$833,2,0)</f>
        <v>Chute alimentadores de bagazo</v>
      </c>
      <c r="G939" s="191" t="str">
        <f>VLOOKUP(MP_registro[[#This Row],[TAG]],'DB-EQUIPOS GEN'!$C$11:$H$833,3,0)</f>
        <v>E. TERMICA</v>
      </c>
      <c r="H939" s="191" t="str">
        <f>VLOOKUP(MP_registro[[#This Row],[TAG]],'DB-EQUIPOS GEN'!$C$11:$H$833,4,0)</f>
        <v>TRANSPORTE DE BAGAZO</v>
      </c>
      <c r="I939" s="191" t="str">
        <f>VLOOKUP(MP_registro[[#This Row],[TAG]],'DB-EQUIPOS GEN'!$C$11:$H$833,5,0)</f>
        <v>ALIMENTADOR DE BAGAZO 1</v>
      </c>
      <c r="J939" s="191" t="str">
        <f>VLOOKUP(MP_registro[[#This Row],[TAG]],'DB-EQUIPOS GEN'!$C$11:$H$833,6,0)</f>
        <v>0405RV240</v>
      </c>
      <c r="K939" s="192">
        <v>44817</v>
      </c>
      <c r="L939" s="193" t="s">
        <v>245</v>
      </c>
      <c r="M93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39" s="201" t="s">
        <v>1664</v>
      </c>
      <c r="O939" s="64" t="s">
        <v>1696</v>
      </c>
    </row>
    <row r="940" spans="1:15" ht="33" customHeight="1">
      <c r="A940" s="218">
        <v>936</v>
      </c>
      <c r="B940" s="219" t="s">
        <v>2842</v>
      </c>
      <c r="C940" s="64" t="s">
        <v>2843</v>
      </c>
      <c r="D940" s="191" t="s">
        <v>2839</v>
      </c>
      <c r="E940" s="204" t="s">
        <v>435</v>
      </c>
      <c r="F940" s="191" t="str">
        <f>VLOOKUP(MP_registro[[#This Row],[TAG]],'DB-EQUIPOS GEN'!$C$11:$H$833,2,0)</f>
        <v>Temperatura de jugo C9</v>
      </c>
      <c r="G940" s="191" t="str">
        <f>VLOOKUP(MP_registro[[#This Row],[TAG]],'DB-EQUIPOS GEN'!$C$11:$H$833,3,0)</f>
        <v>EXTRACCION</v>
      </c>
      <c r="H940" s="191" t="str">
        <f>VLOOKUP(MP_registro[[#This Row],[TAG]],'DB-EQUIPOS GEN'!$C$11:$H$833,4,0)</f>
        <v>DIFUSOR</v>
      </c>
      <c r="I940" s="191" t="str">
        <f>VLOOKUP(MP_registro[[#This Row],[TAG]],'DB-EQUIPOS GEN'!$C$11:$H$833,5,0)</f>
        <v xml:space="preserve">DIFUSOR </v>
      </c>
      <c r="J940" s="191" t="str">
        <f>VLOOKUP(MP_registro[[#This Row],[TAG]],'DB-EQUIPOS GEN'!$C$11:$H$833,6,0)</f>
        <v>0205DF180</v>
      </c>
      <c r="K940" s="192">
        <v>44818</v>
      </c>
      <c r="L940" s="193" t="s">
        <v>249</v>
      </c>
      <c r="M94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40" s="201" t="s">
        <v>1664</v>
      </c>
      <c r="O940" s="64" t="s">
        <v>1696</v>
      </c>
    </row>
    <row r="941" spans="1:15" ht="33" customHeight="1">
      <c r="A941" s="218">
        <v>937</v>
      </c>
      <c r="B941" s="219" t="s">
        <v>2842</v>
      </c>
      <c r="C941" s="64" t="s">
        <v>2843</v>
      </c>
      <c r="D941" s="191" t="s">
        <v>2840</v>
      </c>
      <c r="E941" s="204" t="s">
        <v>439</v>
      </c>
      <c r="F941" s="191" t="str">
        <f>VLOOKUP(MP_registro[[#This Row],[TAG]],'DB-EQUIPOS GEN'!$C$11:$H$833,2,0)</f>
        <v>Temperatura de jugo C10</v>
      </c>
      <c r="G941" s="191" t="str">
        <f>VLOOKUP(MP_registro[[#This Row],[TAG]],'DB-EQUIPOS GEN'!$C$11:$H$833,3,0)</f>
        <v>EXTRACCION</v>
      </c>
      <c r="H941" s="191" t="str">
        <f>VLOOKUP(MP_registro[[#This Row],[TAG]],'DB-EQUIPOS GEN'!$C$11:$H$833,4,0)</f>
        <v>DIFUSOR</v>
      </c>
      <c r="I941" s="191" t="str">
        <f>VLOOKUP(MP_registro[[#This Row],[TAG]],'DB-EQUIPOS GEN'!$C$11:$H$833,5,0)</f>
        <v xml:space="preserve">DIFUSOR </v>
      </c>
      <c r="J941" s="191" t="str">
        <f>VLOOKUP(MP_registro[[#This Row],[TAG]],'DB-EQUIPOS GEN'!$C$11:$H$833,6,0)</f>
        <v>0205DF180</v>
      </c>
      <c r="K941" s="192">
        <v>44818</v>
      </c>
      <c r="L941" s="193" t="s">
        <v>249</v>
      </c>
      <c r="M94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41" s="201" t="s">
        <v>1664</v>
      </c>
      <c r="O941" s="64" t="s">
        <v>1696</v>
      </c>
    </row>
    <row r="942" spans="1:15" ht="33" customHeight="1">
      <c r="A942" s="218">
        <v>938</v>
      </c>
      <c r="B942" s="219" t="s">
        <v>2842</v>
      </c>
      <c r="C942" s="64" t="s">
        <v>2843</v>
      </c>
      <c r="D942" s="191" t="s">
        <v>2876</v>
      </c>
      <c r="E942" s="204" t="s">
        <v>254</v>
      </c>
      <c r="F942" s="191" t="str">
        <f>VLOOKUP(MP_registro[[#This Row],[TAG]],'DB-EQUIPOS GEN'!$C$11:$H$833,2,0)</f>
        <v>Tablero de periferia en Asset Caldera</v>
      </c>
      <c r="G942" s="191" t="str">
        <f>VLOOKUP(MP_registro[[#This Row],[TAG]],'DB-EQUIPOS GEN'!$C$11:$H$833,3,0)</f>
        <v>E. TERMICA</v>
      </c>
      <c r="H942" s="191" t="str">
        <f>VLOOKUP(MP_registro[[#This Row],[TAG]],'DB-EQUIPOS GEN'!$C$11:$H$833,4,0)</f>
        <v>GENERACION DE VAPOR</v>
      </c>
      <c r="I942" s="191" t="str">
        <f>VLOOKUP(MP_registro[[#This Row],[TAG]],'DB-EQUIPOS GEN'!$C$11:$H$833,5,0)</f>
        <v>CALDERA</v>
      </c>
      <c r="J942" s="191" t="str">
        <f>VLOOKUP(MP_registro[[#This Row],[TAG]],'DB-EQUIPOS GEN'!$C$11:$H$833,6,0)</f>
        <v>0405BR010</v>
      </c>
      <c r="K942" s="192">
        <v>44818</v>
      </c>
      <c r="L942" s="193" t="s">
        <v>248</v>
      </c>
      <c r="M942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942" s="201" t="s">
        <v>1664</v>
      </c>
      <c r="O942" s="64" t="s">
        <v>1696</v>
      </c>
    </row>
    <row r="943" spans="1:15" ht="33" customHeight="1">
      <c r="A943" s="218">
        <v>939</v>
      </c>
      <c r="B943" s="219" t="s">
        <v>2842</v>
      </c>
      <c r="C943" s="64" t="s">
        <v>2843</v>
      </c>
      <c r="D943" s="191" t="s">
        <v>2877</v>
      </c>
      <c r="E943" s="204" t="s">
        <v>256</v>
      </c>
      <c r="F943" s="191" t="str">
        <f>VLOOKUP(MP_registro[[#This Row],[TAG]],'DB-EQUIPOS GEN'!$C$11:$H$833,2,0)</f>
        <v>Tablero de periferia en Asset Difusor</v>
      </c>
      <c r="G943" s="191" t="str">
        <f>VLOOKUP(MP_registro[[#This Row],[TAG]],'DB-EQUIPOS GEN'!$C$11:$H$833,3,0)</f>
        <v>EXTRACCION</v>
      </c>
      <c r="H943" s="191" t="str">
        <f>VLOOKUP(MP_registro[[#This Row],[TAG]],'DB-EQUIPOS GEN'!$C$11:$H$833,4,0)</f>
        <v>DIFUSOR</v>
      </c>
      <c r="I943" s="191" t="str">
        <f>VLOOKUP(MP_registro[[#This Row],[TAG]],'DB-EQUIPOS GEN'!$C$11:$H$833,5,0)</f>
        <v>DIFUSOR</v>
      </c>
      <c r="J943" s="191" t="str">
        <f>VLOOKUP(MP_registro[[#This Row],[TAG]],'DB-EQUIPOS GEN'!$C$11:$H$833,6,0)</f>
        <v>0205DF180</v>
      </c>
      <c r="K943" s="192">
        <v>44818</v>
      </c>
      <c r="L943" s="193" t="s">
        <v>248</v>
      </c>
      <c r="M943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943" s="201" t="s">
        <v>1664</v>
      </c>
      <c r="O943" s="64" t="s">
        <v>1696</v>
      </c>
    </row>
    <row r="944" spans="1:15" ht="33" customHeight="1">
      <c r="A944" s="218">
        <v>940</v>
      </c>
      <c r="B944" s="219" t="s">
        <v>2842</v>
      </c>
      <c r="C944" s="64" t="s">
        <v>2843</v>
      </c>
      <c r="D944" s="191" t="s">
        <v>2878</v>
      </c>
      <c r="E944" s="204" t="s">
        <v>257</v>
      </c>
      <c r="F944" s="191" t="str">
        <f>VLOOKUP(MP_registro[[#This Row],[TAG]],'DB-EQUIPOS GEN'!$C$11:$H$833,2,0)</f>
        <v>Tablero de periferia en Asset Process House</v>
      </c>
      <c r="G944" s="191" t="str">
        <f>VLOOKUP(MP_registro[[#This Row],[TAG]],'DB-EQUIPOS GEN'!$C$11:$H$833,3,0)</f>
        <v>PRODUCCION</v>
      </c>
      <c r="H944" s="191" t="str">
        <f>VLOOKUP(MP_registro[[#This Row],[TAG]],'DB-EQUIPOS GEN'!$C$11:$H$833,4,0)</f>
        <v>EVAPORACION DE JUGO</v>
      </c>
      <c r="I944" s="191" t="str">
        <f>VLOOKUP(MP_registro[[#This Row],[TAG]],'DB-EQUIPOS GEN'!$C$11:$H$833,5,0)</f>
        <v>EVAPORADOR FFE 1</v>
      </c>
      <c r="J944" s="191" t="str">
        <f>VLOOKUP(MP_registro[[#This Row],[TAG]],'DB-EQUIPOS GEN'!$C$11:$H$833,6,0)</f>
        <v>0320EV010</v>
      </c>
      <c r="K944" s="192">
        <v>44818</v>
      </c>
      <c r="L944" s="193" t="s">
        <v>248</v>
      </c>
      <c r="M944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944" s="201" t="s">
        <v>1664</v>
      </c>
      <c r="O944" s="64" t="s">
        <v>1696</v>
      </c>
    </row>
    <row r="945" spans="1:15" ht="33" customHeight="1">
      <c r="A945" s="218">
        <v>941</v>
      </c>
      <c r="B945" s="219" t="s">
        <v>2842</v>
      </c>
      <c r="C945" s="64" t="s">
        <v>2843</v>
      </c>
      <c r="D945" s="191" t="s">
        <v>2879</v>
      </c>
      <c r="E945" s="204" t="s">
        <v>258</v>
      </c>
      <c r="F945" s="191" t="str">
        <f>VLOOKUP(MP_registro[[#This Row],[TAG]],'DB-EQUIPOS GEN'!$C$11:$H$833,2,0)</f>
        <v>Tablero de periferia en Asset Cocimiento</v>
      </c>
      <c r="G945" s="191" t="str">
        <f>VLOOKUP(MP_registro[[#This Row],[TAG]],'DB-EQUIPOS GEN'!$C$11:$H$833,3,0)</f>
        <v>PRODUCCION</v>
      </c>
      <c r="H945" s="191" t="str">
        <f>VLOOKUP(MP_registro[[#This Row],[TAG]],'DB-EQUIPOS GEN'!$C$11:$H$833,4,0)</f>
        <v>CRISTALIZACION POR COCCION</v>
      </c>
      <c r="I945" s="191" t="str">
        <f>VLOOKUP(MP_registro[[#This Row],[TAG]],'DB-EQUIPOS GEN'!$C$11:$H$833,5,0)</f>
        <v>TACHO CONTINUO - A</v>
      </c>
      <c r="J945" s="191" t="str">
        <f>VLOOKUP(MP_registro[[#This Row],[TAG]],'DB-EQUIPOS GEN'!$C$11:$H$833,6,0)</f>
        <v>0335HX200</v>
      </c>
      <c r="K945" s="192">
        <v>44818</v>
      </c>
      <c r="L945" s="193" t="s">
        <v>248</v>
      </c>
      <c r="M945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945" s="201" t="s">
        <v>1664</v>
      </c>
      <c r="O945" s="64" t="s">
        <v>1696</v>
      </c>
    </row>
    <row r="946" spans="1:15" ht="33" customHeight="1">
      <c r="A946" s="218">
        <v>942</v>
      </c>
      <c r="B946" s="219" t="s">
        <v>2842</v>
      </c>
      <c r="C946" s="64" t="s">
        <v>2843</v>
      </c>
      <c r="D946" s="191" t="s">
        <v>2880</v>
      </c>
      <c r="E946" s="204" t="s">
        <v>1338</v>
      </c>
      <c r="F946" s="191" t="str">
        <f>VLOOKUP(MP_registro[[#This Row],[TAG]],'DB-EQUIPOS GEN'!$C$11:$H$833,2,0)</f>
        <v>Tablero de distribucion de alimentacion DCS</v>
      </c>
      <c r="G946" s="191" t="str">
        <f>VLOOKUP(MP_registro[[#This Row],[TAG]],'DB-EQUIPOS GEN'!$C$11:$H$833,3,0)</f>
        <v>E. ELECTRICA</v>
      </c>
      <c r="H946" s="191" t="str">
        <f>VLOOKUP(MP_registro[[#This Row],[TAG]],'DB-EQUIPOS GEN'!$C$11:$H$833,4,0)</f>
        <v>SISTEMA DE CONTROL DISTRIBUIDO</v>
      </c>
      <c r="I946" s="191" t="str">
        <f>VLOOKUP(MP_registro[[#This Row],[TAG]],'DB-EQUIPOS GEN'!$C$11:$H$833,5,0)</f>
        <v>SISTEMA DE CONTROL DISTRIBUIDO</v>
      </c>
      <c r="J946" s="191" t="str">
        <f>VLOOKUP(MP_registro[[#This Row],[TAG]],'DB-EQUIPOS GEN'!$C$11:$H$833,6,0)</f>
        <v>DCS</v>
      </c>
      <c r="K946" s="192">
        <v>44818</v>
      </c>
      <c r="L946" s="193" t="s">
        <v>248</v>
      </c>
      <c r="M946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946" s="201" t="s">
        <v>1664</v>
      </c>
      <c r="O946" s="64" t="s">
        <v>1696</v>
      </c>
    </row>
    <row r="947" spans="1:15" ht="33" customHeight="1">
      <c r="A947" s="218">
        <v>943</v>
      </c>
      <c r="B947" s="219" t="s">
        <v>2842</v>
      </c>
      <c r="C947" s="64" t="s">
        <v>2843</v>
      </c>
      <c r="D947" s="191" t="s">
        <v>2881</v>
      </c>
      <c r="E947" s="204" t="s">
        <v>1658</v>
      </c>
      <c r="F947" s="191" t="str">
        <f>VLOOKUP(MP_registro[[#This Row],[TAG]],'DB-EQUIPOS GEN'!$C$11:$H$833,2,0)</f>
        <v>Pug mill A - Centrifugas batch</v>
      </c>
      <c r="G947" s="191" t="str">
        <f>VLOOKUP(MP_registro[[#This Row],[TAG]],'DB-EQUIPOS GEN'!$C$11:$H$833,3,0)</f>
        <v>PRODUCCION</v>
      </c>
      <c r="H947" s="191" t="str">
        <f>VLOOKUP(MP_registro[[#This Row],[TAG]],'DB-EQUIPOS GEN'!$C$11:$H$833,4,0)</f>
        <v>CENTRIFUGACIÓN DE AZÚCAR</v>
      </c>
      <c r="I947" s="191" t="str">
        <f>VLOOKUP(MP_registro[[#This Row],[TAG]],'DB-EQUIPOS GEN'!$C$11:$H$833,5,0)</f>
        <v>PUG MILL - A</v>
      </c>
      <c r="J947" s="191" t="str">
        <f>VLOOKUP(MP_registro[[#This Row],[TAG]],'DB-EQUIPOS GEN'!$C$11:$H$833,6,0)</f>
        <v>0345MM010</v>
      </c>
      <c r="K947" s="192">
        <v>44818</v>
      </c>
      <c r="L947" s="193" t="s">
        <v>245</v>
      </c>
      <c r="M94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47" s="201" t="s">
        <v>1664</v>
      </c>
      <c r="O947" s="64" t="s">
        <v>1696</v>
      </c>
    </row>
    <row r="948" spans="1:15" ht="33" customHeight="1">
      <c r="A948" s="218">
        <v>944</v>
      </c>
      <c r="B948" s="219" t="s">
        <v>2842</v>
      </c>
      <c r="C948" s="64" t="s">
        <v>2843</v>
      </c>
      <c r="D948" s="191" t="s">
        <v>2841</v>
      </c>
      <c r="E948" s="204" t="s">
        <v>1661</v>
      </c>
      <c r="F948" s="191" t="str">
        <f>VLOOKUP(MP_registro[[#This Row],[TAG]],'DB-EQUIPOS GEN'!$C$11:$H$833,2,0)</f>
        <v xml:space="preserve">Faja de azucar seca a Silo </v>
      </c>
      <c r="G948" s="191" t="str">
        <f>VLOOKUP(MP_registro[[#This Row],[TAG]],'DB-EQUIPOS GEN'!$C$11:$H$833,3,0)</f>
        <v>PRODUCCION</v>
      </c>
      <c r="H948" s="191" t="str">
        <f>VLOOKUP(MP_registro[[#This Row],[TAG]],'DB-EQUIPOS GEN'!$C$11:$H$833,4,0)</f>
        <v>ENVASADO DE AZÚCAR RUBIA</v>
      </c>
      <c r="I948" s="191" t="str">
        <f>VLOOKUP(MP_registro[[#This Row],[TAG]],'DB-EQUIPOS GEN'!$C$11:$H$833,5,0)</f>
        <v>SILO DE AZUCAR 1</v>
      </c>
      <c r="J948" s="191" t="str">
        <f>VLOOKUP(MP_registro[[#This Row],[TAG]],'DB-EQUIPOS GEN'!$C$11:$H$833,6,0)</f>
        <v>0355BI090</v>
      </c>
      <c r="K948" s="192">
        <v>44818</v>
      </c>
      <c r="L948" s="193" t="s">
        <v>249</v>
      </c>
      <c r="M94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948" s="201" t="s">
        <v>1664</v>
      </c>
      <c r="O948" s="64" t="s">
        <v>1696</v>
      </c>
    </row>
    <row r="949" spans="1:15" ht="33" customHeight="1">
      <c r="A949" s="218">
        <v>945</v>
      </c>
      <c r="B949" s="219" t="s">
        <v>2842</v>
      </c>
      <c r="C949" s="64" t="s">
        <v>2843</v>
      </c>
      <c r="D949" s="191" t="s">
        <v>2882</v>
      </c>
      <c r="E949" s="204" t="s">
        <v>1648</v>
      </c>
      <c r="F949" s="191" t="str">
        <f>VLOOKUP(MP_registro[[#This Row],[TAG]],'DB-EQUIPOS GEN'!$C$11:$H$833,2,0)</f>
        <v>Nivel de agua en domo</v>
      </c>
      <c r="G949" s="191" t="str">
        <f>VLOOKUP(MP_registro[[#This Row],[TAG]],'DB-EQUIPOS GEN'!$C$11:$H$833,3,0)</f>
        <v>E. TERMICA</v>
      </c>
      <c r="H949" s="191" t="str">
        <f>VLOOKUP(MP_registro[[#This Row],[TAG]],'DB-EQUIPOS GEN'!$C$11:$H$833,4,0)</f>
        <v>GENERACIÓN DE VAPOR</v>
      </c>
      <c r="I949" s="191" t="str">
        <f>VLOOKUP(MP_registro[[#This Row],[TAG]],'DB-EQUIPOS GEN'!$C$11:$H$833,5,0)</f>
        <v>DOMO SUPERIOR</v>
      </c>
      <c r="J949" s="191" t="str">
        <f>VLOOKUP(MP_registro[[#This Row],[TAG]],'DB-EQUIPOS GEN'!$C$11:$H$833,6,0)</f>
        <v>0405DO020</v>
      </c>
      <c r="K949" s="192">
        <v>44818</v>
      </c>
      <c r="L949" s="193" t="s">
        <v>245</v>
      </c>
      <c r="M94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49" s="201" t="s">
        <v>1664</v>
      </c>
      <c r="O949" s="64" t="s">
        <v>1696</v>
      </c>
    </row>
    <row r="950" spans="1:15" ht="33" customHeight="1">
      <c r="A950" s="218">
        <v>946</v>
      </c>
      <c r="B950" s="219" t="s">
        <v>2842</v>
      </c>
      <c r="C950" s="64" t="s">
        <v>2843</v>
      </c>
      <c r="D950" s="191" t="s">
        <v>2883</v>
      </c>
      <c r="E950" s="204" t="s">
        <v>1652</v>
      </c>
      <c r="F950" s="191" t="str">
        <f>VLOOKUP(MP_registro[[#This Row],[TAG]],'DB-EQUIPOS GEN'!$C$11:$H$833,2,0)</f>
        <v>Faja 1006A - Patio de Bagazo</v>
      </c>
      <c r="G950" s="191" t="str">
        <f>VLOOKUP(MP_registro[[#This Row],[TAG]],'DB-EQUIPOS GEN'!$C$11:$H$833,3,0)</f>
        <v>E. TERMICA</v>
      </c>
      <c r="H950" s="191" t="str">
        <f>VLOOKUP(MP_registro[[#This Row],[TAG]],'DB-EQUIPOS GEN'!$C$11:$H$833,4,0)</f>
        <v>TRANSPORTE DE BAGAZO</v>
      </c>
      <c r="I950" s="191" t="str">
        <f>VLOOKUP(MP_registro[[#This Row],[TAG]],'DB-EQUIPOS GEN'!$C$11:$H$833,5,0)</f>
        <v>FAJA TRANSPORTADORA 1006 A</v>
      </c>
      <c r="J950" s="191" t="str">
        <f>VLOOKUP(MP_registro[[#This Row],[TAG]],'DB-EQUIPOS GEN'!$C$11:$H$833,6,0)</f>
        <v>0805CV080</v>
      </c>
      <c r="K950" s="192">
        <v>44818</v>
      </c>
      <c r="L950" s="193" t="s">
        <v>245</v>
      </c>
      <c r="M95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50" s="201" t="s">
        <v>1664</v>
      </c>
      <c r="O950" s="64" t="s">
        <v>1696</v>
      </c>
    </row>
    <row r="951" spans="1:15" ht="33" customHeight="1">
      <c r="A951" s="218">
        <v>947</v>
      </c>
      <c r="B951" s="219" t="s">
        <v>2842</v>
      </c>
      <c r="C951" s="64" t="s">
        <v>2942</v>
      </c>
      <c r="D951" s="191" t="s">
        <v>2885</v>
      </c>
      <c r="E951" s="204" t="s">
        <v>338</v>
      </c>
      <c r="F951" s="191" t="str">
        <f>VLOOKUP(MP_registro[[#This Row],[TAG]],'DB-EQUIPOS GEN'!$C$11:$H$833,2,0)</f>
        <v>Flotacion de masa lado motor</v>
      </c>
      <c r="G951" s="191" t="str">
        <f>VLOOKUP(MP_registro[[#This Row],[TAG]],'DB-EQUIPOS GEN'!$C$11:$H$833,3,0)</f>
        <v>EXTRACCION</v>
      </c>
      <c r="H951" s="191" t="str">
        <f>VLOOKUP(MP_registro[[#This Row],[TAG]],'DB-EQUIPOS GEN'!$C$11:$H$833,4,0)</f>
        <v>MOLINOS</v>
      </c>
      <c r="I951" s="191" t="str">
        <f>VLOOKUP(MP_registro[[#This Row],[TAG]],'DB-EQUIPOS GEN'!$C$11:$H$833,5,0)</f>
        <v xml:space="preserve">MOLINO SECADOR </v>
      </c>
      <c r="J951" s="191" t="str">
        <f>VLOOKUP(MP_registro[[#This Row],[TAG]],'DB-EQUIPOS GEN'!$C$11:$H$833,6,0)</f>
        <v>0210MM090</v>
      </c>
      <c r="K951" s="192">
        <v>44819</v>
      </c>
      <c r="L951" s="193" t="s">
        <v>247</v>
      </c>
      <c r="M95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51" s="201" t="s">
        <v>1664</v>
      </c>
      <c r="O951" s="64" t="s">
        <v>1696</v>
      </c>
    </row>
    <row r="952" spans="1:15" ht="33" customHeight="1">
      <c r="A952" s="218">
        <v>948</v>
      </c>
      <c r="B952" s="219" t="s">
        <v>2842</v>
      </c>
      <c r="C952" s="64" t="s">
        <v>2942</v>
      </c>
      <c r="D952" s="191" t="s">
        <v>2886</v>
      </c>
      <c r="E952" s="204" t="s">
        <v>339</v>
      </c>
      <c r="F952" s="191" t="str">
        <f>VLOOKUP(MP_registro[[#This Row],[TAG]],'DB-EQUIPOS GEN'!$C$11:$H$833,2,0)</f>
        <v>Flotacion de masa lado libre</v>
      </c>
      <c r="G952" s="191" t="str">
        <f>VLOOKUP(MP_registro[[#This Row],[TAG]],'DB-EQUIPOS GEN'!$C$11:$H$833,3,0)</f>
        <v>EXTRACCION</v>
      </c>
      <c r="H952" s="191" t="str">
        <f>VLOOKUP(MP_registro[[#This Row],[TAG]],'DB-EQUIPOS GEN'!$C$11:$H$833,4,0)</f>
        <v>MOLINOS</v>
      </c>
      <c r="I952" s="191" t="str">
        <f>VLOOKUP(MP_registro[[#This Row],[TAG]],'DB-EQUIPOS GEN'!$C$11:$H$833,5,0)</f>
        <v xml:space="preserve">MOLINO SECADOR </v>
      </c>
      <c r="J952" s="191" t="str">
        <f>VLOOKUP(MP_registro[[#This Row],[TAG]],'DB-EQUIPOS GEN'!$C$11:$H$833,6,0)</f>
        <v>0210MM090</v>
      </c>
      <c r="K952" s="192">
        <v>44819</v>
      </c>
      <c r="L952" s="193" t="s">
        <v>247</v>
      </c>
      <c r="M95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52" s="201" t="s">
        <v>1664</v>
      </c>
      <c r="O952" s="64" t="s">
        <v>1696</v>
      </c>
    </row>
    <row r="953" spans="1:15" ht="33" customHeight="1">
      <c r="A953" s="218">
        <v>949</v>
      </c>
      <c r="B953" s="219" t="s">
        <v>2842</v>
      </c>
      <c r="C953" s="64" t="s">
        <v>2942</v>
      </c>
      <c r="D953" s="191" t="s">
        <v>2887</v>
      </c>
      <c r="E953" s="204" t="s">
        <v>443</v>
      </c>
      <c r="F953" s="191" t="str">
        <f>VLOOKUP(MP_registro[[#This Row],[TAG]],'DB-EQUIPOS GEN'!$C$11:$H$833,2,0)</f>
        <v>Temperatura de jugo C11</v>
      </c>
      <c r="G953" s="191" t="str">
        <f>VLOOKUP(MP_registro[[#This Row],[TAG]],'DB-EQUIPOS GEN'!$C$11:$H$833,3,0)</f>
        <v>EXTRACCION</v>
      </c>
      <c r="H953" s="191" t="str">
        <f>VLOOKUP(MP_registro[[#This Row],[TAG]],'DB-EQUIPOS GEN'!$C$11:$H$833,4,0)</f>
        <v>DIFUSOR</v>
      </c>
      <c r="I953" s="191" t="str">
        <f>VLOOKUP(MP_registro[[#This Row],[TAG]],'DB-EQUIPOS GEN'!$C$11:$H$833,5,0)</f>
        <v xml:space="preserve">DIFUSOR </v>
      </c>
      <c r="J953" s="191" t="str">
        <f>VLOOKUP(MP_registro[[#This Row],[TAG]],'DB-EQUIPOS GEN'!$C$11:$H$833,6,0)</f>
        <v>0205DF180</v>
      </c>
      <c r="K953" s="192">
        <v>44819</v>
      </c>
      <c r="L953" s="193" t="s">
        <v>247</v>
      </c>
      <c r="M953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53" s="201" t="s">
        <v>1664</v>
      </c>
      <c r="O953" s="64" t="s">
        <v>1696</v>
      </c>
    </row>
    <row r="954" spans="1:15" ht="33" customHeight="1">
      <c r="A954" s="218">
        <v>950</v>
      </c>
      <c r="B954" s="219" t="s">
        <v>2842</v>
      </c>
      <c r="C954" s="64" t="s">
        <v>2942</v>
      </c>
      <c r="D954" s="191" t="s">
        <v>2888</v>
      </c>
      <c r="E954" s="204" t="s">
        <v>447</v>
      </c>
      <c r="F954" s="191" t="str">
        <f>VLOOKUP(MP_registro[[#This Row],[TAG]],'DB-EQUIPOS GEN'!$C$11:$H$833,2,0)</f>
        <v>Temperatura de jugo C12</v>
      </c>
      <c r="G954" s="191" t="str">
        <f>VLOOKUP(MP_registro[[#This Row],[TAG]],'DB-EQUIPOS GEN'!$C$11:$H$833,3,0)</f>
        <v>EXTRACCION</v>
      </c>
      <c r="H954" s="191" t="str">
        <f>VLOOKUP(MP_registro[[#This Row],[TAG]],'DB-EQUIPOS GEN'!$C$11:$H$833,4,0)</f>
        <v>DIFUSOR</v>
      </c>
      <c r="I954" s="191" t="str">
        <f>VLOOKUP(MP_registro[[#This Row],[TAG]],'DB-EQUIPOS GEN'!$C$11:$H$833,5,0)</f>
        <v xml:space="preserve">DIFUSOR </v>
      </c>
      <c r="J954" s="191" t="str">
        <f>VLOOKUP(MP_registro[[#This Row],[TAG]],'DB-EQUIPOS GEN'!$C$11:$H$833,6,0)</f>
        <v>0205DF180</v>
      </c>
      <c r="K954" s="192">
        <v>44819</v>
      </c>
      <c r="L954" s="193" t="s">
        <v>247</v>
      </c>
      <c r="M95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54" s="201" t="s">
        <v>1664</v>
      </c>
      <c r="O954" s="64" t="s">
        <v>1696</v>
      </c>
    </row>
    <row r="955" spans="1:15" ht="33" customHeight="1">
      <c r="A955" s="218">
        <v>951</v>
      </c>
      <c r="B955" s="219" t="s">
        <v>2842</v>
      </c>
      <c r="C955" s="64" t="s">
        <v>2942</v>
      </c>
      <c r="D955" s="191" t="s">
        <v>2889</v>
      </c>
      <c r="E955" s="204" t="s">
        <v>1178</v>
      </c>
      <c r="F955" s="191" t="str">
        <f>VLOOKUP(MP_registro[[#This Row],[TAG]],'DB-EQUIPOS GEN'!$C$11:$H$833,2,0)</f>
        <v>Valvula control de nivel FFE - 4B</v>
      </c>
      <c r="G955" s="191" t="str">
        <f>VLOOKUP(MP_registro[[#This Row],[TAG]],'DB-EQUIPOS GEN'!$C$11:$H$833,3,0)</f>
        <v>PRODUCCION</v>
      </c>
      <c r="H955" s="191" t="str">
        <f>VLOOKUP(MP_registro[[#This Row],[TAG]],'DB-EQUIPOS GEN'!$C$11:$H$833,4,0)</f>
        <v>EVAPORACION DE JUGO</v>
      </c>
      <c r="I955" s="191" t="str">
        <f>VLOOKUP(MP_registro[[#This Row],[TAG]],'DB-EQUIPOS GEN'!$C$11:$H$833,5,0)</f>
        <v>EVAPORADOR FFE 4B</v>
      </c>
      <c r="J955" s="191" t="str">
        <f>VLOOKUP(MP_registro[[#This Row],[TAG]],'DB-EQUIPOS GEN'!$C$11:$H$833,6,0)</f>
        <v>0320EV070</v>
      </c>
      <c r="K955" s="192">
        <v>44819</v>
      </c>
      <c r="L955" s="193" t="s">
        <v>245</v>
      </c>
      <c r="M95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55" s="201" t="s">
        <v>1664</v>
      </c>
      <c r="O955" s="64" t="s">
        <v>1696</v>
      </c>
    </row>
    <row r="956" spans="1:15" ht="33" customHeight="1">
      <c r="A956" s="218">
        <v>952</v>
      </c>
      <c r="B956" s="219" t="s">
        <v>2842</v>
      </c>
      <c r="C956" s="64" t="s">
        <v>2942</v>
      </c>
      <c r="D956" s="191" t="s">
        <v>2890</v>
      </c>
      <c r="E956" s="204" t="s">
        <v>1061</v>
      </c>
      <c r="F956" s="191" t="str">
        <f>VLOOKUP(MP_registro[[#This Row],[TAG]],'DB-EQUIPOS GEN'!$C$11:$H$833,2,0)</f>
        <v>Valvula reductora 1</v>
      </c>
      <c r="G956" s="191" t="str">
        <f>VLOOKUP(MP_registro[[#This Row],[TAG]],'DB-EQUIPOS GEN'!$C$11:$H$833,3,0)</f>
        <v>E. TERMICA</v>
      </c>
      <c r="H956" s="191" t="str">
        <f>VLOOKUP(MP_registro[[#This Row],[TAG]],'DB-EQUIPOS GEN'!$C$11:$H$833,4,0)</f>
        <v>DISTRIBUCION DE VAPOR</v>
      </c>
      <c r="I956" s="191" t="str">
        <f>VLOOKUP(MP_registro[[#This Row],[TAG]],'DB-EQUIPOS GEN'!$C$11:$H$833,5,0)</f>
        <v>REDUCTOR DE DESPACHO DE VAPOR 1</v>
      </c>
      <c r="J956" s="191" t="str">
        <f>VLOOKUP(MP_registro[[#This Row],[TAG]],'DB-EQUIPOS GEN'!$C$11:$H$833,6,0)</f>
        <v>0405RE010</v>
      </c>
      <c r="K956" s="192">
        <v>44819</v>
      </c>
      <c r="L956" s="193" t="s">
        <v>247</v>
      </c>
      <c r="M95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56" s="201" t="s">
        <v>1664</v>
      </c>
      <c r="O956" s="64" t="s">
        <v>1696</v>
      </c>
    </row>
    <row r="957" spans="1:15" ht="33" customHeight="1">
      <c r="A957" s="218">
        <v>953</v>
      </c>
      <c r="B957" s="219" t="s">
        <v>2842</v>
      </c>
      <c r="C957" s="64" t="s">
        <v>2942</v>
      </c>
      <c r="D957" s="191" t="s">
        <v>2891</v>
      </c>
      <c r="E957" s="204" t="s">
        <v>255</v>
      </c>
      <c r="F957" s="191" t="str">
        <f>VLOOKUP(MP_registro[[#This Row],[TAG]],'DB-EQUIPOS GEN'!$C$11:$H$833,2,0)</f>
        <v>Tablero de periferia en Asset Turbina</v>
      </c>
      <c r="G957" s="191" t="str">
        <f>VLOOKUP(MP_registro[[#This Row],[TAG]],'DB-EQUIPOS GEN'!$C$11:$H$833,3,0)</f>
        <v>E. ELECTRICA</v>
      </c>
      <c r="H957" s="191" t="str">
        <f>VLOOKUP(MP_registro[[#This Row],[TAG]],'DB-EQUIPOS GEN'!$C$11:$H$833,4,0)</f>
        <v>GENERACION ENERG. ELEC. TURBO GENERADOR</v>
      </c>
      <c r="I957" s="191" t="str">
        <f>VLOOKUP(MP_registro[[#This Row],[TAG]],'DB-EQUIPOS GEN'!$C$11:$H$833,5,0)</f>
        <v>TURBOGENERADOR 7.5 MW</v>
      </c>
      <c r="J957" s="191" t="str">
        <f>VLOOKUP(MP_registro[[#This Row],[TAG]],'DB-EQUIPOS GEN'!$C$11:$H$833,6,0)</f>
        <v>0430TG010</v>
      </c>
      <c r="K957" s="192">
        <v>44819</v>
      </c>
      <c r="L957" s="193" t="s">
        <v>248</v>
      </c>
      <c r="M957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957" s="201" t="s">
        <v>1664</v>
      </c>
      <c r="O957" s="64" t="s">
        <v>1696</v>
      </c>
    </row>
    <row r="958" spans="1:15" ht="33" customHeight="1">
      <c r="A958" s="218">
        <v>954</v>
      </c>
      <c r="B958" s="219" t="s">
        <v>2842</v>
      </c>
      <c r="C958" s="64" t="s">
        <v>2942</v>
      </c>
      <c r="D958" s="191" t="s">
        <v>2892</v>
      </c>
      <c r="E958" s="204" t="s">
        <v>259</v>
      </c>
      <c r="F958" s="191" t="str">
        <f>VLOOKUP(MP_registro[[#This Row],[TAG]],'DB-EQUIPOS GEN'!$C$11:$H$833,2,0)</f>
        <v>Tablero de periferia en Asset PH &amp; Cpan</v>
      </c>
      <c r="G958" s="191" t="str">
        <f>VLOOKUP(MP_registro[[#This Row],[TAG]],'DB-EQUIPOS GEN'!$C$11:$H$833,3,0)</f>
        <v>PRODUCCION</v>
      </c>
      <c r="H958" s="191" t="str">
        <f>VLOOKUP(MP_registro[[#This Row],[TAG]],'DB-EQUIPOS GEN'!$C$11:$H$833,4,0)</f>
        <v>CRISTALIZACION POR COCCION</v>
      </c>
      <c r="I958" s="191" t="str">
        <f>VLOOKUP(MP_registro[[#This Row],[TAG]],'DB-EQUIPOS GEN'!$C$11:$H$833,5,0)</f>
        <v>TACHO CONTINUO - A</v>
      </c>
      <c r="J958" s="191" t="str">
        <f>VLOOKUP(MP_registro[[#This Row],[TAG]],'DB-EQUIPOS GEN'!$C$11:$H$833,6,0)</f>
        <v>0335HX200</v>
      </c>
      <c r="K958" s="192">
        <v>44819</v>
      </c>
      <c r="L958" s="193" t="s">
        <v>248</v>
      </c>
      <c r="M958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958" s="201" t="s">
        <v>1664</v>
      </c>
      <c r="O958" s="64" t="s">
        <v>1696</v>
      </c>
    </row>
    <row r="959" spans="1:15" ht="33" customHeight="1">
      <c r="A959" s="218">
        <v>955</v>
      </c>
      <c r="B959" s="219" t="s">
        <v>2842</v>
      </c>
      <c r="C959" s="64" t="s">
        <v>2942</v>
      </c>
      <c r="D959" s="191" t="s">
        <v>2893</v>
      </c>
      <c r="E959" s="204" t="s">
        <v>1339</v>
      </c>
      <c r="F959" s="191" t="str">
        <f>VLOOKUP(MP_registro[[#This Row],[TAG]],'DB-EQUIPOS GEN'!$C$11:$H$833,2,0)</f>
        <v>Tablero de distribucion de FFOO - red modbus</v>
      </c>
      <c r="G959" s="191" t="str">
        <f>VLOOKUP(MP_registro[[#This Row],[TAG]],'DB-EQUIPOS GEN'!$C$11:$H$833,3,0)</f>
        <v>E. ELECTRICA</v>
      </c>
      <c r="H959" s="191" t="str">
        <f>VLOOKUP(MP_registro[[#This Row],[TAG]],'DB-EQUIPOS GEN'!$C$11:$H$833,4,0)</f>
        <v>SISTEMA DE CONTROL DISTRIBUIDO</v>
      </c>
      <c r="I959" s="191" t="str">
        <f>VLOOKUP(MP_registro[[#This Row],[TAG]],'DB-EQUIPOS GEN'!$C$11:$H$833,5,0)</f>
        <v>SISTEMA DE CONTROL DISTRIBUIDO</v>
      </c>
      <c r="J959" s="191" t="str">
        <f>VLOOKUP(MP_registro[[#This Row],[TAG]],'DB-EQUIPOS GEN'!$C$11:$H$833,6,0)</f>
        <v>DCS</v>
      </c>
      <c r="K959" s="192">
        <v>44819</v>
      </c>
      <c r="L959" s="193" t="s">
        <v>248</v>
      </c>
      <c r="M959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959" s="201" t="s">
        <v>1664</v>
      </c>
      <c r="O959" s="64" t="s">
        <v>1696</v>
      </c>
    </row>
    <row r="960" spans="1:15" ht="33" customHeight="1">
      <c r="A960" s="218">
        <v>956</v>
      </c>
      <c r="B960" s="219" t="s">
        <v>2842</v>
      </c>
      <c r="C960" s="64" t="s">
        <v>2942</v>
      </c>
      <c r="D960" s="191" t="s">
        <v>2894</v>
      </c>
      <c r="E960" s="204" t="s">
        <v>1344</v>
      </c>
      <c r="F960" s="191" t="str">
        <f>VLOOKUP(MP_registro[[#This Row],[TAG]],'DB-EQUIPOS GEN'!$C$11:$H$833,2,0)</f>
        <v>Controlador C300 en Asset Difusor</v>
      </c>
      <c r="G960" s="191" t="str">
        <f>VLOOKUP(MP_registro[[#This Row],[TAG]],'DB-EQUIPOS GEN'!$C$11:$H$833,3,0)</f>
        <v>EXTRACCION</v>
      </c>
      <c r="H960" s="191" t="str">
        <f>VLOOKUP(MP_registro[[#This Row],[TAG]],'DB-EQUIPOS GEN'!$C$11:$H$833,4,0)</f>
        <v>DIFUSOR</v>
      </c>
      <c r="I960" s="191" t="str">
        <f>VLOOKUP(MP_registro[[#This Row],[TAG]],'DB-EQUIPOS GEN'!$C$11:$H$833,5,0)</f>
        <v>DIFUSOR</v>
      </c>
      <c r="J960" s="191" t="str">
        <f>VLOOKUP(MP_registro[[#This Row],[TAG]],'DB-EQUIPOS GEN'!$C$11:$H$833,6,0)</f>
        <v>0205DF180</v>
      </c>
      <c r="K960" s="192">
        <v>44819</v>
      </c>
      <c r="L960" s="193" t="s">
        <v>248</v>
      </c>
      <c r="M960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960" s="201" t="s">
        <v>1664</v>
      </c>
      <c r="O960" s="64" t="s">
        <v>1696</v>
      </c>
    </row>
    <row r="961" spans="1:15" ht="33" customHeight="1">
      <c r="A961" s="218">
        <v>957</v>
      </c>
      <c r="B961" s="219" t="s">
        <v>2842</v>
      </c>
      <c r="C961" s="64" t="s">
        <v>2942</v>
      </c>
      <c r="D961" s="191" t="s">
        <v>2895</v>
      </c>
      <c r="E961" s="204" t="s">
        <v>1348</v>
      </c>
      <c r="F961" s="191" t="str">
        <f>VLOOKUP(MP_registro[[#This Row],[TAG]],'DB-EQUIPOS GEN'!$C$11:$H$833,2,0)</f>
        <v>Controlador C300 en Asset Cocimiento</v>
      </c>
      <c r="G961" s="191" t="str">
        <f>VLOOKUP(MP_registro[[#This Row],[TAG]],'DB-EQUIPOS GEN'!$C$11:$H$833,3,0)</f>
        <v>PRODUCCION</v>
      </c>
      <c r="H961" s="191" t="str">
        <f>VLOOKUP(MP_registro[[#This Row],[TAG]],'DB-EQUIPOS GEN'!$C$11:$H$833,4,0)</f>
        <v>CRISTALIZACION POR COCCION</v>
      </c>
      <c r="I961" s="191" t="str">
        <f>VLOOKUP(MP_registro[[#This Row],[TAG]],'DB-EQUIPOS GEN'!$C$11:$H$833,5,0)</f>
        <v>TACHO CONTINUO - A</v>
      </c>
      <c r="J961" s="191" t="str">
        <f>VLOOKUP(MP_registro[[#This Row],[TAG]],'DB-EQUIPOS GEN'!$C$11:$H$833,6,0)</f>
        <v>0335HX200</v>
      </c>
      <c r="K961" s="192">
        <v>44819</v>
      </c>
      <c r="L961" s="193" t="s">
        <v>248</v>
      </c>
      <c r="M961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961" s="201" t="s">
        <v>1664</v>
      </c>
      <c r="O961" s="64" t="s">
        <v>1696</v>
      </c>
    </row>
    <row r="962" spans="1:15" ht="33" customHeight="1">
      <c r="A962" s="218">
        <v>958</v>
      </c>
      <c r="B962" s="219" t="s">
        <v>2842</v>
      </c>
      <c r="C962" s="64" t="s">
        <v>2942</v>
      </c>
      <c r="D962" s="191" t="s">
        <v>2896</v>
      </c>
      <c r="E962" s="204" t="s">
        <v>1653</v>
      </c>
      <c r="F962" s="191" t="str">
        <f>VLOOKUP(MP_registro[[#This Row],[TAG]],'DB-EQUIPOS GEN'!$C$11:$H$833,2,0)</f>
        <v>Operación del desviador de bagazo</v>
      </c>
      <c r="G962" s="191" t="str">
        <f>VLOOKUP(MP_registro[[#This Row],[TAG]],'DB-EQUIPOS GEN'!$C$11:$H$833,3,0)</f>
        <v>E. TERMICA</v>
      </c>
      <c r="H962" s="191" t="str">
        <f>VLOOKUP(MP_registro[[#This Row],[TAG]],'DB-EQUIPOS GEN'!$C$11:$H$833,4,0)</f>
        <v>TRANSPORTE DE BAGAZO</v>
      </c>
      <c r="I962" s="191" t="str">
        <f>VLOOKUP(MP_registro[[#This Row],[TAG]],'DB-EQUIPOS GEN'!$C$11:$H$833,5,0)</f>
        <v>FAJA TRANSPORTADORA 1004</v>
      </c>
      <c r="J962" s="191" t="str">
        <f>VLOOKUP(MP_registro[[#This Row],[TAG]],'DB-EQUIPOS GEN'!$C$11:$H$833,6,0)</f>
        <v>0805CV070</v>
      </c>
      <c r="K962" s="192">
        <v>44819</v>
      </c>
      <c r="L962" s="193" t="s">
        <v>247</v>
      </c>
      <c r="M96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62" s="201" t="s">
        <v>1664</v>
      </c>
      <c r="O962" s="64" t="s">
        <v>1696</v>
      </c>
    </row>
    <row r="963" spans="1:15" ht="33" customHeight="1">
      <c r="A963" s="218">
        <v>959</v>
      </c>
      <c r="B963" s="219" t="s">
        <v>2842</v>
      </c>
      <c r="C963" s="64" t="s">
        <v>2942</v>
      </c>
      <c r="D963" s="191" t="s">
        <v>2897</v>
      </c>
      <c r="E963" s="204" t="s">
        <v>1655</v>
      </c>
      <c r="F963" s="191" t="str">
        <f>VLOOKUP(MP_registro[[#This Row],[TAG]],'DB-EQUIPOS GEN'!$C$11:$H$833,2,0)</f>
        <v>Vista global de planta de osmosis</v>
      </c>
      <c r="G963" s="191" t="str">
        <f>VLOOKUP(MP_registro[[#This Row],[TAG]],'DB-EQUIPOS GEN'!$C$11:$H$833,3,0)</f>
        <v>E. TERMICA</v>
      </c>
      <c r="H963" s="191" t="str">
        <f>VLOOKUP(MP_registro[[#This Row],[TAG]],'DB-EQUIPOS GEN'!$C$11:$H$833,4,0)</f>
        <v>PLANTA TRATAMIENTO OSMOSIS INVERSA</v>
      </c>
      <c r="I963" s="191" t="str">
        <f>VLOOKUP(MP_registro[[#This Row],[TAG]],'DB-EQUIPOS GEN'!$C$11:$H$833,5,0)</f>
        <v>PLANTA DE OSMOSIS INVERSA</v>
      </c>
      <c r="J963" s="191" t="str">
        <f>VLOOKUP(MP_registro[[#This Row],[TAG]],'DB-EQUIPOS GEN'!$C$11:$H$833,6,0)</f>
        <v>0425OI101</v>
      </c>
      <c r="K963" s="192">
        <v>44819</v>
      </c>
      <c r="L963" s="193" t="s">
        <v>247</v>
      </c>
      <c r="M963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63" s="201" t="s">
        <v>1664</v>
      </c>
      <c r="O963" s="64" t="s">
        <v>1696</v>
      </c>
    </row>
    <row r="964" spans="1:15" ht="33" customHeight="1">
      <c r="A964" s="218">
        <v>960</v>
      </c>
      <c r="B964" s="219" t="s">
        <v>2842</v>
      </c>
      <c r="C964" s="64" t="s">
        <v>2942</v>
      </c>
      <c r="D964" s="191" t="s">
        <v>2898</v>
      </c>
      <c r="E964" s="204" t="s">
        <v>288</v>
      </c>
      <c r="F964" s="191" t="str">
        <f>VLOOKUP(MP_registro[[#This Row],[TAG]],'DB-EQUIPOS GEN'!$C$11:$H$833,2,0)</f>
        <v>Nivel de jugo del tanque flash</v>
      </c>
      <c r="G964" s="191" t="str">
        <f>VLOOKUP(MP_registro[[#This Row],[TAG]],'DB-EQUIPOS GEN'!$C$11:$H$833,3,0)</f>
        <v>PRODUCCION</v>
      </c>
      <c r="H964" s="191" t="str">
        <f>VLOOKUP(MP_registro[[#This Row],[TAG]],'DB-EQUIPOS GEN'!$C$11:$H$833,4,0)</f>
        <v>CLARIFICACION DE JUGO</v>
      </c>
      <c r="I964" s="191" t="str">
        <f>VLOOKUP(MP_registro[[#This Row],[TAG]],'DB-EQUIPOS GEN'!$C$11:$H$833,5,0)</f>
        <v>TANQUE FLASH</v>
      </c>
      <c r="J964" s="191" t="str">
        <f>VLOOKUP(MP_registro[[#This Row],[TAG]],'DB-EQUIPOS GEN'!$C$11:$H$833,6,0)</f>
        <v>0305TK270</v>
      </c>
      <c r="K964" s="192">
        <v>44820</v>
      </c>
      <c r="L964" s="193" t="s">
        <v>247</v>
      </c>
      <c r="M96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64" s="201" t="s">
        <v>1664</v>
      </c>
      <c r="O964" s="64" t="s">
        <v>1696</v>
      </c>
    </row>
    <row r="965" spans="1:15" ht="33" customHeight="1">
      <c r="A965" s="218">
        <v>961</v>
      </c>
      <c r="B965" s="219" t="s">
        <v>2842</v>
      </c>
      <c r="C965" s="64" t="s">
        <v>2942</v>
      </c>
      <c r="D965" s="191" t="s">
        <v>2899</v>
      </c>
      <c r="E965" s="204" t="s">
        <v>453</v>
      </c>
      <c r="F965" s="191" t="str">
        <f>VLOOKUP(MP_registro[[#This Row],[TAG]],'DB-EQUIPOS GEN'!$C$11:$H$833,2,0)</f>
        <v>Temperatura de salida jugo de calentador CCT-1</v>
      </c>
      <c r="G965" s="191" t="str">
        <f>VLOOKUP(MP_registro[[#This Row],[TAG]],'DB-EQUIPOS GEN'!$C$11:$H$833,3,0)</f>
        <v>PRODUCCION</v>
      </c>
      <c r="H965" s="191" t="str">
        <f>VLOOKUP(MP_registro[[#This Row],[TAG]],'DB-EQUIPOS GEN'!$C$11:$H$833,4,0)</f>
        <v>CALENTAMIENTO DE JUGO ENCALADO</v>
      </c>
      <c r="I965" s="191" t="str">
        <f>VLOOKUP(MP_registro[[#This Row],[TAG]],'DB-EQUIPOS GEN'!$C$11:$H$833,5,0)</f>
        <v xml:space="preserve">CALENTADOR DE JUGO ENCALADO </v>
      </c>
      <c r="J965" s="191" t="str">
        <f>VLOOKUP(MP_registro[[#This Row],[TAG]],'DB-EQUIPOS GEN'!$C$11:$H$833,6,0)</f>
        <v xml:space="preserve"> 0305HX090</v>
      </c>
      <c r="K965" s="192">
        <v>44820</v>
      </c>
      <c r="L965" s="193" t="s">
        <v>247</v>
      </c>
      <c r="M965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65" s="201" t="s">
        <v>1664</v>
      </c>
      <c r="O965" s="64" t="s">
        <v>1696</v>
      </c>
    </row>
    <row r="966" spans="1:15" ht="33" customHeight="1">
      <c r="A966" s="218">
        <v>962</v>
      </c>
      <c r="B966" s="219" t="s">
        <v>2842</v>
      </c>
      <c r="C966" s="64" t="s">
        <v>2942</v>
      </c>
      <c r="D966" s="191" t="s">
        <v>2900</v>
      </c>
      <c r="E966" s="204" t="s">
        <v>455</v>
      </c>
      <c r="F966" s="191" t="str">
        <f>VLOOKUP(MP_registro[[#This Row],[TAG]],'DB-EQUIPOS GEN'!$C$11:$H$833,2,0)</f>
        <v>Presion de jugo encalado CCT-1</v>
      </c>
      <c r="G966" s="191" t="str">
        <f>VLOOKUP(MP_registro[[#This Row],[TAG]],'DB-EQUIPOS GEN'!$C$11:$H$833,3,0)</f>
        <v>PRODUCCION</v>
      </c>
      <c r="H966" s="191" t="str">
        <f>VLOOKUP(MP_registro[[#This Row],[TAG]],'DB-EQUIPOS GEN'!$C$11:$H$833,4,0)</f>
        <v>CALENTAMIENTO DE JUGO ENCALADO</v>
      </c>
      <c r="I966" s="191" t="str">
        <f>VLOOKUP(MP_registro[[#This Row],[TAG]],'DB-EQUIPOS GEN'!$C$11:$H$833,5,0)</f>
        <v xml:space="preserve">CALENTADOR DE JUGO ENCALADO </v>
      </c>
      <c r="J966" s="191" t="str">
        <f>VLOOKUP(MP_registro[[#This Row],[TAG]],'DB-EQUIPOS GEN'!$C$11:$H$833,6,0)</f>
        <v xml:space="preserve"> 0305HX090</v>
      </c>
      <c r="K966" s="192">
        <v>44820</v>
      </c>
      <c r="L966" s="193" t="s">
        <v>247</v>
      </c>
      <c r="M96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66" s="201" t="s">
        <v>1664</v>
      </c>
      <c r="O966" s="64" t="s">
        <v>1696</v>
      </c>
    </row>
    <row r="967" spans="1:15" ht="33" customHeight="1">
      <c r="A967" s="218">
        <v>963</v>
      </c>
      <c r="B967" s="219" t="s">
        <v>2842</v>
      </c>
      <c r="C967" s="64" t="s">
        <v>2942</v>
      </c>
      <c r="D967" s="191" t="s">
        <v>2901</v>
      </c>
      <c r="E967" s="204" t="s">
        <v>1340</v>
      </c>
      <c r="F967" s="191" t="str">
        <f>VLOOKUP(MP_registro[[#This Row],[TAG]],'DB-EQUIPOS GEN'!$C$11:$H$833,2,0)</f>
        <v>Controlador C300 en Asset Caldera</v>
      </c>
      <c r="G967" s="191" t="str">
        <f>VLOOKUP(MP_registro[[#This Row],[TAG]],'DB-EQUIPOS GEN'!$C$11:$H$833,3,0)</f>
        <v>E. TERMICA</v>
      </c>
      <c r="H967" s="191" t="str">
        <f>VLOOKUP(MP_registro[[#This Row],[TAG]],'DB-EQUIPOS GEN'!$C$11:$H$833,4,0)</f>
        <v>GENERACION DE VAPOR</v>
      </c>
      <c r="I967" s="191" t="str">
        <f>VLOOKUP(MP_registro[[#This Row],[TAG]],'DB-EQUIPOS GEN'!$C$11:$H$833,5,0)</f>
        <v>CALDERA</v>
      </c>
      <c r="J967" s="191" t="str">
        <f>VLOOKUP(MP_registro[[#This Row],[TAG]],'DB-EQUIPOS GEN'!$C$11:$H$833,6,0)</f>
        <v>0405BR010</v>
      </c>
      <c r="K967" s="192">
        <v>44820</v>
      </c>
      <c r="L967" s="193" t="s">
        <v>248</v>
      </c>
      <c r="M967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967" s="201" t="s">
        <v>1664</v>
      </c>
      <c r="O967" s="64" t="s">
        <v>1696</v>
      </c>
    </row>
    <row r="968" spans="1:15" ht="33" customHeight="1">
      <c r="A968" s="218">
        <v>964</v>
      </c>
      <c r="B968" s="219" t="s">
        <v>2842</v>
      </c>
      <c r="C968" s="64" t="s">
        <v>2942</v>
      </c>
      <c r="D968" s="191" t="s">
        <v>2902</v>
      </c>
      <c r="E968" s="204" t="s">
        <v>1342</v>
      </c>
      <c r="F968" s="191" t="str">
        <f>VLOOKUP(MP_registro[[#This Row],[TAG]],'DB-EQUIPOS GEN'!$C$11:$H$833,2,0)</f>
        <v>Controlador C300 en Asset Turbina</v>
      </c>
      <c r="G968" s="191" t="str">
        <f>VLOOKUP(MP_registro[[#This Row],[TAG]],'DB-EQUIPOS GEN'!$C$11:$H$833,3,0)</f>
        <v>E. ELECTRICA</v>
      </c>
      <c r="H968" s="191" t="str">
        <f>VLOOKUP(MP_registro[[#This Row],[TAG]],'DB-EQUIPOS GEN'!$C$11:$H$833,4,0)</f>
        <v>GENERACION ENERG. ELEC. TURBO GENERADOR</v>
      </c>
      <c r="I968" s="191" t="str">
        <f>VLOOKUP(MP_registro[[#This Row],[TAG]],'DB-EQUIPOS GEN'!$C$11:$H$833,5,0)</f>
        <v>TURBOGENERADOR 7.5 MW</v>
      </c>
      <c r="J968" s="191" t="str">
        <f>VLOOKUP(MP_registro[[#This Row],[TAG]],'DB-EQUIPOS GEN'!$C$11:$H$833,6,0)</f>
        <v>0430TG010</v>
      </c>
      <c r="K968" s="192">
        <v>44820</v>
      </c>
      <c r="L968" s="193" t="s">
        <v>248</v>
      </c>
      <c r="M968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968" s="201" t="s">
        <v>1664</v>
      </c>
      <c r="O968" s="64" t="s">
        <v>1696</v>
      </c>
    </row>
    <row r="969" spans="1:15" ht="33" customHeight="1">
      <c r="A969" s="218">
        <v>965</v>
      </c>
      <c r="B969" s="219" t="s">
        <v>2842</v>
      </c>
      <c r="C969" s="64" t="s">
        <v>2942</v>
      </c>
      <c r="D969" s="191" t="s">
        <v>2903</v>
      </c>
      <c r="E969" s="204" t="s">
        <v>1350</v>
      </c>
      <c r="F969" s="191" t="str">
        <f>VLOOKUP(MP_registro[[#This Row],[TAG]],'DB-EQUIPOS GEN'!$C$11:$H$833,2,0)</f>
        <v>Controlador C300 en Asset PH &amp; Cpan</v>
      </c>
      <c r="G969" s="191" t="str">
        <f>VLOOKUP(MP_registro[[#This Row],[TAG]],'DB-EQUIPOS GEN'!$C$11:$H$833,3,0)</f>
        <v>PRODUCCION</v>
      </c>
      <c r="H969" s="191" t="str">
        <f>VLOOKUP(MP_registro[[#This Row],[TAG]],'DB-EQUIPOS GEN'!$C$11:$H$833,4,0)</f>
        <v>CRISTALIZACION POR COCCION</v>
      </c>
      <c r="I969" s="191" t="str">
        <f>VLOOKUP(MP_registro[[#This Row],[TAG]],'DB-EQUIPOS GEN'!$C$11:$H$833,5,0)</f>
        <v>TACHO CONTINUO - A</v>
      </c>
      <c r="J969" s="191" t="str">
        <f>VLOOKUP(MP_registro[[#This Row],[TAG]],'DB-EQUIPOS GEN'!$C$11:$H$833,6,0)</f>
        <v>0335HX200</v>
      </c>
      <c r="K969" s="192">
        <v>44820</v>
      </c>
      <c r="L969" s="193" t="s">
        <v>248</v>
      </c>
      <c r="M969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969" s="201" t="s">
        <v>1664</v>
      </c>
      <c r="O969" s="64" t="s">
        <v>1696</v>
      </c>
    </row>
    <row r="970" spans="1:15" ht="33" customHeight="1">
      <c r="A970" s="218">
        <v>966</v>
      </c>
      <c r="B970" s="219" t="s">
        <v>2842</v>
      </c>
      <c r="C970" s="64" t="s">
        <v>2942</v>
      </c>
      <c r="D970" s="191" t="s">
        <v>2904</v>
      </c>
      <c r="E970" s="204" t="s">
        <v>2416</v>
      </c>
      <c r="F970" s="191" t="str">
        <f>VLOOKUP(MP_registro[[#This Row],[TAG]],'DB-EQUIPOS GEN'!$C$11:$H$833,2,0)</f>
        <v>Vista Conductor Auxiliar - Superior</v>
      </c>
      <c r="G970" s="191" t="str">
        <f>VLOOKUP(MP_registro[[#This Row],[TAG]],'DB-EQUIPOS GEN'!$C$11:$H$833,3,0)</f>
        <v>EXTRACCION</v>
      </c>
      <c r="H970" s="191" t="str">
        <f>VLOOKUP(MP_registro[[#This Row],[TAG]],'DB-EQUIPOS GEN'!$C$11:$H$833,4,0)</f>
        <v>PREPARACIÓN DE CAÑA</v>
      </c>
      <c r="I970" s="191" t="str">
        <f>VLOOKUP(MP_registro[[#This Row],[TAG]],'DB-EQUIPOS GEN'!$C$11:$H$833,5,0)</f>
        <v>CONDUCTOR AUXILIAR DE CAÑA</v>
      </c>
      <c r="J970" s="191" t="str">
        <f>VLOOKUP(MP_registro[[#This Row],[TAG]],'DB-EQUIPOS GEN'!$C$11:$H$833,6,0)</f>
        <v>0115CV010</v>
      </c>
      <c r="K970" s="192">
        <v>44820</v>
      </c>
      <c r="L970" s="193" t="s">
        <v>245</v>
      </c>
      <c r="M97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70" s="201" t="s">
        <v>1664</v>
      </c>
      <c r="O970" s="64" t="s">
        <v>1696</v>
      </c>
    </row>
    <row r="971" spans="1:15" ht="33" customHeight="1">
      <c r="A971" s="218">
        <v>967</v>
      </c>
      <c r="B971" s="219" t="s">
        <v>2842</v>
      </c>
      <c r="C971" s="64" t="s">
        <v>2942</v>
      </c>
      <c r="D971" s="191" t="s">
        <v>2905</v>
      </c>
      <c r="E971" s="204" t="s">
        <v>2406</v>
      </c>
      <c r="F971" s="191" t="str">
        <f>VLOOKUP(MP_registro[[#This Row],[TAG]],'DB-EQUIPOS GEN'!$C$11:$H$833,2,0)</f>
        <v>Vista Mesa de Caña - Descarga de Tetras</v>
      </c>
      <c r="G971" s="191" t="str">
        <f>VLOOKUP(MP_registro[[#This Row],[TAG]],'DB-EQUIPOS GEN'!$C$11:$H$833,3,0)</f>
        <v>EXTRACCION</v>
      </c>
      <c r="H971" s="191" t="str">
        <f>VLOOKUP(MP_registro[[#This Row],[TAG]],'DB-EQUIPOS GEN'!$C$11:$H$833,4,0)</f>
        <v>RECEPCIÓN DE CAÑA</v>
      </c>
      <c r="I971" s="191" t="str">
        <f>VLOOKUP(MP_registro[[#This Row],[TAG]],'DB-EQUIPOS GEN'!$C$11:$H$833,5,0)</f>
        <v>MESA DE CAÑA</v>
      </c>
      <c r="J971" s="191" t="str">
        <f>VLOOKUP(MP_registro[[#This Row],[TAG]],'DB-EQUIPOS GEN'!$C$11:$H$833,6,0)</f>
        <v>0110FE019</v>
      </c>
      <c r="K971" s="192">
        <v>44820</v>
      </c>
      <c r="L971" s="193" t="s">
        <v>245</v>
      </c>
      <c r="M97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71" s="201" t="s">
        <v>1664</v>
      </c>
      <c r="O971" s="64" t="s">
        <v>1696</v>
      </c>
    </row>
    <row r="972" spans="1:15" ht="33" customHeight="1">
      <c r="A972" s="218">
        <v>968</v>
      </c>
      <c r="B972" s="219" t="s">
        <v>2842</v>
      </c>
      <c r="C972" s="64" t="s">
        <v>2942</v>
      </c>
      <c r="D972" s="191" t="s">
        <v>2906</v>
      </c>
      <c r="E972" s="204" t="s">
        <v>1643</v>
      </c>
      <c r="F972" s="191" t="str">
        <f>VLOOKUP(MP_registro[[#This Row],[TAG]],'DB-EQUIPOS GEN'!$C$11:$H$833,2,0)</f>
        <v>Nivelador de cama de bagazo en difusor</v>
      </c>
      <c r="G972" s="191" t="str">
        <f>VLOOKUP(MP_registro[[#This Row],[TAG]],'DB-EQUIPOS GEN'!$C$11:$H$833,3,0)</f>
        <v>EXTRACCION</v>
      </c>
      <c r="H972" s="191" t="str">
        <f>VLOOKUP(MP_registro[[#This Row],[TAG]],'DB-EQUIPOS GEN'!$C$11:$H$833,4,0)</f>
        <v>DIFUSOR</v>
      </c>
      <c r="I972" s="191" t="str">
        <f>VLOOKUP(MP_registro[[#This Row],[TAG]],'DB-EQUIPOS GEN'!$C$11:$H$833,5,0)</f>
        <v>CONDUCTOR TRANSVERSAL</v>
      </c>
      <c r="J972" s="191" t="str">
        <f>VLOOKUP(MP_registro[[#This Row],[TAG]],'DB-EQUIPOS GEN'!$C$11:$H$833,6,0)</f>
        <v>0205CV190</v>
      </c>
      <c r="K972" s="192">
        <v>44820</v>
      </c>
      <c r="L972" s="193" t="s">
        <v>245</v>
      </c>
      <c r="M972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72" s="201" t="s">
        <v>1664</v>
      </c>
      <c r="O972" s="64" t="s">
        <v>1696</v>
      </c>
    </row>
    <row r="973" spans="1:15" ht="33" customHeight="1">
      <c r="A973" s="218">
        <v>969</v>
      </c>
      <c r="B973" s="219" t="s">
        <v>2842</v>
      </c>
      <c r="C973" s="64" t="s">
        <v>2942</v>
      </c>
      <c r="D973" s="191" t="s">
        <v>2907</v>
      </c>
      <c r="E973" s="204" t="s">
        <v>1645</v>
      </c>
      <c r="F973" s="191" t="str">
        <f>VLOOKUP(MP_registro[[#This Row],[TAG]],'DB-EQUIPOS GEN'!$C$11:$H$833,2,0)</f>
        <v>Tamiz rotativo</v>
      </c>
      <c r="G973" s="191" t="str">
        <f>VLOOKUP(MP_registro[[#This Row],[TAG]],'DB-EQUIPOS GEN'!$C$11:$H$833,3,0)</f>
        <v>EXTRACCION</v>
      </c>
      <c r="H973" s="191" t="str">
        <f>VLOOKUP(MP_registro[[#This Row],[TAG]],'DB-EQUIPOS GEN'!$C$11:$H$833,4,0)</f>
        <v>DIFUSOR</v>
      </c>
      <c r="I973" s="191" t="str">
        <f>VLOOKUP(MP_registro[[#This Row],[TAG]],'DB-EQUIPOS GEN'!$C$11:$H$833,5,0)</f>
        <v>TAMIZ ROTATIVO</v>
      </c>
      <c r="J973" s="191" t="str">
        <f>VLOOKUP(MP_registro[[#This Row],[TAG]],'DB-EQUIPOS GEN'!$C$11:$H$833,6,0)</f>
        <v>0305FL010</v>
      </c>
      <c r="K973" s="192">
        <v>44820</v>
      </c>
      <c r="L973" s="193" t="s">
        <v>245</v>
      </c>
      <c r="M97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73" s="201" t="s">
        <v>1664</v>
      </c>
      <c r="O973" s="64" t="s">
        <v>1696</v>
      </c>
    </row>
    <row r="974" spans="1:15" ht="33" customHeight="1">
      <c r="A974" s="218">
        <v>970</v>
      </c>
      <c r="B974" s="219" t="s">
        <v>2842</v>
      </c>
      <c r="C974" s="64" t="s">
        <v>2942</v>
      </c>
      <c r="D974" s="191" t="s">
        <v>2908</v>
      </c>
      <c r="E974" s="204" t="s">
        <v>1646</v>
      </c>
      <c r="F974" s="191" t="str">
        <f>VLOOKUP(MP_registro[[#This Row],[TAG]],'DB-EQUIPOS GEN'!$C$11:$H$833,2,0)</f>
        <v>Segundo nivel de Turbina TGM</v>
      </c>
      <c r="G974" s="191" t="str">
        <f>VLOOKUP(MP_registro[[#This Row],[TAG]],'DB-EQUIPOS GEN'!$C$11:$H$833,3,0)</f>
        <v>E. ELECTRICA</v>
      </c>
      <c r="H974" s="191" t="str">
        <f>VLOOKUP(MP_registro[[#This Row],[TAG]],'DB-EQUIPOS GEN'!$C$11:$H$833,4,0)</f>
        <v>SISTEMA DE ENFRIAMIENTO</v>
      </c>
      <c r="I974" s="191" t="str">
        <f>VLOOKUP(MP_registro[[#This Row],[TAG]],'DB-EQUIPOS GEN'!$C$11:$H$833,5,0)</f>
        <v>TORRE DE ENFRIAMIENTO MARLEY - TG TGM</v>
      </c>
      <c r="J974" s="191" t="str">
        <f>VLOOKUP(MP_registro[[#This Row],[TAG]],'DB-EQUIPOS GEN'!$C$11:$H$833,6,0)</f>
        <v>0430CT050</v>
      </c>
      <c r="K974" s="192">
        <v>44820</v>
      </c>
      <c r="L974" s="193" t="s">
        <v>247</v>
      </c>
      <c r="M97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74" s="201" t="s">
        <v>1664</v>
      </c>
      <c r="O974" s="64" t="s">
        <v>1696</v>
      </c>
    </row>
    <row r="975" spans="1:15" ht="33" customHeight="1">
      <c r="A975" s="218">
        <v>971</v>
      </c>
      <c r="B975" s="219" t="s">
        <v>2842</v>
      </c>
      <c r="C975" s="64" t="s">
        <v>2942</v>
      </c>
      <c r="D975" s="191" t="s">
        <v>2909</v>
      </c>
      <c r="E975" s="204" t="s">
        <v>1650</v>
      </c>
      <c r="F975" s="191" t="str">
        <f>VLOOKUP(MP_registro[[#This Row],[TAG]],'DB-EQUIPOS GEN'!$C$11:$H$833,2,0)</f>
        <v>Faja 1003 - Conductor distribuidor de bagazo</v>
      </c>
      <c r="G975" s="191" t="str">
        <f>VLOOKUP(MP_registro[[#This Row],[TAG]],'DB-EQUIPOS GEN'!$C$11:$H$833,3,0)</f>
        <v>E. TERMICA</v>
      </c>
      <c r="H975" s="191" t="str">
        <f>VLOOKUP(MP_registro[[#This Row],[TAG]],'DB-EQUIPOS GEN'!$C$11:$H$833,4,0)</f>
        <v>TRANSPORTE DE BAGAZO</v>
      </c>
      <c r="I975" s="191" t="str">
        <f>VLOOKUP(MP_registro[[#This Row],[TAG]],'DB-EQUIPOS GEN'!$C$11:$H$833,5,0)</f>
        <v>TRANSPORTADOR DE BAGAZO 1003</v>
      </c>
      <c r="J975" s="191" t="str">
        <f>VLOOKUP(MP_registro[[#This Row],[TAG]],'DB-EQUIPOS GEN'!$C$11:$H$833,6,0)</f>
        <v>0805CV060</v>
      </c>
      <c r="K975" s="192">
        <v>44820</v>
      </c>
      <c r="L975" s="193" t="s">
        <v>247</v>
      </c>
      <c r="M975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75" s="201" t="s">
        <v>1664</v>
      </c>
      <c r="O975" s="64" t="s">
        <v>1696</v>
      </c>
    </row>
    <row r="976" spans="1:15" ht="33" customHeight="1">
      <c r="A976" s="218">
        <v>972</v>
      </c>
      <c r="B976" s="219" t="s">
        <v>2842</v>
      </c>
      <c r="C976" s="64" t="s">
        <v>2942</v>
      </c>
      <c r="D976" s="191" t="s">
        <v>2910</v>
      </c>
      <c r="E976" s="204" t="s">
        <v>1651</v>
      </c>
      <c r="F976" s="191" t="str">
        <f>VLOOKUP(MP_registro[[#This Row],[TAG]],'DB-EQUIPOS GEN'!$C$11:$H$833,2,0)</f>
        <v>Faja 1008 - Tolva de retorno de bagazo</v>
      </c>
      <c r="G976" s="191" t="str">
        <f>VLOOKUP(MP_registro[[#This Row],[TAG]],'DB-EQUIPOS GEN'!$C$11:$H$833,3,0)</f>
        <v>E. TERMICA</v>
      </c>
      <c r="H976" s="191" t="str">
        <f>VLOOKUP(MP_registro[[#This Row],[TAG]],'DB-EQUIPOS GEN'!$C$11:$H$833,4,0)</f>
        <v>TRANSPORTE DE BAGAZO</v>
      </c>
      <c r="I976" s="191" t="str">
        <f>VLOOKUP(MP_registro[[#This Row],[TAG]],'DB-EQUIPOS GEN'!$C$11:$H$833,5,0)</f>
        <v>FAJA TRANSPORTADORA 1008</v>
      </c>
      <c r="J976" s="191" t="str">
        <f>VLOOKUP(MP_registro[[#This Row],[TAG]],'DB-EQUIPOS GEN'!$C$11:$H$833,6,0)</f>
        <v>0805CV100</v>
      </c>
      <c r="K976" s="192">
        <v>44820</v>
      </c>
      <c r="L976" s="193" t="s">
        <v>247</v>
      </c>
      <c r="M97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76" s="201" t="s">
        <v>1664</v>
      </c>
      <c r="O976" s="64" t="s">
        <v>1696</v>
      </c>
    </row>
    <row r="977" spans="1:15" ht="33" customHeight="1">
      <c r="A977" s="218">
        <v>973</v>
      </c>
      <c r="B977" s="219" t="s">
        <v>2842</v>
      </c>
      <c r="C977" s="64" t="s">
        <v>2942</v>
      </c>
      <c r="D977" s="191" t="s">
        <v>2911</v>
      </c>
      <c r="E977" s="204" t="s">
        <v>1654</v>
      </c>
      <c r="F977" s="191" t="str">
        <f>VLOOKUP(MP_registro[[#This Row],[TAG]],'DB-EQUIPOS GEN'!$C$11:$H$833,2,0)</f>
        <v>Vista global de sala turbina TGM</v>
      </c>
      <c r="G977" s="191" t="str">
        <f>VLOOKUP(MP_registro[[#This Row],[TAG]],'DB-EQUIPOS GEN'!$C$11:$H$833,3,0)</f>
        <v>E. ELECTRICA</v>
      </c>
      <c r="H977" s="191" t="str">
        <f>VLOOKUP(MP_registro[[#This Row],[TAG]],'DB-EQUIPOS GEN'!$C$11:$H$833,4,0)</f>
        <v>SISTEMA DE ENFRIAMIENTO</v>
      </c>
      <c r="I977" s="191" t="str">
        <f>VLOOKUP(MP_registro[[#This Row],[TAG]],'DB-EQUIPOS GEN'!$C$11:$H$833,5,0)</f>
        <v>TORRE DE ENFRIAMIENTO MARLEY - TG TGM</v>
      </c>
      <c r="J977" s="191" t="str">
        <f>VLOOKUP(MP_registro[[#This Row],[TAG]],'DB-EQUIPOS GEN'!$C$11:$H$833,6,0)</f>
        <v>0430CT050</v>
      </c>
      <c r="K977" s="192">
        <v>44820</v>
      </c>
      <c r="L977" s="193" t="s">
        <v>247</v>
      </c>
      <c r="M97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77" s="201" t="s">
        <v>1664</v>
      </c>
      <c r="O977" s="64" t="s">
        <v>1696</v>
      </c>
    </row>
    <row r="978" spans="1:15" ht="33" customHeight="1">
      <c r="A978" s="218">
        <v>974</v>
      </c>
      <c r="B978" s="219" t="s">
        <v>2842</v>
      </c>
      <c r="C978" s="64" t="s">
        <v>2942</v>
      </c>
      <c r="D978" s="191" t="s">
        <v>2912</v>
      </c>
      <c r="E978" s="204" t="s">
        <v>457</v>
      </c>
      <c r="F978" s="191" t="str">
        <f>VLOOKUP(MP_registro[[#This Row],[TAG]],'DB-EQUIPOS GEN'!$C$11:$H$833,2,0)</f>
        <v>Temperatura de salida jugo de calentador CCT-1/2</v>
      </c>
      <c r="G978" s="191" t="str">
        <f>VLOOKUP(MP_registro[[#This Row],[TAG]],'DB-EQUIPOS GEN'!$C$11:$H$833,3,0)</f>
        <v>PRODUCCION</v>
      </c>
      <c r="H978" s="191" t="str">
        <f>VLOOKUP(MP_registro[[#This Row],[TAG]],'DB-EQUIPOS GEN'!$C$11:$H$833,4,0)</f>
        <v>CALENTAMIENTO DE JUGO ENCALADO</v>
      </c>
      <c r="I978" s="191" t="str">
        <f>VLOOKUP(MP_registro[[#This Row],[TAG]],'DB-EQUIPOS GEN'!$C$11:$H$833,5,0)</f>
        <v xml:space="preserve">CALENTADOR DE JUGO ENCALADO </v>
      </c>
      <c r="J978" s="191" t="str">
        <f>VLOOKUP(MP_registro[[#This Row],[TAG]],'DB-EQUIPOS GEN'!$C$11:$H$833,6,0)</f>
        <v xml:space="preserve"> 0305HX100</v>
      </c>
      <c r="K978" s="192">
        <v>44821</v>
      </c>
      <c r="L978" s="193" t="s">
        <v>247</v>
      </c>
      <c r="M97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78" s="201" t="s">
        <v>1664</v>
      </c>
      <c r="O978" s="64" t="s">
        <v>1696</v>
      </c>
    </row>
    <row r="979" spans="1:15" ht="33" customHeight="1">
      <c r="A979" s="218">
        <v>975</v>
      </c>
      <c r="B979" s="219" t="s">
        <v>2842</v>
      </c>
      <c r="C979" s="64" t="s">
        <v>2942</v>
      </c>
      <c r="D979" s="191" t="s">
        <v>2913</v>
      </c>
      <c r="E979" s="204" t="s">
        <v>459</v>
      </c>
      <c r="F979" s="191" t="str">
        <f>VLOOKUP(MP_registro[[#This Row],[TAG]],'DB-EQUIPOS GEN'!$C$11:$H$833,2,0)</f>
        <v>Presion de jugo encalado CCT-1/2</v>
      </c>
      <c r="G979" s="191" t="str">
        <f>VLOOKUP(MP_registro[[#This Row],[TAG]],'DB-EQUIPOS GEN'!$C$11:$H$833,3,0)</f>
        <v>PRODUCCION</v>
      </c>
      <c r="H979" s="191" t="str">
        <f>VLOOKUP(MP_registro[[#This Row],[TAG]],'DB-EQUIPOS GEN'!$C$11:$H$833,4,0)</f>
        <v>CALENTAMIENTO DE JUGO ENCALADO</v>
      </c>
      <c r="I979" s="191" t="str">
        <f>VLOOKUP(MP_registro[[#This Row],[TAG]],'DB-EQUIPOS GEN'!$C$11:$H$833,5,0)</f>
        <v xml:space="preserve">CALENTADOR DE JUGO ENCALADO </v>
      </c>
      <c r="J979" s="191" t="str">
        <f>VLOOKUP(MP_registro[[#This Row],[TAG]],'DB-EQUIPOS GEN'!$C$11:$H$833,6,0)</f>
        <v xml:space="preserve"> 0305HX100</v>
      </c>
      <c r="K979" s="192">
        <v>44821</v>
      </c>
      <c r="L979" s="193" t="s">
        <v>247</v>
      </c>
      <c r="M97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79" s="201" t="s">
        <v>1664</v>
      </c>
      <c r="O979" s="64" t="s">
        <v>1696</v>
      </c>
    </row>
    <row r="980" spans="1:15" ht="33" customHeight="1">
      <c r="A980" s="218">
        <v>976</v>
      </c>
      <c r="B980" s="219" t="s">
        <v>2842</v>
      </c>
      <c r="C980" s="64" t="s">
        <v>2942</v>
      </c>
      <c r="D980" s="191" t="s">
        <v>2914</v>
      </c>
      <c r="E980" s="204" t="s">
        <v>734</v>
      </c>
      <c r="F980" s="191" t="str">
        <f>VLOOKUP(MP_registro[[#This Row],[TAG]],'DB-EQUIPOS GEN'!$C$11:$H$833,2,0)</f>
        <v>Brix de masa A - Celda 3</v>
      </c>
      <c r="G980" s="191" t="str">
        <f>VLOOKUP(MP_registro[[#This Row],[TAG]],'DB-EQUIPOS GEN'!$C$11:$H$833,3,0)</f>
        <v>PRODUCCION</v>
      </c>
      <c r="H980" s="191" t="str">
        <f>VLOOKUP(MP_registro[[#This Row],[TAG]],'DB-EQUIPOS GEN'!$C$11:$H$833,4,0)</f>
        <v>CRISTALIZACION POR COCCION</v>
      </c>
      <c r="I980" s="191" t="str">
        <f>VLOOKUP(MP_registro[[#This Row],[TAG]],'DB-EQUIPOS GEN'!$C$11:$H$833,5,0)</f>
        <v xml:space="preserve">TACHO CONTINUO A </v>
      </c>
      <c r="J980" s="191" t="str">
        <f>VLOOKUP(MP_registro[[#This Row],[TAG]],'DB-EQUIPOS GEN'!$C$11:$H$833,6,0)</f>
        <v xml:space="preserve"> 0335HX200</v>
      </c>
      <c r="K980" s="192">
        <v>44821</v>
      </c>
      <c r="L980" s="193" t="s">
        <v>245</v>
      </c>
      <c r="M98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80" s="201" t="s">
        <v>1664</v>
      </c>
      <c r="O980" s="64" t="s">
        <v>1696</v>
      </c>
    </row>
    <row r="981" spans="1:15" ht="33" customHeight="1">
      <c r="A981" s="218">
        <v>977</v>
      </c>
      <c r="B981" s="219" t="s">
        <v>2842</v>
      </c>
      <c r="C981" s="64" t="s">
        <v>2942</v>
      </c>
      <c r="D981" s="191" t="s">
        <v>2915</v>
      </c>
      <c r="E981" s="204" t="s">
        <v>738</v>
      </c>
      <c r="F981" s="191" t="str">
        <f>VLOOKUP(MP_registro[[#This Row],[TAG]],'DB-EQUIPOS GEN'!$C$11:$H$833,2,0)</f>
        <v>Brix de masa A - Celda 5</v>
      </c>
      <c r="G981" s="191" t="str">
        <f>VLOOKUP(MP_registro[[#This Row],[TAG]],'DB-EQUIPOS GEN'!$C$11:$H$833,3,0)</f>
        <v>PRODUCCION</v>
      </c>
      <c r="H981" s="191" t="str">
        <f>VLOOKUP(MP_registro[[#This Row],[TAG]],'DB-EQUIPOS GEN'!$C$11:$H$833,4,0)</f>
        <v>CRISTALIZACION POR COCCION</v>
      </c>
      <c r="I981" s="191" t="str">
        <f>VLOOKUP(MP_registro[[#This Row],[TAG]],'DB-EQUIPOS GEN'!$C$11:$H$833,5,0)</f>
        <v xml:space="preserve">TACHO CONTINUO A </v>
      </c>
      <c r="J981" s="191" t="str">
        <f>VLOOKUP(MP_registro[[#This Row],[TAG]],'DB-EQUIPOS GEN'!$C$11:$H$833,6,0)</f>
        <v xml:space="preserve"> 0335HX200</v>
      </c>
      <c r="K981" s="192">
        <v>44821</v>
      </c>
      <c r="L981" s="193" t="s">
        <v>245</v>
      </c>
      <c r="M98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81" s="201" t="s">
        <v>1664</v>
      </c>
      <c r="O981" s="64" t="s">
        <v>1696</v>
      </c>
    </row>
    <row r="982" spans="1:15" ht="33" customHeight="1">
      <c r="A982" s="218">
        <v>978</v>
      </c>
      <c r="B982" s="219" t="s">
        <v>2842</v>
      </c>
      <c r="C982" s="64" t="s">
        <v>2942</v>
      </c>
      <c r="D982" s="191" t="s">
        <v>2916</v>
      </c>
      <c r="E982" s="204" t="s">
        <v>742</v>
      </c>
      <c r="F982" s="191" t="str">
        <f>VLOOKUP(MP_registro[[#This Row],[TAG]],'DB-EQUIPOS GEN'!$C$11:$H$833,2,0)</f>
        <v>Brix de masa A - Celda 7</v>
      </c>
      <c r="G982" s="191" t="str">
        <f>VLOOKUP(MP_registro[[#This Row],[TAG]],'DB-EQUIPOS GEN'!$C$11:$H$833,3,0)</f>
        <v>PRODUCCION</v>
      </c>
      <c r="H982" s="191" t="str">
        <f>VLOOKUP(MP_registro[[#This Row],[TAG]],'DB-EQUIPOS GEN'!$C$11:$H$833,4,0)</f>
        <v>CRISTALIZACION POR COCCION</v>
      </c>
      <c r="I982" s="191" t="str">
        <f>VLOOKUP(MP_registro[[#This Row],[TAG]],'DB-EQUIPOS GEN'!$C$11:$H$833,5,0)</f>
        <v xml:space="preserve">TACHO CONTINUO A </v>
      </c>
      <c r="J982" s="191" t="str">
        <f>VLOOKUP(MP_registro[[#This Row],[TAG]],'DB-EQUIPOS GEN'!$C$11:$H$833,6,0)</f>
        <v xml:space="preserve"> 0335HX200</v>
      </c>
      <c r="K982" s="192">
        <v>44821</v>
      </c>
      <c r="L982" s="193" t="s">
        <v>245</v>
      </c>
      <c r="M982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82" s="201" t="s">
        <v>1664</v>
      </c>
      <c r="O982" s="64" t="s">
        <v>1696</v>
      </c>
    </row>
    <row r="983" spans="1:15" ht="33" customHeight="1">
      <c r="A983" s="218">
        <v>979</v>
      </c>
      <c r="B983" s="219" t="s">
        <v>2842</v>
      </c>
      <c r="C983" s="64" t="s">
        <v>2942</v>
      </c>
      <c r="D983" s="191" t="s">
        <v>2917</v>
      </c>
      <c r="E983" s="204" t="s">
        <v>748</v>
      </c>
      <c r="F983" s="191" t="str">
        <f>VLOOKUP(MP_registro[[#This Row],[TAG]],'DB-EQUIPOS GEN'!$C$11:$H$833,2,0)</f>
        <v>Brix de masa A - Celda 10</v>
      </c>
      <c r="G983" s="191" t="str">
        <f>VLOOKUP(MP_registro[[#This Row],[TAG]],'DB-EQUIPOS GEN'!$C$11:$H$833,3,0)</f>
        <v>PRODUCCION</v>
      </c>
      <c r="H983" s="191" t="str">
        <f>VLOOKUP(MP_registro[[#This Row],[TAG]],'DB-EQUIPOS GEN'!$C$11:$H$833,4,0)</f>
        <v>CRISTALIZACION POR COCCION</v>
      </c>
      <c r="I983" s="191" t="str">
        <f>VLOOKUP(MP_registro[[#This Row],[TAG]],'DB-EQUIPOS GEN'!$C$11:$H$833,5,0)</f>
        <v xml:space="preserve">TACHO CONTINUO A </v>
      </c>
      <c r="J983" s="191" t="str">
        <f>VLOOKUP(MP_registro[[#This Row],[TAG]],'DB-EQUIPOS GEN'!$C$11:$H$833,6,0)</f>
        <v xml:space="preserve"> 0335HX200</v>
      </c>
      <c r="K983" s="192">
        <v>44821</v>
      </c>
      <c r="L983" s="193" t="s">
        <v>245</v>
      </c>
      <c r="M98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83" s="201" t="s">
        <v>1664</v>
      </c>
      <c r="O983" s="64" t="s">
        <v>1696</v>
      </c>
    </row>
    <row r="984" spans="1:15" ht="33" customHeight="1">
      <c r="A984" s="218">
        <v>980</v>
      </c>
      <c r="B984" s="219" t="s">
        <v>2842</v>
      </c>
      <c r="C984" s="64" t="s">
        <v>2942</v>
      </c>
      <c r="D984" s="191" t="s">
        <v>2918</v>
      </c>
      <c r="E984" s="204" t="s">
        <v>1644</v>
      </c>
      <c r="F984" s="191" t="str">
        <f>VLOOKUP(MP_registro[[#This Row],[TAG]],'DB-EQUIPOS GEN'!$C$11:$H$833,2,0)</f>
        <v>Explanada de Turbina Triveni</v>
      </c>
      <c r="G984" s="191" t="str">
        <f>VLOOKUP(MP_registro[[#This Row],[TAG]],'DB-EQUIPOS GEN'!$C$11:$H$833,3,0)</f>
        <v>E. ELECTRICA</v>
      </c>
      <c r="H984" s="191" t="str">
        <f>VLOOKUP(MP_registro[[#This Row],[TAG]],'DB-EQUIPOS GEN'!$C$11:$H$833,4,0)</f>
        <v>GENERACIÓN ENERG. ELEC. TURBO GENERADOR</v>
      </c>
      <c r="I984" s="191" t="str">
        <f>VLOOKUP(MP_registro[[#This Row],[TAG]],'DB-EQUIPOS GEN'!$C$11:$H$833,5,0)</f>
        <v>TURBOGENERADOR TRIVENI 23.2 MW</v>
      </c>
      <c r="J984" s="191" t="str">
        <f>VLOOKUP(MP_registro[[#This Row],[TAG]],'DB-EQUIPOS GEN'!$C$11:$H$833,6,0)</f>
        <v>0430TG020</v>
      </c>
      <c r="K984" s="192">
        <v>44821</v>
      </c>
      <c r="L984" s="193" t="s">
        <v>247</v>
      </c>
      <c r="M98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84" s="201" t="s">
        <v>1664</v>
      </c>
      <c r="O984" s="64" t="s">
        <v>1696</v>
      </c>
    </row>
    <row r="985" spans="1:15" ht="33" customHeight="1">
      <c r="A985" s="218">
        <v>981</v>
      </c>
      <c r="B985" s="219" t="s">
        <v>2842</v>
      </c>
      <c r="C985" s="64" t="s">
        <v>2942</v>
      </c>
      <c r="D985" s="191" t="s">
        <v>2919</v>
      </c>
      <c r="E985" s="204" t="s">
        <v>1657</v>
      </c>
      <c r="F985" s="191" t="str">
        <f>VLOOKUP(MP_registro[[#This Row],[TAG]],'DB-EQUIPOS GEN'!$C$11:$H$833,2,0)</f>
        <v>Pug mill B, Cabezal C de centrifugas continuas</v>
      </c>
      <c r="G985" s="191" t="str">
        <f>VLOOKUP(MP_registro[[#This Row],[TAG]],'DB-EQUIPOS GEN'!$C$11:$H$833,3,0)</f>
        <v>PRODUCCION</v>
      </c>
      <c r="H985" s="191" t="str">
        <f>VLOOKUP(MP_registro[[#This Row],[TAG]],'DB-EQUIPOS GEN'!$C$11:$H$833,4,0)</f>
        <v>CENTRIFUGACIÓN DE AZÚCAR</v>
      </c>
      <c r="I985" s="191" t="str">
        <f>VLOOKUP(MP_registro[[#This Row],[TAG]],'DB-EQUIPOS GEN'!$C$11:$H$833,5,0)</f>
        <v>PUG MILL - B</v>
      </c>
      <c r="J985" s="191" t="str">
        <f>VLOOKUP(MP_registro[[#This Row],[TAG]],'DB-EQUIPOS GEN'!$C$11:$H$833,6,0)</f>
        <v>0345MM020</v>
      </c>
      <c r="K985" s="192">
        <v>44821</v>
      </c>
      <c r="L985" s="193" t="s">
        <v>245</v>
      </c>
      <c r="M98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85" s="201" t="s">
        <v>1664</v>
      </c>
      <c r="O985" s="64" t="s">
        <v>1696</v>
      </c>
    </row>
    <row r="986" spans="1:15" ht="33" customHeight="1">
      <c r="A986" s="218">
        <v>982</v>
      </c>
      <c r="B986" s="219" t="s">
        <v>2842</v>
      </c>
      <c r="C986" s="64" t="s">
        <v>2942</v>
      </c>
      <c r="D986" s="191" t="s">
        <v>2920</v>
      </c>
      <c r="E986" s="204" t="s">
        <v>1644</v>
      </c>
      <c r="F986" s="191" t="str">
        <f>VLOOKUP(MP_registro[[#This Row],[TAG]],'DB-EQUIPOS GEN'!$C$11:$H$833,2,0)</f>
        <v>Explanada de Turbina Triveni</v>
      </c>
      <c r="G986" s="191" t="str">
        <f>VLOOKUP(MP_registro[[#This Row],[TAG]],'DB-EQUIPOS GEN'!$C$11:$H$833,3,0)</f>
        <v>E. ELECTRICA</v>
      </c>
      <c r="H986" s="191" t="str">
        <f>VLOOKUP(MP_registro[[#This Row],[TAG]],'DB-EQUIPOS GEN'!$C$11:$H$833,4,0)</f>
        <v>GENERACIÓN ENERG. ELEC. TURBO GENERADOR</v>
      </c>
      <c r="I986" s="191" t="str">
        <f>VLOOKUP(MP_registro[[#This Row],[TAG]],'DB-EQUIPOS GEN'!$C$11:$H$833,5,0)</f>
        <v>TURBOGENERADOR TRIVENI 23.2 MW</v>
      </c>
      <c r="J986" s="191" t="str">
        <f>VLOOKUP(MP_registro[[#This Row],[TAG]],'DB-EQUIPOS GEN'!$C$11:$H$833,6,0)</f>
        <v>0430TG020</v>
      </c>
      <c r="K986" s="192">
        <v>44821</v>
      </c>
      <c r="L986" s="193" t="s">
        <v>247</v>
      </c>
      <c r="M98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86" s="201" t="s">
        <v>1664</v>
      </c>
      <c r="O986" s="64" t="s">
        <v>1696</v>
      </c>
    </row>
    <row r="987" spans="1:15" ht="33" customHeight="1">
      <c r="A987" s="218">
        <v>983</v>
      </c>
      <c r="B987" s="219" t="s">
        <v>2842</v>
      </c>
      <c r="C987" s="64" t="s">
        <v>2942</v>
      </c>
      <c r="D987" s="191" t="s">
        <v>2921</v>
      </c>
      <c r="E987" s="204" t="s">
        <v>461</v>
      </c>
      <c r="F987" s="191" t="str">
        <f>VLOOKUP(MP_registro[[#This Row],[TAG]],'DB-EQUIPOS GEN'!$C$11:$H$833,2,0)</f>
        <v>Temperatura de jugo de calentador CCT-2</v>
      </c>
      <c r="G987" s="191" t="str">
        <f>VLOOKUP(MP_registro[[#This Row],[TAG]],'DB-EQUIPOS GEN'!$C$11:$H$833,3,0)</f>
        <v>PRODUCCION</v>
      </c>
      <c r="H987" s="191" t="str">
        <f>VLOOKUP(MP_registro[[#This Row],[TAG]],'DB-EQUIPOS GEN'!$C$11:$H$833,4,0)</f>
        <v>CALENTAMIENTO DE JUGO ENCALADO</v>
      </c>
      <c r="I987" s="191" t="str">
        <f>VLOOKUP(MP_registro[[#This Row],[TAG]],'DB-EQUIPOS GEN'!$C$11:$H$833,5,0)</f>
        <v xml:space="preserve">CALENTADOR DE JUGO ENCALADO </v>
      </c>
      <c r="J987" s="191" t="str">
        <f>VLOOKUP(MP_registro[[#This Row],[TAG]],'DB-EQUIPOS GEN'!$C$11:$H$833,6,0)</f>
        <v xml:space="preserve"> 0305HX110</v>
      </c>
      <c r="K987" s="192">
        <v>44822</v>
      </c>
      <c r="L987" s="193" t="s">
        <v>247</v>
      </c>
      <c r="M98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87" s="201" t="s">
        <v>1664</v>
      </c>
      <c r="O987" s="64" t="s">
        <v>1696</v>
      </c>
    </row>
    <row r="988" spans="1:15" ht="33" customHeight="1">
      <c r="A988" s="218">
        <v>984</v>
      </c>
      <c r="B988" s="219" t="s">
        <v>2842</v>
      </c>
      <c r="C988" s="64" t="s">
        <v>2942</v>
      </c>
      <c r="D988" s="191" t="s">
        <v>2922</v>
      </c>
      <c r="E988" s="204" t="s">
        <v>463</v>
      </c>
      <c r="F988" s="191" t="str">
        <f>VLOOKUP(MP_registro[[#This Row],[TAG]],'DB-EQUIPOS GEN'!$C$11:$H$833,2,0)</f>
        <v>Presion de jugo encalado CCT-2</v>
      </c>
      <c r="G988" s="191" t="str">
        <f>VLOOKUP(MP_registro[[#This Row],[TAG]],'DB-EQUIPOS GEN'!$C$11:$H$833,3,0)</f>
        <v>PRODUCCION</v>
      </c>
      <c r="H988" s="191" t="str">
        <f>VLOOKUP(MP_registro[[#This Row],[TAG]],'DB-EQUIPOS GEN'!$C$11:$H$833,4,0)</f>
        <v>CALENTAMIENTO DE JUGO ENCALADO</v>
      </c>
      <c r="I988" s="191" t="str">
        <f>VLOOKUP(MP_registro[[#This Row],[TAG]],'DB-EQUIPOS GEN'!$C$11:$H$833,5,0)</f>
        <v xml:space="preserve">CALENTADOR DE JUGO ENCALADO </v>
      </c>
      <c r="J988" s="191" t="str">
        <f>VLOOKUP(MP_registro[[#This Row],[TAG]],'DB-EQUIPOS GEN'!$C$11:$H$833,6,0)</f>
        <v xml:space="preserve"> 0305HX110</v>
      </c>
      <c r="K988" s="192">
        <v>44822</v>
      </c>
      <c r="L988" s="193" t="s">
        <v>247</v>
      </c>
      <c r="M98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88" s="201" t="s">
        <v>1664</v>
      </c>
      <c r="O988" s="64" t="s">
        <v>1696</v>
      </c>
    </row>
    <row r="989" spans="1:15" ht="33" customHeight="1">
      <c r="A989" s="218">
        <v>985</v>
      </c>
      <c r="B989" s="219" t="s">
        <v>2842</v>
      </c>
      <c r="C989" s="64" t="s">
        <v>2942</v>
      </c>
      <c r="D989" s="191" t="s">
        <v>2923</v>
      </c>
      <c r="E989" s="204" t="s">
        <v>1180</v>
      </c>
      <c r="F989" s="191" t="str">
        <f>VLOOKUP(MP_registro[[#This Row],[TAG]],'DB-EQUIPOS GEN'!$C$11:$H$833,2,0)</f>
        <v>Valvula control de nivel FFE - 5B</v>
      </c>
      <c r="G989" s="191" t="str">
        <f>VLOOKUP(MP_registro[[#This Row],[TAG]],'DB-EQUIPOS GEN'!$C$11:$H$833,3,0)</f>
        <v>PRODUCCION</v>
      </c>
      <c r="H989" s="191" t="str">
        <f>VLOOKUP(MP_registro[[#This Row],[TAG]],'DB-EQUIPOS GEN'!$C$11:$H$833,4,0)</f>
        <v>EVAPORACION DE JUGO</v>
      </c>
      <c r="I989" s="191" t="str">
        <f>VLOOKUP(MP_registro[[#This Row],[TAG]],'DB-EQUIPOS GEN'!$C$11:$H$833,5,0)</f>
        <v>EVAPORADOR FFE 5B</v>
      </c>
      <c r="J989" s="191" t="str">
        <f>VLOOKUP(MP_registro[[#This Row],[TAG]],'DB-EQUIPOS GEN'!$C$11:$H$833,6,0)</f>
        <v>0320EV080</v>
      </c>
      <c r="K989" s="192">
        <v>44822</v>
      </c>
      <c r="L989" s="193" t="s">
        <v>245</v>
      </c>
      <c r="M98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89" s="201" t="s">
        <v>1664</v>
      </c>
      <c r="O989" s="64" t="s">
        <v>1696</v>
      </c>
    </row>
    <row r="990" spans="1:15" ht="33" customHeight="1">
      <c r="A990" s="218">
        <v>986</v>
      </c>
      <c r="B990" s="219" t="s">
        <v>2842</v>
      </c>
      <c r="C990" s="64" t="s">
        <v>2942</v>
      </c>
      <c r="D990" s="191" t="s">
        <v>2924</v>
      </c>
      <c r="E990" s="204" t="s">
        <v>1642</v>
      </c>
      <c r="F990" s="191" t="str">
        <f>VLOOKUP(MP_registro[[#This Row],[TAG]],'DB-EQUIPOS GEN'!$C$11:$H$833,2,0)</f>
        <v>Salida de bagazo de molino secador</v>
      </c>
      <c r="G990" s="191" t="str">
        <f>VLOOKUP(MP_registro[[#This Row],[TAG]],'DB-EQUIPOS GEN'!$C$11:$H$833,3,0)</f>
        <v>EXTRACCION</v>
      </c>
      <c r="H990" s="191" t="str">
        <f>VLOOKUP(MP_registro[[#This Row],[TAG]],'DB-EQUIPOS GEN'!$C$11:$H$833,4,0)</f>
        <v>MOLINOS</v>
      </c>
      <c r="I990" s="191" t="str">
        <f>VLOOKUP(MP_registro[[#This Row],[TAG]],'DB-EQUIPOS GEN'!$C$11:$H$833,5,0)</f>
        <v>MOLINO SECADOR</v>
      </c>
      <c r="J990" s="191" t="str">
        <f>VLOOKUP(MP_registro[[#This Row],[TAG]],'DB-EQUIPOS GEN'!$C$11:$H$833,6,0)</f>
        <v>0210MM090</v>
      </c>
      <c r="K990" s="192">
        <v>44822</v>
      </c>
      <c r="L990" s="193" t="s">
        <v>245</v>
      </c>
      <c r="M99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90" s="201" t="s">
        <v>1664</v>
      </c>
      <c r="O990" s="64" t="s">
        <v>1696</v>
      </c>
    </row>
    <row r="991" spans="1:15" ht="33" customHeight="1">
      <c r="A991" s="218">
        <v>987</v>
      </c>
      <c r="B991" s="219" t="s">
        <v>2842</v>
      </c>
      <c r="C991" s="64" t="s">
        <v>2942</v>
      </c>
      <c r="D991" s="191" t="s">
        <v>2925</v>
      </c>
      <c r="E991" s="204" t="s">
        <v>469</v>
      </c>
      <c r="F991" s="191" t="str">
        <f>VLOOKUP(MP_registro[[#This Row],[TAG]],'DB-EQUIPOS GEN'!$C$11:$H$833,2,0)</f>
        <v>Temperatura jugo salida CJ-1</v>
      </c>
      <c r="G991" s="191" t="str">
        <f>VLOOKUP(MP_registro[[#This Row],[TAG]],'DB-EQUIPOS GEN'!$C$11:$H$833,3,0)</f>
        <v>PRODUCCION</v>
      </c>
      <c r="H991" s="191" t="str">
        <f>VLOOKUP(MP_registro[[#This Row],[TAG]],'DB-EQUIPOS GEN'!$C$11:$H$833,4,0)</f>
        <v>CALENTAMIENTO DE JUGO ENCALADO</v>
      </c>
      <c r="I991" s="191" t="str">
        <f>VLOOKUP(MP_registro[[#This Row],[TAG]],'DB-EQUIPOS GEN'!$C$11:$H$833,5,0)</f>
        <v>CALENTAMIENTO DE JUGO CLARO 1 (JUGO CLARO)</v>
      </c>
      <c r="J991" s="191" t="str">
        <f>VLOOKUP(MP_registro[[#This Row],[TAG]],'DB-EQUIPOS GEN'!$C$11:$H$833,6,0)</f>
        <v xml:space="preserve"> 0305HX230</v>
      </c>
      <c r="K991" s="192">
        <v>44823</v>
      </c>
      <c r="L991" s="193" t="s">
        <v>247</v>
      </c>
      <c r="M99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91" s="201" t="s">
        <v>1664</v>
      </c>
      <c r="O991" s="64" t="s">
        <v>1696</v>
      </c>
    </row>
    <row r="992" spans="1:15" ht="33" customHeight="1">
      <c r="A992" s="218">
        <v>988</v>
      </c>
      <c r="B992" s="219" t="s">
        <v>2842</v>
      </c>
      <c r="C992" s="64" t="s">
        <v>2942</v>
      </c>
      <c r="D992" s="191" t="s">
        <v>2926</v>
      </c>
      <c r="E992" s="204" t="s">
        <v>472</v>
      </c>
      <c r="F992" s="191" t="str">
        <f>VLOOKUP(MP_registro[[#This Row],[TAG]],'DB-EQUIPOS GEN'!$C$11:$H$833,2,0)</f>
        <v>Temperatura de jugo Evap.1</v>
      </c>
      <c r="G992" s="191" t="str">
        <f>VLOOKUP(MP_registro[[#This Row],[TAG]],'DB-EQUIPOS GEN'!$C$11:$H$833,3,0)</f>
        <v>PRODUCCION</v>
      </c>
      <c r="H992" s="191" t="str">
        <f>VLOOKUP(MP_registro[[#This Row],[TAG]],'DB-EQUIPOS GEN'!$C$11:$H$833,4,0)</f>
        <v>EVAPORACION DE JUGO</v>
      </c>
      <c r="I992" s="191" t="str">
        <f>VLOOKUP(MP_registro[[#This Row],[TAG]],'DB-EQUIPOS GEN'!$C$11:$H$833,5,0)</f>
        <v xml:space="preserve">FFE 1 </v>
      </c>
      <c r="J992" s="191" t="str">
        <f>VLOOKUP(MP_registro[[#This Row],[TAG]],'DB-EQUIPOS GEN'!$C$11:$H$833,6,0)</f>
        <v xml:space="preserve"> 0320EV010</v>
      </c>
      <c r="K992" s="192">
        <v>44823</v>
      </c>
      <c r="L992" s="193" t="s">
        <v>245</v>
      </c>
      <c r="M992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92" s="201" t="s">
        <v>1664</v>
      </c>
      <c r="O992" s="64" t="s">
        <v>1696</v>
      </c>
    </row>
    <row r="993" spans="1:16" ht="33" customHeight="1">
      <c r="A993" s="218">
        <v>989</v>
      </c>
      <c r="B993" s="219" t="s">
        <v>2842</v>
      </c>
      <c r="C993" s="64" t="s">
        <v>2942</v>
      </c>
      <c r="D993" s="191" t="s">
        <v>2927</v>
      </c>
      <c r="E993" s="204" t="s">
        <v>1656</v>
      </c>
      <c r="F993" s="191" t="str">
        <f>VLOOKUP(MP_registro[[#This Row],[TAG]],'DB-EQUIPOS GEN'!$C$11:$H$833,2,0)</f>
        <v>Descarga de centrifugas continuas</v>
      </c>
      <c r="G993" s="191" t="str">
        <f>VLOOKUP(MP_registro[[#This Row],[TAG]],'DB-EQUIPOS GEN'!$C$11:$H$833,3,0)</f>
        <v>PRODUCCION</v>
      </c>
      <c r="H993" s="191" t="str">
        <f>VLOOKUP(MP_registro[[#This Row],[TAG]],'DB-EQUIPOS GEN'!$C$11:$H$833,4,0)</f>
        <v>CENTRIFUGACIÓN DE AZÚCAR</v>
      </c>
      <c r="I993" s="191" t="str">
        <f>VLOOKUP(MP_registro[[#This Row],[TAG]],'DB-EQUIPOS GEN'!$C$11:$H$833,5,0)</f>
        <v>CENTRIFUGA CONTINUA 1 - C (FRANCIA)</v>
      </c>
      <c r="J993" s="191" t="str">
        <f>VLOOKUP(MP_registro[[#This Row],[TAG]],'DB-EQUIPOS GEN'!$C$11:$H$833,6,0)</f>
        <v>0345SQ160</v>
      </c>
      <c r="K993" s="192">
        <v>44823</v>
      </c>
      <c r="L993" s="193" t="s">
        <v>245</v>
      </c>
      <c r="M99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93" s="201" t="s">
        <v>1664</v>
      </c>
      <c r="O993" s="64" t="s">
        <v>1696</v>
      </c>
    </row>
    <row r="994" spans="1:16" ht="33" customHeight="1">
      <c r="A994" s="218">
        <v>990</v>
      </c>
      <c r="B994" s="219" t="s">
        <v>2842</v>
      </c>
      <c r="C994" s="64" t="s">
        <v>2942</v>
      </c>
      <c r="D994" s="191" t="s">
        <v>2928</v>
      </c>
      <c r="E994" s="204" t="s">
        <v>481</v>
      </c>
      <c r="F994" s="191" t="str">
        <f>VLOOKUP(MP_registro[[#This Row],[TAG]],'DB-EQUIPOS GEN'!$C$11:$H$833,2,0)</f>
        <v>Presion de vapor de salida</v>
      </c>
      <c r="G994" s="191" t="str">
        <f>VLOOKUP(MP_registro[[#This Row],[TAG]],'DB-EQUIPOS GEN'!$C$11:$H$833,3,0)</f>
        <v>PRODUCCION</v>
      </c>
      <c r="H994" s="191" t="str">
        <f>VLOOKUP(MP_registro[[#This Row],[TAG]],'DB-EQUIPOS GEN'!$C$11:$H$833,4,0)</f>
        <v>EVAPORACION DE JUGO</v>
      </c>
      <c r="I994" s="191" t="str">
        <f>VLOOKUP(MP_registro[[#This Row],[TAG]],'DB-EQUIPOS GEN'!$C$11:$H$833,5,0)</f>
        <v xml:space="preserve">FFE 1 </v>
      </c>
      <c r="J994" s="191" t="str">
        <f>VLOOKUP(MP_registro[[#This Row],[TAG]],'DB-EQUIPOS GEN'!$C$11:$H$833,6,0)</f>
        <v xml:space="preserve"> 0320EV010</v>
      </c>
      <c r="K994" s="192">
        <v>44824</v>
      </c>
      <c r="L994" s="193" t="s">
        <v>245</v>
      </c>
      <c r="M99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94" s="201" t="s">
        <v>1664</v>
      </c>
      <c r="O994" s="64" t="s">
        <v>1696</v>
      </c>
    </row>
    <row r="995" spans="1:16" ht="33" customHeight="1">
      <c r="A995" s="218">
        <v>991</v>
      </c>
      <c r="B995" s="219" t="s">
        <v>2842</v>
      </c>
      <c r="C995" s="64" t="s">
        <v>2942</v>
      </c>
      <c r="D995" s="191" t="s">
        <v>2929</v>
      </c>
      <c r="E995" s="204" t="s">
        <v>476</v>
      </c>
      <c r="F995" s="191" t="str">
        <f>VLOOKUP(MP_registro[[#This Row],[TAG]],'DB-EQUIPOS GEN'!$C$11:$H$833,2,0)</f>
        <v>Temperatura del salida de vapor</v>
      </c>
      <c r="G995" s="191" t="str">
        <f>VLOOKUP(MP_registro[[#This Row],[TAG]],'DB-EQUIPOS GEN'!$C$11:$H$833,3,0)</f>
        <v>PRODUCCION</v>
      </c>
      <c r="H995" s="191" t="str">
        <f>VLOOKUP(MP_registro[[#This Row],[TAG]],'DB-EQUIPOS GEN'!$C$11:$H$833,4,0)</f>
        <v>EVAPORACION DE JUGO</v>
      </c>
      <c r="I995" s="191" t="str">
        <f>VLOOKUP(MP_registro[[#This Row],[TAG]],'DB-EQUIPOS GEN'!$C$11:$H$833,5,0)</f>
        <v xml:space="preserve">FFE 1 </v>
      </c>
      <c r="J995" s="191" t="str">
        <f>VLOOKUP(MP_registro[[#This Row],[TAG]],'DB-EQUIPOS GEN'!$C$11:$H$833,6,0)</f>
        <v xml:space="preserve"> 0320EV010</v>
      </c>
      <c r="K995" s="192">
        <v>44824</v>
      </c>
      <c r="L995" s="193" t="s">
        <v>245</v>
      </c>
      <c r="M99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95" s="201" t="s">
        <v>1695</v>
      </c>
      <c r="O995" s="64" t="s">
        <v>1696</v>
      </c>
      <c r="P995" s="238" t="s">
        <v>3009</v>
      </c>
    </row>
    <row r="996" spans="1:16" ht="33" customHeight="1">
      <c r="A996" s="218">
        <v>992</v>
      </c>
      <c r="B996" s="219" t="s">
        <v>2842</v>
      </c>
      <c r="C996" s="64" t="s">
        <v>2942</v>
      </c>
      <c r="D996" s="77" t="s">
        <v>2930</v>
      </c>
      <c r="E996" s="204" t="s">
        <v>581</v>
      </c>
      <c r="F996" s="191" t="str">
        <f>VLOOKUP(MP_registro[[#This Row],[TAG]],'DB-EQUIPOS GEN'!$C$11:$H$833,2,0)</f>
        <v>Temperatura gases de salida multiciclon</v>
      </c>
      <c r="G996" s="191" t="str">
        <f>VLOOKUP(MP_registro[[#This Row],[TAG]],'DB-EQUIPOS GEN'!$C$11:$H$833,3,0)</f>
        <v>E. TERMICA</v>
      </c>
      <c r="H996" s="191" t="str">
        <f>VLOOKUP(MP_registro[[#This Row],[TAG]],'DB-EQUIPOS GEN'!$C$11:$H$833,4,0)</f>
        <v>GENERACION DE VAPOR</v>
      </c>
      <c r="I996" s="191" t="str">
        <f>VLOOKUP(MP_registro[[#This Row],[TAG]],'DB-EQUIPOS GEN'!$C$11:$H$833,5,0)</f>
        <v>MULTICICLON</v>
      </c>
      <c r="J996" s="191" t="str">
        <f>VLOOKUP(MP_registro[[#This Row],[TAG]],'DB-EQUIPOS GEN'!$C$11:$H$833,6,0)</f>
        <v>0405CY520</v>
      </c>
      <c r="K996" s="192">
        <v>44824</v>
      </c>
      <c r="L996" s="193" t="s">
        <v>247</v>
      </c>
      <c r="M99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996" s="201" t="s">
        <v>1664</v>
      </c>
      <c r="O996" s="64" t="s">
        <v>1696</v>
      </c>
    </row>
    <row r="997" spans="1:16" ht="33" customHeight="1">
      <c r="A997" s="218">
        <v>993</v>
      </c>
      <c r="B997" s="219" t="s">
        <v>2842</v>
      </c>
      <c r="C997" s="64" t="s">
        <v>2942</v>
      </c>
      <c r="D997" s="191" t="s">
        <v>2931</v>
      </c>
      <c r="E997" s="204" t="s">
        <v>2407</v>
      </c>
      <c r="F997" s="191" t="str">
        <f>VLOOKUP(MP_registro[[#This Row],[TAG]],'DB-EQUIPOS GEN'!$C$11:$H$833,2,0)</f>
        <v>Vista Molino Secador - Conductor Intermedio</v>
      </c>
      <c r="G997" s="191" t="str">
        <f>VLOOKUP(MP_registro[[#This Row],[TAG]],'DB-EQUIPOS GEN'!$C$11:$H$833,3,0)</f>
        <v>EXTRACCION</v>
      </c>
      <c r="H997" s="191" t="str">
        <f>VLOOKUP(MP_registro[[#This Row],[TAG]],'DB-EQUIPOS GEN'!$C$11:$H$833,4,0)</f>
        <v>MOLINOS</v>
      </c>
      <c r="I997" s="191" t="str">
        <f>VLOOKUP(MP_registro[[#This Row],[TAG]],'DB-EQUIPOS GEN'!$C$11:$H$833,5,0)</f>
        <v>CONDUCTOR INTERMEDIO - MOLINO SECADOR</v>
      </c>
      <c r="J997" s="191" t="str">
        <f>VLOOKUP(MP_registro[[#This Row],[TAG]],'DB-EQUIPOS GEN'!$C$11:$H$833,6,0)</f>
        <v>0210CV070</v>
      </c>
      <c r="K997" s="192">
        <v>44824</v>
      </c>
      <c r="L997" s="193" t="s">
        <v>245</v>
      </c>
      <c r="M99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97" s="201" t="s">
        <v>1664</v>
      </c>
      <c r="O997" s="64" t="s">
        <v>1696</v>
      </c>
    </row>
    <row r="998" spans="1:16" ht="33" customHeight="1">
      <c r="A998" s="218">
        <v>994</v>
      </c>
      <c r="B998" s="219" t="s">
        <v>2842</v>
      </c>
      <c r="C998" s="64" t="s">
        <v>2942</v>
      </c>
      <c r="D998" s="191" t="s">
        <v>2932</v>
      </c>
      <c r="E998" s="204" t="s">
        <v>1640</v>
      </c>
      <c r="F998" s="191" t="str">
        <f>VLOOKUP(MP_registro[[#This Row],[TAG]],'DB-EQUIPOS GEN'!$C$11:$H$833,2,0)</f>
        <v>Conductor de alimentación a difusor y retorno</v>
      </c>
      <c r="G998" s="191" t="str">
        <f>VLOOKUP(MP_registro[[#This Row],[TAG]],'DB-EQUIPOS GEN'!$C$11:$H$833,3,0)</f>
        <v>EXTRACCION</v>
      </c>
      <c r="H998" s="191" t="str">
        <f>VLOOKUP(MP_registro[[#This Row],[TAG]],'DB-EQUIPOS GEN'!$C$11:$H$833,4,0)</f>
        <v>PREPARACIÓN DE CAÑA</v>
      </c>
      <c r="I998" s="191" t="str">
        <f>VLOOKUP(MP_registro[[#This Row],[TAG]],'DB-EQUIPOS GEN'!$C$11:$H$833,5,0)</f>
        <v>CONDUCTOR DE RETORNO</v>
      </c>
      <c r="J998" s="191" t="str">
        <f>VLOOKUP(MP_registro[[#This Row],[TAG]],'DB-EQUIPOS GEN'!$C$11:$H$833,6,0)</f>
        <v>0115CV090</v>
      </c>
      <c r="K998" s="192">
        <v>44824</v>
      </c>
      <c r="L998" s="193" t="s">
        <v>245</v>
      </c>
      <c r="M99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98" s="201" t="s">
        <v>1664</v>
      </c>
      <c r="O998" s="64" t="s">
        <v>1696</v>
      </c>
    </row>
    <row r="999" spans="1:16" ht="33" customHeight="1">
      <c r="A999" s="218">
        <v>995</v>
      </c>
      <c r="B999" s="219" t="s">
        <v>2842</v>
      </c>
      <c r="C999" s="64" t="s">
        <v>2942</v>
      </c>
      <c r="D999" s="191" t="s">
        <v>2933</v>
      </c>
      <c r="E999" s="204" t="s">
        <v>1641</v>
      </c>
      <c r="F999" s="191" t="str">
        <f>VLOOKUP(MP_registro[[#This Row],[TAG]],'DB-EQUIPOS GEN'!$C$11:$H$833,2,0)</f>
        <v>Mesa de caña</v>
      </c>
      <c r="G999" s="191" t="str">
        <f>VLOOKUP(MP_registro[[#This Row],[TAG]],'DB-EQUIPOS GEN'!$C$11:$H$833,3,0)</f>
        <v>EXTRACCION</v>
      </c>
      <c r="H999" s="191" t="str">
        <f>VLOOKUP(MP_registro[[#This Row],[TAG]],'DB-EQUIPOS GEN'!$C$11:$H$833,4,0)</f>
        <v>RECEPCIÓN DE CAÑA</v>
      </c>
      <c r="I999" s="191" t="str">
        <f>VLOOKUP(MP_registro[[#This Row],[TAG]],'DB-EQUIPOS GEN'!$C$11:$H$833,5,0)</f>
        <v>MESA DE CAÑA</v>
      </c>
      <c r="J999" s="191" t="str">
        <f>VLOOKUP(MP_registro[[#This Row],[TAG]],'DB-EQUIPOS GEN'!$C$11:$H$833,6,0)</f>
        <v>0110FE019</v>
      </c>
      <c r="K999" s="192">
        <v>44824</v>
      </c>
      <c r="L999" s="193" t="s">
        <v>245</v>
      </c>
      <c r="M99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999" s="201" t="s">
        <v>1664</v>
      </c>
      <c r="O999" s="64" t="s">
        <v>1696</v>
      </c>
    </row>
    <row r="1000" spans="1:16" ht="33" customHeight="1">
      <c r="A1000" s="218">
        <v>996</v>
      </c>
      <c r="B1000" s="219" t="s">
        <v>2842</v>
      </c>
      <c r="C1000" s="64" t="s">
        <v>2942</v>
      </c>
      <c r="D1000" s="191" t="s">
        <v>2934</v>
      </c>
      <c r="E1000" s="204" t="s">
        <v>1659</v>
      </c>
      <c r="F1000" s="191" t="str">
        <f>VLOOKUP(MP_registro[[#This Row],[TAG]],'DB-EQUIPOS GEN'!$C$11:$H$833,2,0)</f>
        <v>Vista global de tanques de jarabe 1,2 y 3</v>
      </c>
      <c r="G1000" s="191" t="str">
        <f>VLOOKUP(MP_registro[[#This Row],[TAG]],'DB-EQUIPOS GEN'!$C$11:$H$833,3,0)</f>
        <v>PRODUCCION</v>
      </c>
      <c r="H1000" s="191" t="str">
        <f>VLOOKUP(MP_registro[[#This Row],[TAG]],'DB-EQUIPOS GEN'!$C$11:$H$833,4,0)</f>
        <v>CRISTALIZACIÓN POR COCCIÓN</v>
      </c>
      <c r="I1000" s="191" t="str">
        <f>VLOOKUP(MP_registro[[#This Row],[TAG]],'DB-EQUIPOS GEN'!$C$11:$H$833,5,0)</f>
        <v>TANQUE DE JARABE 1</v>
      </c>
      <c r="J1000" s="191" t="str">
        <f>VLOOKUP(MP_registro[[#This Row],[TAG]],'DB-EQUIPOS GEN'!$C$11:$H$833,6,0)</f>
        <v>0335TK010</v>
      </c>
      <c r="K1000" s="192">
        <v>44824</v>
      </c>
      <c r="L1000" s="193" t="s">
        <v>245</v>
      </c>
      <c r="M100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00" s="201" t="s">
        <v>1664</v>
      </c>
      <c r="O1000" s="64" t="s">
        <v>1696</v>
      </c>
    </row>
    <row r="1001" spans="1:16" ht="33" customHeight="1">
      <c r="A1001" s="218">
        <v>997</v>
      </c>
      <c r="B1001" s="219" t="s">
        <v>2842</v>
      </c>
      <c r="C1001" s="64" t="s">
        <v>2942</v>
      </c>
      <c r="D1001" s="191" t="s">
        <v>2935</v>
      </c>
      <c r="E1001" s="204" t="s">
        <v>1660</v>
      </c>
      <c r="F1001" s="191" t="str">
        <f>VLOOKUP(MP_registro[[#This Row],[TAG]],'DB-EQUIPOS GEN'!$C$11:$H$833,2,0)</f>
        <v>Vista global de tacho continuo A.</v>
      </c>
      <c r="G1001" s="191" t="str">
        <f>VLOOKUP(MP_registro[[#This Row],[TAG]],'DB-EQUIPOS GEN'!$C$11:$H$833,3,0)</f>
        <v>PRODUCCION</v>
      </c>
      <c r="H1001" s="191" t="str">
        <f>VLOOKUP(MP_registro[[#This Row],[TAG]],'DB-EQUIPOS GEN'!$C$11:$H$833,4,0)</f>
        <v>CRISTALIZACIÓN POR COCCIÓN</v>
      </c>
      <c r="I1001" s="191" t="str">
        <f>VLOOKUP(MP_registro[[#This Row],[TAG]],'DB-EQUIPOS GEN'!$C$11:$H$833,5,0)</f>
        <v>TACHO CONTINUO - A</v>
      </c>
      <c r="J1001" s="191" t="str">
        <f>VLOOKUP(MP_registro[[#This Row],[TAG]],'DB-EQUIPOS GEN'!$C$11:$H$833,6,0)</f>
        <v>0335HX200</v>
      </c>
      <c r="K1001" s="192">
        <v>44824</v>
      </c>
      <c r="L1001" s="193" t="s">
        <v>245</v>
      </c>
      <c r="M100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01" s="201" t="s">
        <v>1664</v>
      </c>
      <c r="O1001" s="64" t="s">
        <v>1696</v>
      </c>
    </row>
    <row r="1002" spans="1:16" ht="33" customHeight="1">
      <c r="A1002" s="218">
        <v>998</v>
      </c>
      <c r="B1002" s="219" t="s">
        <v>2842</v>
      </c>
      <c r="C1002" s="64" t="s">
        <v>2942</v>
      </c>
      <c r="D1002" s="191" t="s">
        <v>2936</v>
      </c>
      <c r="E1002" s="204" t="s">
        <v>1649</v>
      </c>
      <c r="F1002" s="191" t="str">
        <f>VLOOKUP(MP_registro[[#This Row],[TAG]],'DB-EQUIPOS GEN'!$C$11:$H$833,2,0)</f>
        <v>Chute alimentadores de bagazo</v>
      </c>
      <c r="G1002" s="191" t="str">
        <f>VLOOKUP(MP_registro[[#This Row],[TAG]],'DB-EQUIPOS GEN'!$C$11:$H$833,3,0)</f>
        <v>E. TERMICA</v>
      </c>
      <c r="H1002" s="191" t="str">
        <f>VLOOKUP(MP_registro[[#This Row],[TAG]],'DB-EQUIPOS GEN'!$C$11:$H$833,4,0)</f>
        <v>TRANSPORTE DE BAGAZO</v>
      </c>
      <c r="I1002" s="191" t="str">
        <f>VLOOKUP(MP_registro[[#This Row],[TAG]],'DB-EQUIPOS GEN'!$C$11:$H$833,5,0)</f>
        <v>ALIMENTADOR DE BAGAZO 1</v>
      </c>
      <c r="J1002" s="191" t="str">
        <f>VLOOKUP(MP_registro[[#This Row],[TAG]],'DB-EQUIPOS GEN'!$C$11:$H$833,6,0)</f>
        <v>0405RV240</v>
      </c>
      <c r="K1002" s="192">
        <v>44824</v>
      </c>
      <c r="L1002" s="193" t="s">
        <v>247</v>
      </c>
      <c r="M100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02" s="201" t="s">
        <v>1664</v>
      </c>
      <c r="O1002" s="64" t="s">
        <v>1696</v>
      </c>
    </row>
    <row r="1003" spans="1:16" ht="33" customHeight="1">
      <c r="A1003" s="218">
        <v>999</v>
      </c>
      <c r="B1003" s="219" t="s">
        <v>2842</v>
      </c>
      <c r="C1003" s="64" t="s">
        <v>2942</v>
      </c>
      <c r="D1003" s="191" t="s">
        <v>2937</v>
      </c>
      <c r="E1003" s="204" t="s">
        <v>1173</v>
      </c>
      <c r="F1003" s="191" t="str">
        <f>VLOOKUP(MP_registro[[#This Row],[TAG]],'DB-EQUIPOS GEN'!$C$11:$H$833,2,0)</f>
        <v>Valvula control de nivel FFE - 1</v>
      </c>
      <c r="G1003" s="191" t="str">
        <f>VLOOKUP(MP_registro[[#This Row],[TAG]],'DB-EQUIPOS GEN'!$C$11:$H$833,3,0)</f>
        <v>PRODUCCION</v>
      </c>
      <c r="H1003" s="191" t="str">
        <f>VLOOKUP(MP_registro[[#This Row],[TAG]],'DB-EQUIPOS GEN'!$C$11:$H$833,4,0)</f>
        <v>EVAPORACION DE JUGO</v>
      </c>
      <c r="I1003" s="191" t="str">
        <f>VLOOKUP(MP_registro[[#This Row],[TAG]],'DB-EQUIPOS GEN'!$C$11:$H$833,5,0)</f>
        <v>EVAPORADOR FFE 1</v>
      </c>
      <c r="J1003" s="191" t="str">
        <f>VLOOKUP(MP_registro[[#This Row],[TAG]],'DB-EQUIPOS GEN'!$C$11:$H$833,6,0)</f>
        <v>0320EV010</v>
      </c>
      <c r="K1003" s="192">
        <v>44825</v>
      </c>
      <c r="L1003" s="193" t="s">
        <v>245</v>
      </c>
      <c r="M100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03" s="201" t="s">
        <v>1664</v>
      </c>
      <c r="O1003" s="64" t="s">
        <v>1696</v>
      </c>
    </row>
    <row r="1004" spans="1:16" ht="33" customHeight="1">
      <c r="A1004" s="218">
        <v>1000</v>
      </c>
      <c r="B1004" s="219" t="s">
        <v>2842</v>
      </c>
      <c r="C1004" s="64" t="s">
        <v>2942</v>
      </c>
      <c r="D1004" s="191" t="s">
        <v>2938</v>
      </c>
      <c r="E1004" s="204" t="s">
        <v>484</v>
      </c>
      <c r="F1004" s="191" t="str">
        <f>VLOOKUP(MP_registro[[#This Row],[TAG]],'DB-EQUIPOS GEN'!$C$11:$H$833,2,0)</f>
        <v>Temperatura de jugo Evap.1-2</v>
      </c>
      <c r="G1004" s="191" t="str">
        <f>VLOOKUP(MP_registro[[#This Row],[TAG]],'DB-EQUIPOS GEN'!$C$11:$H$833,3,0)</f>
        <v>PRODUCCION</v>
      </c>
      <c r="H1004" s="191" t="str">
        <f>VLOOKUP(MP_registro[[#This Row],[TAG]],'DB-EQUIPOS GEN'!$C$11:$H$833,4,0)</f>
        <v>EVAPORACION DE JUGO</v>
      </c>
      <c r="I1004" s="191" t="str">
        <f>VLOOKUP(MP_registro[[#This Row],[TAG]],'DB-EQUIPOS GEN'!$C$11:$H$833,5,0)</f>
        <v>FFE 1 /2</v>
      </c>
      <c r="J1004" s="191" t="str">
        <f>VLOOKUP(MP_registro[[#This Row],[TAG]],'DB-EQUIPOS GEN'!$C$11:$H$833,6,0)</f>
        <v xml:space="preserve"> 0320EV020</v>
      </c>
      <c r="K1004" s="192">
        <v>44825</v>
      </c>
      <c r="L1004" s="193" t="s">
        <v>245</v>
      </c>
      <c r="M100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04" s="201" t="s">
        <v>1664</v>
      </c>
      <c r="O1004" s="64" t="s">
        <v>1696</v>
      </c>
    </row>
    <row r="1005" spans="1:16" ht="33" customHeight="1">
      <c r="A1005" s="218">
        <v>1001</v>
      </c>
      <c r="B1005" s="219" t="s">
        <v>2842</v>
      </c>
      <c r="C1005" s="64" t="s">
        <v>2942</v>
      </c>
      <c r="D1005" s="191" t="s">
        <v>2939</v>
      </c>
      <c r="E1005" s="204" t="s">
        <v>492</v>
      </c>
      <c r="F1005" s="191" t="str">
        <f>VLOOKUP(MP_registro[[#This Row],[TAG]],'DB-EQUIPOS GEN'!$C$11:$H$833,2,0)</f>
        <v xml:space="preserve">Presion de vapor de salida </v>
      </c>
      <c r="G1005" s="191" t="str">
        <f>VLOOKUP(MP_registro[[#This Row],[TAG]],'DB-EQUIPOS GEN'!$C$11:$H$833,3,0)</f>
        <v>PRODUCCION</v>
      </c>
      <c r="H1005" s="191" t="str">
        <f>VLOOKUP(MP_registro[[#This Row],[TAG]],'DB-EQUIPOS GEN'!$C$11:$H$833,4,0)</f>
        <v>EVAPORACION DE JUGO</v>
      </c>
      <c r="I1005" s="191" t="str">
        <f>VLOOKUP(MP_registro[[#This Row],[TAG]],'DB-EQUIPOS GEN'!$C$11:$H$833,5,0)</f>
        <v>FFE 1 /2</v>
      </c>
      <c r="J1005" s="191" t="str">
        <f>VLOOKUP(MP_registro[[#This Row],[TAG]],'DB-EQUIPOS GEN'!$C$11:$H$833,6,0)</f>
        <v xml:space="preserve"> 0320EV020</v>
      </c>
      <c r="K1005" s="192">
        <v>44825</v>
      </c>
      <c r="L1005" s="193" t="s">
        <v>245</v>
      </c>
      <c r="M100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05" s="201" t="s">
        <v>1664</v>
      </c>
      <c r="O1005" s="64" t="s">
        <v>1696</v>
      </c>
    </row>
    <row r="1006" spans="1:16" ht="33" customHeight="1">
      <c r="A1006" s="218">
        <v>1002</v>
      </c>
      <c r="B1006" s="219" t="s">
        <v>2842</v>
      </c>
      <c r="C1006" s="64" t="s">
        <v>2942</v>
      </c>
      <c r="D1006" s="191" t="s">
        <v>2940</v>
      </c>
      <c r="E1006" s="204" t="s">
        <v>1174</v>
      </c>
      <c r="F1006" s="191" t="str">
        <f>VLOOKUP(MP_registro[[#This Row],[TAG]],'DB-EQUIPOS GEN'!$C$11:$H$833,2,0)</f>
        <v>Valvula control de nivel FFE - 1/2</v>
      </c>
      <c r="G1006" s="191" t="str">
        <f>VLOOKUP(MP_registro[[#This Row],[TAG]],'DB-EQUIPOS GEN'!$C$11:$H$833,3,0)</f>
        <v>PRODUCCION</v>
      </c>
      <c r="H1006" s="191" t="str">
        <f>VLOOKUP(MP_registro[[#This Row],[TAG]],'DB-EQUIPOS GEN'!$C$11:$H$833,4,0)</f>
        <v>EVAPORACION DE JUGO</v>
      </c>
      <c r="I1006" s="191" t="str">
        <f>VLOOKUP(MP_registro[[#This Row],[TAG]],'DB-EQUIPOS GEN'!$C$11:$H$833,5,0)</f>
        <v>EVAPORADOR FFE 1/2</v>
      </c>
      <c r="J1006" s="191" t="str">
        <f>VLOOKUP(MP_registro[[#This Row],[TAG]],'DB-EQUIPOS GEN'!$C$11:$H$833,6,0)</f>
        <v>0320EV020</v>
      </c>
      <c r="K1006" s="192">
        <v>44825</v>
      </c>
      <c r="L1006" s="193" t="s">
        <v>245</v>
      </c>
      <c r="M100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06" s="201" t="s">
        <v>1664</v>
      </c>
      <c r="O1006" s="64" t="s">
        <v>1696</v>
      </c>
    </row>
    <row r="1007" spans="1:16" ht="33" customHeight="1">
      <c r="A1007" s="218">
        <v>1003</v>
      </c>
      <c r="B1007" s="219" t="s">
        <v>2842</v>
      </c>
      <c r="C1007" s="64" t="s">
        <v>2942</v>
      </c>
      <c r="D1007" s="191" t="s">
        <v>2941</v>
      </c>
      <c r="E1007" s="204" t="s">
        <v>1175</v>
      </c>
      <c r="F1007" s="191" t="str">
        <f>VLOOKUP(MP_registro[[#This Row],[TAG]],'DB-EQUIPOS GEN'!$C$11:$H$833,2,0)</f>
        <v>Valvula control de nivel FFE - 2/3</v>
      </c>
      <c r="G1007" s="191" t="str">
        <f>VLOOKUP(MP_registro[[#This Row],[TAG]],'DB-EQUIPOS GEN'!$C$11:$H$833,3,0)</f>
        <v>PRODUCCION</v>
      </c>
      <c r="H1007" s="191" t="str">
        <f>VLOOKUP(MP_registro[[#This Row],[TAG]],'DB-EQUIPOS GEN'!$C$11:$H$833,4,0)</f>
        <v>EVAPORACION DE JUGO</v>
      </c>
      <c r="I1007" s="191" t="str">
        <f>VLOOKUP(MP_registro[[#This Row],[TAG]],'DB-EQUIPOS GEN'!$C$11:$H$833,5,0)</f>
        <v>EVAPORADOR FFE 2/3</v>
      </c>
      <c r="J1007" s="191" t="str">
        <f>VLOOKUP(MP_registro[[#This Row],[TAG]],'DB-EQUIPOS GEN'!$C$11:$H$833,6,0)</f>
        <v>0320EV030</v>
      </c>
      <c r="K1007" s="192">
        <v>44825</v>
      </c>
      <c r="L1007" s="193" t="s">
        <v>245</v>
      </c>
      <c r="M100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07" s="201" t="s">
        <v>1664</v>
      </c>
      <c r="O1007" s="64" t="s">
        <v>1696</v>
      </c>
    </row>
    <row r="1008" spans="1:16" ht="33" customHeight="1">
      <c r="A1008" s="218">
        <v>1004</v>
      </c>
      <c r="B1008" s="219" t="s">
        <v>2842</v>
      </c>
      <c r="C1008" s="64" t="s">
        <v>2942</v>
      </c>
      <c r="D1008" s="191" t="s">
        <v>2943</v>
      </c>
      <c r="E1008" s="204" t="s">
        <v>1176</v>
      </c>
      <c r="F1008" s="191" t="str">
        <f>VLOOKUP(MP_registro[[#This Row],[TAG]],'DB-EQUIPOS GEN'!$C$11:$H$833,2,0)</f>
        <v>Valvula control de nivel FFE - 3</v>
      </c>
      <c r="G1008" s="191" t="str">
        <f>VLOOKUP(MP_registro[[#This Row],[TAG]],'DB-EQUIPOS GEN'!$C$11:$H$833,3,0)</f>
        <v>PRODUCCION</v>
      </c>
      <c r="H1008" s="191" t="str">
        <f>VLOOKUP(MP_registro[[#This Row],[TAG]],'DB-EQUIPOS GEN'!$C$11:$H$833,4,0)</f>
        <v>EVAPORACION DE JUGO</v>
      </c>
      <c r="I1008" s="191" t="str">
        <f>VLOOKUP(MP_registro[[#This Row],[TAG]],'DB-EQUIPOS GEN'!$C$11:$H$833,5,0)</f>
        <v>EVAPORADOR FFE 3</v>
      </c>
      <c r="J1008" s="191" t="str">
        <f>VLOOKUP(MP_registro[[#This Row],[TAG]],'DB-EQUIPOS GEN'!$C$11:$H$833,6,0)</f>
        <v>0320EV040</v>
      </c>
      <c r="K1008" s="192">
        <v>44825</v>
      </c>
      <c r="L1008" s="193" t="s">
        <v>245</v>
      </c>
      <c r="M100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08" s="201" t="s">
        <v>1664</v>
      </c>
      <c r="O1008" s="64" t="s">
        <v>1696</v>
      </c>
    </row>
    <row r="1009" spans="1:15" ht="33" customHeight="1">
      <c r="A1009" s="218">
        <v>1005</v>
      </c>
      <c r="B1009" s="219" t="s">
        <v>2842</v>
      </c>
      <c r="C1009" s="64" t="s">
        <v>2942</v>
      </c>
      <c r="D1009" s="191" t="s">
        <v>2944</v>
      </c>
      <c r="E1009" s="204" t="s">
        <v>583</v>
      </c>
      <c r="F1009" s="191" t="str">
        <f>VLOOKUP(MP_registro[[#This Row],[TAG]],'DB-EQUIPOS GEN'!$C$11:$H$833,2,0)</f>
        <v>Temperatura gases de salida EPS</v>
      </c>
      <c r="G1009" s="191" t="str">
        <f>VLOOKUP(MP_registro[[#This Row],[TAG]],'DB-EQUIPOS GEN'!$C$11:$H$833,3,0)</f>
        <v>E. TERMICA</v>
      </c>
      <c r="H1009" s="191" t="str">
        <f>VLOOKUP(MP_registro[[#This Row],[TAG]],'DB-EQUIPOS GEN'!$C$11:$H$833,4,0)</f>
        <v>GENERACION DE VAPOR</v>
      </c>
      <c r="I1009" s="191" t="str">
        <f>VLOOKUP(MP_registro[[#This Row],[TAG]],'DB-EQUIPOS GEN'!$C$11:$H$833,5,0)</f>
        <v>PRECIPITADOR ELECTROSTATICO</v>
      </c>
      <c r="J1009" s="191" t="str">
        <f>VLOOKUP(MP_registro[[#This Row],[TAG]],'DB-EQUIPOS GEN'!$C$11:$H$833,6,0)</f>
        <v>0405EP030</v>
      </c>
      <c r="K1009" s="192">
        <v>44825</v>
      </c>
      <c r="L1009" s="193" t="s">
        <v>247</v>
      </c>
      <c r="M100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09" s="201" t="s">
        <v>1664</v>
      </c>
      <c r="O1009" s="64" t="s">
        <v>1696</v>
      </c>
    </row>
    <row r="1010" spans="1:15" ht="33" customHeight="1">
      <c r="A1010" s="218">
        <v>1006</v>
      </c>
      <c r="B1010" s="219" t="s">
        <v>2842</v>
      </c>
      <c r="C1010" s="64" t="s">
        <v>2942</v>
      </c>
      <c r="D1010" s="191" t="s">
        <v>2945</v>
      </c>
      <c r="E1010" s="204" t="s">
        <v>1658</v>
      </c>
      <c r="F1010" s="191" t="str">
        <f>VLOOKUP(MP_registro[[#This Row],[TAG]],'DB-EQUIPOS GEN'!$C$11:$H$833,2,0)</f>
        <v>Pug mill A - Centrifugas batch</v>
      </c>
      <c r="G1010" s="191" t="str">
        <f>VLOOKUP(MP_registro[[#This Row],[TAG]],'DB-EQUIPOS GEN'!$C$11:$H$833,3,0)</f>
        <v>PRODUCCION</v>
      </c>
      <c r="H1010" s="191" t="str">
        <f>VLOOKUP(MP_registro[[#This Row],[TAG]],'DB-EQUIPOS GEN'!$C$11:$H$833,4,0)</f>
        <v>CENTRIFUGACIÓN DE AZÚCAR</v>
      </c>
      <c r="I1010" s="191" t="str">
        <f>VLOOKUP(MP_registro[[#This Row],[TAG]],'DB-EQUIPOS GEN'!$C$11:$H$833,5,0)</f>
        <v>PUG MILL - A</v>
      </c>
      <c r="J1010" s="191" t="str">
        <f>VLOOKUP(MP_registro[[#This Row],[TAG]],'DB-EQUIPOS GEN'!$C$11:$H$833,6,0)</f>
        <v>0345MM010</v>
      </c>
      <c r="K1010" s="192">
        <v>44825</v>
      </c>
      <c r="L1010" s="193" t="s">
        <v>245</v>
      </c>
      <c r="M101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10" s="201" t="s">
        <v>1664</v>
      </c>
      <c r="O1010" s="64" t="s">
        <v>1696</v>
      </c>
    </row>
    <row r="1011" spans="1:15" ht="33" customHeight="1">
      <c r="A1011" s="218">
        <v>1007</v>
      </c>
      <c r="B1011" s="219" t="s">
        <v>2842</v>
      </c>
      <c r="C1011" s="64" t="s">
        <v>2942</v>
      </c>
      <c r="D1011" s="191" t="s">
        <v>2946</v>
      </c>
      <c r="E1011" s="204" t="s">
        <v>1661</v>
      </c>
      <c r="F1011" s="191" t="str">
        <f>VLOOKUP(MP_registro[[#This Row],[TAG]],'DB-EQUIPOS GEN'!$C$11:$H$833,2,0)</f>
        <v xml:space="preserve">Faja de azucar seca a Silo </v>
      </c>
      <c r="G1011" s="191" t="str">
        <f>VLOOKUP(MP_registro[[#This Row],[TAG]],'DB-EQUIPOS GEN'!$C$11:$H$833,3,0)</f>
        <v>PRODUCCION</v>
      </c>
      <c r="H1011" s="191" t="str">
        <f>VLOOKUP(MP_registro[[#This Row],[TAG]],'DB-EQUIPOS GEN'!$C$11:$H$833,4,0)</f>
        <v>ENVASADO DE AZÚCAR RUBIA</v>
      </c>
      <c r="I1011" s="191" t="str">
        <f>VLOOKUP(MP_registro[[#This Row],[TAG]],'DB-EQUIPOS GEN'!$C$11:$H$833,5,0)</f>
        <v>SILO DE AZUCAR 1</v>
      </c>
      <c r="J1011" s="191" t="str">
        <f>VLOOKUP(MP_registro[[#This Row],[TAG]],'DB-EQUIPOS GEN'!$C$11:$H$833,6,0)</f>
        <v>0355BI090</v>
      </c>
      <c r="K1011" s="192">
        <v>44825</v>
      </c>
      <c r="L1011" s="193" t="s">
        <v>247</v>
      </c>
      <c r="M101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11" s="201" t="s">
        <v>1664</v>
      </c>
      <c r="O1011" s="64" t="s">
        <v>1696</v>
      </c>
    </row>
    <row r="1012" spans="1:15" ht="33" customHeight="1">
      <c r="A1012" s="218">
        <v>1008</v>
      </c>
      <c r="B1012" s="219" t="s">
        <v>2842</v>
      </c>
      <c r="C1012" s="64" t="s">
        <v>2942</v>
      </c>
      <c r="D1012" s="191" t="s">
        <v>2947</v>
      </c>
      <c r="E1012" s="204" t="s">
        <v>1648</v>
      </c>
      <c r="F1012" s="191" t="str">
        <f>VLOOKUP(MP_registro[[#This Row],[TAG]],'DB-EQUIPOS GEN'!$C$11:$H$833,2,0)</f>
        <v>Nivel de agua en domo</v>
      </c>
      <c r="G1012" s="191" t="str">
        <f>VLOOKUP(MP_registro[[#This Row],[TAG]],'DB-EQUIPOS GEN'!$C$11:$H$833,3,0)</f>
        <v>E. TERMICA</v>
      </c>
      <c r="H1012" s="191" t="str">
        <f>VLOOKUP(MP_registro[[#This Row],[TAG]],'DB-EQUIPOS GEN'!$C$11:$H$833,4,0)</f>
        <v>GENERACIÓN DE VAPOR</v>
      </c>
      <c r="I1012" s="191" t="str">
        <f>VLOOKUP(MP_registro[[#This Row],[TAG]],'DB-EQUIPOS GEN'!$C$11:$H$833,5,0)</f>
        <v>DOMO SUPERIOR</v>
      </c>
      <c r="J1012" s="191" t="str">
        <f>VLOOKUP(MP_registro[[#This Row],[TAG]],'DB-EQUIPOS GEN'!$C$11:$H$833,6,0)</f>
        <v>0405DO020</v>
      </c>
      <c r="K1012" s="192">
        <v>44825</v>
      </c>
      <c r="L1012" s="193" t="s">
        <v>247</v>
      </c>
      <c r="M101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12" s="201" t="s">
        <v>1664</v>
      </c>
      <c r="O1012" s="64" t="s">
        <v>1696</v>
      </c>
    </row>
    <row r="1013" spans="1:15" ht="33" customHeight="1">
      <c r="A1013" s="218">
        <v>1009</v>
      </c>
      <c r="B1013" s="219" t="s">
        <v>2842</v>
      </c>
      <c r="C1013" s="64" t="s">
        <v>2942</v>
      </c>
      <c r="D1013" s="191" t="s">
        <v>2948</v>
      </c>
      <c r="E1013" s="204" t="s">
        <v>1652</v>
      </c>
      <c r="F1013" s="191" t="str">
        <f>VLOOKUP(MP_registro[[#This Row],[TAG]],'DB-EQUIPOS GEN'!$C$11:$H$833,2,0)</f>
        <v>Faja 1006A - Patio de Bagazo</v>
      </c>
      <c r="G1013" s="191" t="str">
        <f>VLOOKUP(MP_registro[[#This Row],[TAG]],'DB-EQUIPOS GEN'!$C$11:$H$833,3,0)</f>
        <v>E. TERMICA</v>
      </c>
      <c r="H1013" s="191" t="str">
        <f>VLOOKUP(MP_registro[[#This Row],[TAG]],'DB-EQUIPOS GEN'!$C$11:$H$833,4,0)</f>
        <v>TRANSPORTE DE BAGAZO</v>
      </c>
      <c r="I1013" s="191" t="str">
        <f>VLOOKUP(MP_registro[[#This Row],[TAG]],'DB-EQUIPOS GEN'!$C$11:$H$833,5,0)</f>
        <v>FAJA TRANSPORTADORA 1006 A</v>
      </c>
      <c r="J1013" s="191" t="str">
        <f>VLOOKUP(MP_registro[[#This Row],[TAG]],'DB-EQUIPOS GEN'!$C$11:$H$833,6,0)</f>
        <v>0805CV080</v>
      </c>
      <c r="K1013" s="192">
        <v>44825</v>
      </c>
      <c r="L1013" s="193" t="s">
        <v>247</v>
      </c>
      <c r="M1013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13" s="201" t="s">
        <v>1664</v>
      </c>
      <c r="O1013" s="64" t="s">
        <v>1696</v>
      </c>
    </row>
    <row r="1014" spans="1:15" ht="33" customHeight="1">
      <c r="A1014" s="218">
        <v>1010</v>
      </c>
      <c r="B1014" s="219" t="s">
        <v>2842</v>
      </c>
      <c r="C1014" s="64" t="s">
        <v>2975</v>
      </c>
      <c r="D1014" s="191" t="s">
        <v>2949</v>
      </c>
      <c r="E1014" s="204" t="s">
        <v>487</v>
      </c>
      <c r="F1014" s="191" t="str">
        <f>VLOOKUP(MP_registro[[#This Row],[TAG]],'DB-EQUIPOS GEN'!$C$11:$H$833,2,0)</f>
        <v>Temperatura del salida de vapor</v>
      </c>
      <c r="G1014" s="191" t="str">
        <f>VLOOKUP(MP_registro[[#This Row],[TAG]],'DB-EQUIPOS GEN'!$C$11:$H$833,3,0)</f>
        <v>PRODUCCION</v>
      </c>
      <c r="H1014" s="191" t="str">
        <f>VLOOKUP(MP_registro[[#This Row],[TAG]],'DB-EQUIPOS GEN'!$C$11:$H$833,4,0)</f>
        <v>EVAPORACION DE JUGO</v>
      </c>
      <c r="I1014" s="191" t="str">
        <f>VLOOKUP(MP_registro[[#This Row],[TAG]],'DB-EQUIPOS GEN'!$C$11:$H$833,5,0)</f>
        <v>FFE 1 /2</v>
      </c>
      <c r="J1014" s="191" t="str">
        <f>VLOOKUP(MP_registro[[#This Row],[TAG]],'DB-EQUIPOS GEN'!$C$11:$H$833,6,0)</f>
        <v xml:space="preserve"> 0320EV020</v>
      </c>
      <c r="K1014" s="192">
        <v>44826</v>
      </c>
      <c r="L1014" s="193" t="s">
        <v>247</v>
      </c>
      <c r="M101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14" s="201" t="s">
        <v>1664</v>
      </c>
      <c r="O1014" s="64" t="s">
        <v>1696</v>
      </c>
    </row>
    <row r="1015" spans="1:15" ht="33" customHeight="1">
      <c r="A1015" s="218">
        <v>1011</v>
      </c>
      <c r="B1015" s="219" t="s">
        <v>2842</v>
      </c>
      <c r="C1015" s="64" t="s">
        <v>2975</v>
      </c>
      <c r="D1015" s="191" t="s">
        <v>2950</v>
      </c>
      <c r="E1015" s="204" t="s">
        <v>494</v>
      </c>
      <c r="F1015" s="191" t="str">
        <f>VLOOKUP(MP_registro[[#This Row],[TAG]],'DB-EQUIPOS GEN'!$C$11:$H$833,2,0)</f>
        <v>Temperatura de jugo Evap.2-3</v>
      </c>
      <c r="G1015" s="191" t="str">
        <f>VLOOKUP(MP_registro[[#This Row],[TAG]],'DB-EQUIPOS GEN'!$C$11:$H$833,3,0)</f>
        <v>PRODUCCION</v>
      </c>
      <c r="H1015" s="191" t="str">
        <f>VLOOKUP(MP_registro[[#This Row],[TAG]],'DB-EQUIPOS GEN'!$C$11:$H$833,4,0)</f>
        <v>EVAPORACION DE JUGO</v>
      </c>
      <c r="I1015" s="191" t="str">
        <f>VLOOKUP(MP_registro[[#This Row],[TAG]],'DB-EQUIPOS GEN'!$C$11:$H$833,5,0)</f>
        <v>FFE 2/3</v>
      </c>
      <c r="J1015" s="191" t="str">
        <f>VLOOKUP(MP_registro[[#This Row],[TAG]],'DB-EQUIPOS GEN'!$C$11:$H$833,6,0)</f>
        <v xml:space="preserve"> 0320EV030</v>
      </c>
      <c r="K1015" s="192">
        <v>44826</v>
      </c>
      <c r="L1015" s="193" t="s">
        <v>247</v>
      </c>
      <c r="M1015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15" s="201" t="s">
        <v>1664</v>
      </c>
      <c r="O1015" s="64" t="s">
        <v>1696</v>
      </c>
    </row>
    <row r="1016" spans="1:15" ht="33" customHeight="1">
      <c r="A1016" s="218">
        <v>1012</v>
      </c>
      <c r="B1016" s="219" t="s">
        <v>2842</v>
      </c>
      <c r="C1016" s="64" t="s">
        <v>2975</v>
      </c>
      <c r="D1016" s="191" t="s">
        <v>2951</v>
      </c>
      <c r="E1016" s="204" t="s">
        <v>585</v>
      </c>
      <c r="F1016" s="191" t="str">
        <f>VLOOKUP(MP_registro[[#This Row],[TAG]],'DB-EQUIPOS GEN'!$C$11:$H$833,2,0)</f>
        <v>Temperatura agua del desairador</v>
      </c>
      <c r="G1016" s="191" t="str">
        <f>VLOOKUP(MP_registro[[#This Row],[TAG]],'DB-EQUIPOS GEN'!$C$11:$H$833,3,0)</f>
        <v>E. TERMICA</v>
      </c>
      <c r="H1016" s="191" t="str">
        <f>VLOOKUP(MP_registro[[#This Row],[TAG]],'DB-EQUIPOS GEN'!$C$11:$H$833,4,0)</f>
        <v>AGUA ALIMENTACION</v>
      </c>
      <c r="I1016" s="191" t="str">
        <f>VLOOKUP(MP_registro[[#This Row],[TAG]],'DB-EQUIPOS GEN'!$C$11:$H$833,5,0)</f>
        <v>DESAIREADOR TERMICO</v>
      </c>
      <c r="J1016" s="191" t="str">
        <f>VLOOKUP(MP_registro[[#This Row],[TAG]],'DB-EQUIPOS GEN'!$C$11:$H$833,6,0)</f>
        <v>0405DA020</v>
      </c>
      <c r="K1016" s="192">
        <v>44826</v>
      </c>
      <c r="L1016" s="193" t="s">
        <v>249</v>
      </c>
      <c r="M101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16" s="201" t="s">
        <v>1664</v>
      </c>
      <c r="O1016" s="64" t="s">
        <v>1696</v>
      </c>
    </row>
    <row r="1017" spans="1:15" ht="33" customHeight="1">
      <c r="A1017" s="218">
        <v>1013</v>
      </c>
      <c r="B1017" s="219" t="s">
        <v>2842</v>
      </c>
      <c r="C1017" s="64" t="s">
        <v>2975</v>
      </c>
      <c r="D1017" s="191" t="s">
        <v>2952</v>
      </c>
      <c r="E1017" s="204" t="s">
        <v>1346</v>
      </c>
      <c r="F1017" s="191" t="str">
        <f>VLOOKUP(MP_registro[[#This Row],[TAG]],'DB-EQUIPOS GEN'!$C$11:$H$833,2,0)</f>
        <v>Controlador C300 en Asset Process House</v>
      </c>
      <c r="G1017" s="191" t="str">
        <f>VLOOKUP(MP_registro[[#This Row],[TAG]],'DB-EQUIPOS GEN'!$C$11:$H$833,3,0)</f>
        <v>PRODUCCION</v>
      </c>
      <c r="H1017" s="191" t="str">
        <f>VLOOKUP(MP_registro[[#This Row],[TAG]],'DB-EQUIPOS GEN'!$C$11:$H$833,4,0)</f>
        <v>EVAPORACION DE JUGO</v>
      </c>
      <c r="I1017" s="191" t="str">
        <f>VLOOKUP(MP_registro[[#This Row],[TAG]],'DB-EQUIPOS GEN'!$C$11:$H$833,5,0)</f>
        <v>EVAPORADOR FFE 1</v>
      </c>
      <c r="J1017" s="191" t="str">
        <f>VLOOKUP(MP_registro[[#This Row],[TAG]],'DB-EQUIPOS GEN'!$C$11:$H$833,6,0)</f>
        <v>0320EV010</v>
      </c>
      <c r="K1017" s="192">
        <v>44826</v>
      </c>
      <c r="L1017" s="193" t="s">
        <v>248</v>
      </c>
      <c r="M1017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017" s="201" t="s">
        <v>1664</v>
      </c>
      <c r="O1017" s="64" t="s">
        <v>1696</v>
      </c>
    </row>
    <row r="1018" spans="1:15" ht="33" customHeight="1">
      <c r="A1018" s="218">
        <v>1014</v>
      </c>
      <c r="B1018" s="219" t="s">
        <v>2842</v>
      </c>
      <c r="C1018" s="64" t="s">
        <v>2975</v>
      </c>
      <c r="D1018" s="191" t="s">
        <v>2953</v>
      </c>
      <c r="E1018" s="204" t="s">
        <v>1653</v>
      </c>
      <c r="F1018" s="191" t="str">
        <f>VLOOKUP(MP_registro[[#This Row],[TAG]],'DB-EQUIPOS GEN'!$C$11:$H$833,2,0)</f>
        <v>Operación del desviador de bagazo</v>
      </c>
      <c r="G1018" s="191" t="str">
        <f>VLOOKUP(MP_registro[[#This Row],[TAG]],'DB-EQUIPOS GEN'!$C$11:$H$833,3,0)</f>
        <v>E. TERMICA</v>
      </c>
      <c r="H1018" s="191" t="str">
        <f>VLOOKUP(MP_registro[[#This Row],[TAG]],'DB-EQUIPOS GEN'!$C$11:$H$833,4,0)</f>
        <v>TRANSPORTE DE BAGAZO</v>
      </c>
      <c r="I1018" s="191" t="str">
        <f>VLOOKUP(MP_registro[[#This Row],[TAG]],'DB-EQUIPOS GEN'!$C$11:$H$833,5,0)</f>
        <v>FAJA TRANSPORTADORA 1004</v>
      </c>
      <c r="J1018" s="191" t="str">
        <f>VLOOKUP(MP_registro[[#This Row],[TAG]],'DB-EQUIPOS GEN'!$C$11:$H$833,6,0)</f>
        <v>0805CV070</v>
      </c>
      <c r="K1018" s="192">
        <v>44826</v>
      </c>
      <c r="L1018" s="193" t="s">
        <v>249</v>
      </c>
      <c r="M101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18" s="201" t="s">
        <v>1664</v>
      </c>
      <c r="O1018" s="64" t="s">
        <v>1696</v>
      </c>
    </row>
    <row r="1019" spans="1:15" ht="33" customHeight="1">
      <c r="A1019" s="218">
        <v>1015</v>
      </c>
      <c r="B1019" s="219" t="s">
        <v>2842</v>
      </c>
      <c r="C1019" s="64" t="s">
        <v>2975</v>
      </c>
      <c r="D1019" s="191" t="s">
        <v>2954</v>
      </c>
      <c r="E1019" s="204" t="s">
        <v>1655</v>
      </c>
      <c r="F1019" s="191" t="str">
        <f>VLOOKUP(MP_registro[[#This Row],[TAG]],'DB-EQUIPOS GEN'!$C$11:$H$833,2,0)</f>
        <v>Vista global de planta de osmosis</v>
      </c>
      <c r="G1019" s="191" t="str">
        <f>VLOOKUP(MP_registro[[#This Row],[TAG]],'DB-EQUIPOS GEN'!$C$11:$H$833,3,0)</f>
        <v>E. TERMICA</v>
      </c>
      <c r="H1019" s="191" t="str">
        <f>VLOOKUP(MP_registro[[#This Row],[TAG]],'DB-EQUIPOS GEN'!$C$11:$H$833,4,0)</f>
        <v>PLANTA TRATAMIENTO OSMOSIS INVERSA</v>
      </c>
      <c r="I1019" s="191" t="str">
        <f>VLOOKUP(MP_registro[[#This Row],[TAG]],'DB-EQUIPOS GEN'!$C$11:$H$833,5,0)</f>
        <v>PLANTA DE OSMOSIS INVERSA</v>
      </c>
      <c r="J1019" s="191" t="str">
        <f>VLOOKUP(MP_registro[[#This Row],[TAG]],'DB-EQUIPOS GEN'!$C$11:$H$833,6,0)</f>
        <v>0425OI101</v>
      </c>
      <c r="K1019" s="192">
        <v>44826</v>
      </c>
      <c r="L1019" s="193" t="s">
        <v>249</v>
      </c>
      <c r="M101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19" s="201" t="s">
        <v>1664</v>
      </c>
      <c r="O1019" s="64" t="s">
        <v>1696</v>
      </c>
    </row>
    <row r="1020" spans="1:15" ht="33" customHeight="1">
      <c r="A1020" s="218">
        <v>1016</v>
      </c>
      <c r="B1020" s="219" t="s">
        <v>2842</v>
      </c>
      <c r="C1020" s="64" t="s">
        <v>2975</v>
      </c>
      <c r="D1020" s="191" t="s">
        <v>2955</v>
      </c>
      <c r="E1020" s="204" t="s">
        <v>500</v>
      </c>
      <c r="F1020" s="191" t="str">
        <f>VLOOKUP(MP_registro[[#This Row],[TAG]],'DB-EQUIPOS GEN'!$C$11:$H$833,2,0)</f>
        <v>Presion de vapor de salida Evap</v>
      </c>
      <c r="G1020" s="191" t="str">
        <f>VLOOKUP(MP_registro[[#This Row],[TAG]],'DB-EQUIPOS GEN'!$C$11:$H$833,3,0)</f>
        <v>PRODUCCION</v>
      </c>
      <c r="H1020" s="191" t="str">
        <f>VLOOKUP(MP_registro[[#This Row],[TAG]],'DB-EQUIPOS GEN'!$C$11:$H$833,4,0)</f>
        <v>EVAPORACION DE JUGO</v>
      </c>
      <c r="I1020" s="191" t="str">
        <f>VLOOKUP(MP_registro[[#This Row],[TAG]],'DB-EQUIPOS GEN'!$C$11:$H$833,5,0)</f>
        <v>FFE 2/3</v>
      </c>
      <c r="J1020" s="191" t="str">
        <f>VLOOKUP(MP_registro[[#This Row],[TAG]],'DB-EQUIPOS GEN'!$C$11:$H$833,6,0)</f>
        <v xml:space="preserve"> 0320EV030</v>
      </c>
      <c r="K1020" s="192">
        <v>44827</v>
      </c>
      <c r="L1020" s="193" t="s">
        <v>247</v>
      </c>
      <c r="M1020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20" s="201" t="s">
        <v>1664</v>
      </c>
      <c r="O1020" s="64" t="s">
        <v>1696</v>
      </c>
    </row>
    <row r="1021" spans="1:15" ht="33" customHeight="1">
      <c r="A1021" s="218">
        <v>1017</v>
      </c>
      <c r="B1021" s="219" t="s">
        <v>2842</v>
      </c>
      <c r="C1021" s="64" t="s">
        <v>2975</v>
      </c>
      <c r="D1021" s="191" t="s">
        <v>2956</v>
      </c>
      <c r="E1021" s="204" t="s">
        <v>498</v>
      </c>
      <c r="F1021" s="191" t="str">
        <f>VLOOKUP(MP_registro[[#This Row],[TAG]],'DB-EQUIPOS GEN'!$C$11:$H$833,2,0)</f>
        <v>Temperatura del salida de vapor</v>
      </c>
      <c r="G1021" s="191" t="str">
        <f>VLOOKUP(MP_registro[[#This Row],[TAG]],'DB-EQUIPOS GEN'!$C$11:$H$833,3,0)</f>
        <v>PRODUCCION</v>
      </c>
      <c r="H1021" s="191" t="str">
        <f>VLOOKUP(MP_registro[[#This Row],[TAG]],'DB-EQUIPOS GEN'!$C$11:$H$833,4,0)</f>
        <v>EVAPORACION DE JUGO</v>
      </c>
      <c r="I1021" s="191" t="str">
        <f>VLOOKUP(MP_registro[[#This Row],[TAG]],'DB-EQUIPOS GEN'!$C$11:$H$833,5,0)</f>
        <v>FFE 2/3</v>
      </c>
      <c r="J1021" s="191" t="str">
        <f>VLOOKUP(MP_registro[[#This Row],[TAG]],'DB-EQUIPOS GEN'!$C$11:$H$833,6,0)</f>
        <v xml:space="preserve"> 0320EV030</v>
      </c>
      <c r="K1021" s="192">
        <v>44827</v>
      </c>
      <c r="L1021" s="193" t="s">
        <v>247</v>
      </c>
      <c r="M102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21" s="201" t="s">
        <v>1664</v>
      </c>
      <c r="O1021" s="64" t="s">
        <v>1696</v>
      </c>
    </row>
    <row r="1022" spans="1:15" ht="33" customHeight="1">
      <c r="A1022" s="218">
        <v>1018</v>
      </c>
      <c r="B1022" s="219" t="s">
        <v>2842</v>
      </c>
      <c r="C1022" s="64" t="s">
        <v>2975</v>
      </c>
      <c r="D1022" s="191" t="s">
        <v>2957</v>
      </c>
      <c r="E1022" s="204" t="s">
        <v>587</v>
      </c>
      <c r="F1022" s="191" t="str">
        <f>VLOOKUP(MP_registro[[#This Row],[TAG]],'DB-EQUIPOS GEN'!$C$11:$H$833,2,0)</f>
        <v>Temperatura de aire primario entrada a la caldera</v>
      </c>
      <c r="G1022" s="191" t="str">
        <f>VLOOKUP(MP_registro[[#This Row],[TAG]],'DB-EQUIPOS GEN'!$C$11:$H$833,3,0)</f>
        <v>E. TERMICA</v>
      </c>
      <c r="H1022" s="191" t="str">
        <f>VLOOKUP(MP_registro[[#This Row],[TAG]],'DB-EQUIPOS GEN'!$C$11:$H$833,4,0)</f>
        <v>GENERACION DE VAPOR</v>
      </c>
      <c r="I1022" s="191" t="str">
        <f>VLOOKUP(MP_registro[[#This Row],[TAG]],'DB-EQUIPOS GEN'!$C$11:$H$833,5,0)</f>
        <v>DUCTOS INGRESO DE AIRE A CALDERA</v>
      </c>
      <c r="J1022" s="191" t="str">
        <f>VLOOKUP(MP_registro[[#This Row],[TAG]],'DB-EQUIPOS GEN'!$C$11:$H$833,6,0)</f>
        <v>0405DU010</v>
      </c>
      <c r="K1022" s="192">
        <v>44827</v>
      </c>
      <c r="L1022" s="193" t="s">
        <v>249</v>
      </c>
      <c r="M102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22" s="201" t="s">
        <v>1664</v>
      </c>
      <c r="O1022" s="64" t="s">
        <v>1696</v>
      </c>
    </row>
    <row r="1023" spans="1:15" ht="33" customHeight="1">
      <c r="A1023" s="218">
        <v>1019</v>
      </c>
      <c r="B1023" s="219" t="s">
        <v>2842</v>
      </c>
      <c r="C1023" s="64" t="s">
        <v>2975</v>
      </c>
      <c r="D1023" s="191" t="s">
        <v>2958</v>
      </c>
      <c r="E1023" s="204" t="s">
        <v>1849</v>
      </c>
      <c r="F1023" s="191" t="str">
        <f>VLOOKUP(MP_registro[[#This Row],[TAG]],'DB-EQUIPOS GEN'!$C$11:$H$833,2,0)</f>
        <v>Aire Instrumentacion p/ Caldera</v>
      </c>
      <c r="G1023" s="191" t="str">
        <f>VLOOKUP(MP_registro[[#This Row],[TAG]],'DB-EQUIPOS GEN'!$C$11:$H$833,3,0)</f>
        <v>E. ELECTRICA</v>
      </c>
      <c r="H1023" s="191" t="str">
        <f>VLOOKUP(MP_registro[[#This Row],[TAG]],'DB-EQUIPOS GEN'!$C$11:$H$833,4,0)</f>
        <v>GENERACION ENERG. ELEC. TURBO GENERADOR</v>
      </c>
      <c r="I1023" s="191" t="str">
        <f>VLOOKUP(MP_registro[[#This Row],[TAG]],'DB-EQUIPOS GEN'!$C$11:$H$833,5,0)</f>
        <v/>
      </c>
      <c r="J1023" s="191" t="str">
        <f>VLOOKUP(MP_registro[[#This Row],[TAG]],'DB-EQUIPOS GEN'!$C$11:$H$833,6,0)</f>
        <v/>
      </c>
      <c r="K1023" s="192">
        <v>44827</v>
      </c>
      <c r="L1023" s="193" t="s">
        <v>249</v>
      </c>
      <c r="M102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23" s="201" t="s">
        <v>1664</v>
      </c>
      <c r="O1023" s="64" t="s">
        <v>1696</v>
      </c>
    </row>
    <row r="1024" spans="1:15" ht="33" customHeight="1">
      <c r="A1024" s="218">
        <v>1020</v>
      </c>
      <c r="B1024" s="219" t="s">
        <v>2842</v>
      </c>
      <c r="C1024" s="64" t="s">
        <v>2975</v>
      </c>
      <c r="D1024" s="191" t="s">
        <v>2959</v>
      </c>
      <c r="E1024" s="204" t="s">
        <v>2416</v>
      </c>
      <c r="F1024" s="191" t="str">
        <f>VLOOKUP(MP_registro[[#This Row],[TAG]],'DB-EQUIPOS GEN'!$C$11:$H$833,2,0)</f>
        <v>Vista Conductor Auxiliar - Superior</v>
      </c>
      <c r="G1024" s="191" t="str">
        <f>VLOOKUP(MP_registro[[#This Row],[TAG]],'DB-EQUIPOS GEN'!$C$11:$H$833,3,0)</f>
        <v>EXTRACCION</v>
      </c>
      <c r="H1024" s="191" t="str">
        <f>VLOOKUP(MP_registro[[#This Row],[TAG]],'DB-EQUIPOS GEN'!$C$11:$H$833,4,0)</f>
        <v>PREPARACIÓN DE CAÑA</v>
      </c>
      <c r="I1024" s="191" t="str">
        <f>VLOOKUP(MP_registro[[#This Row],[TAG]],'DB-EQUIPOS GEN'!$C$11:$H$833,5,0)</f>
        <v>CONDUCTOR AUXILIAR DE CAÑA</v>
      </c>
      <c r="J1024" s="191" t="str">
        <f>VLOOKUP(MP_registro[[#This Row],[TAG]],'DB-EQUIPOS GEN'!$C$11:$H$833,6,0)</f>
        <v>0115CV010</v>
      </c>
      <c r="K1024" s="192">
        <v>44827</v>
      </c>
      <c r="L1024" s="193" t="s">
        <v>247</v>
      </c>
      <c r="M102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24" s="201" t="s">
        <v>1664</v>
      </c>
      <c r="O1024" s="64" t="s">
        <v>1696</v>
      </c>
    </row>
    <row r="1025" spans="1:15" ht="33" customHeight="1">
      <c r="A1025" s="218">
        <v>1021</v>
      </c>
      <c r="B1025" s="219" t="s">
        <v>2842</v>
      </c>
      <c r="C1025" s="64" t="s">
        <v>2975</v>
      </c>
      <c r="D1025" s="191" t="s">
        <v>2960</v>
      </c>
      <c r="E1025" s="204" t="s">
        <v>2406</v>
      </c>
      <c r="F1025" s="191" t="str">
        <f>VLOOKUP(MP_registro[[#This Row],[TAG]],'DB-EQUIPOS GEN'!$C$11:$H$833,2,0)</f>
        <v>Vista Mesa de Caña - Descarga de Tetras</v>
      </c>
      <c r="G1025" s="191" t="str">
        <f>VLOOKUP(MP_registro[[#This Row],[TAG]],'DB-EQUIPOS GEN'!$C$11:$H$833,3,0)</f>
        <v>EXTRACCION</v>
      </c>
      <c r="H1025" s="191" t="str">
        <f>VLOOKUP(MP_registro[[#This Row],[TAG]],'DB-EQUIPOS GEN'!$C$11:$H$833,4,0)</f>
        <v>RECEPCIÓN DE CAÑA</v>
      </c>
      <c r="I1025" s="191" t="str">
        <f>VLOOKUP(MP_registro[[#This Row],[TAG]],'DB-EQUIPOS GEN'!$C$11:$H$833,5,0)</f>
        <v>MESA DE CAÑA</v>
      </c>
      <c r="J1025" s="191" t="str">
        <f>VLOOKUP(MP_registro[[#This Row],[TAG]],'DB-EQUIPOS GEN'!$C$11:$H$833,6,0)</f>
        <v>0110FE019</v>
      </c>
      <c r="K1025" s="192">
        <v>44827</v>
      </c>
      <c r="L1025" s="193" t="s">
        <v>247</v>
      </c>
      <c r="M1025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25" s="201" t="s">
        <v>1664</v>
      </c>
      <c r="O1025" s="64" t="s">
        <v>1696</v>
      </c>
    </row>
    <row r="1026" spans="1:15" ht="33" customHeight="1">
      <c r="A1026" s="218">
        <v>1022</v>
      </c>
      <c r="B1026" s="219" t="s">
        <v>2842</v>
      </c>
      <c r="C1026" s="64" t="s">
        <v>2975</v>
      </c>
      <c r="D1026" s="191" t="s">
        <v>2961</v>
      </c>
      <c r="E1026" s="204" t="s">
        <v>1643</v>
      </c>
      <c r="F1026" s="191" t="str">
        <f>VLOOKUP(MP_registro[[#This Row],[TAG]],'DB-EQUIPOS GEN'!$C$11:$H$833,2,0)</f>
        <v>Nivelador de cama de bagazo en difusor</v>
      </c>
      <c r="G1026" s="191" t="str">
        <f>VLOOKUP(MP_registro[[#This Row],[TAG]],'DB-EQUIPOS GEN'!$C$11:$H$833,3,0)</f>
        <v>EXTRACCION</v>
      </c>
      <c r="H1026" s="191" t="str">
        <f>VLOOKUP(MP_registro[[#This Row],[TAG]],'DB-EQUIPOS GEN'!$C$11:$H$833,4,0)</f>
        <v>DIFUSOR</v>
      </c>
      <c r="I1026" s="191" t="str">
        <f>VLOOKUP(MP_registro[[#This Row],[TAG]],'DB-EQUIPOS GEN'!$C$11:$H$833,5,0)</f>
        <v>CONDUCTOR TRANSVERSAL</v>
      </c>
      <c r="J1026" s="191" t="str">
        <f>VLOOKUP(MP_registro[[#This Row],[TAG]],'DB-EQUIPOS GEN'!$C$11:$H$833,6,0)</f>
        <v>0205CV190</v>
      </c>
      <c r="K1026" s="192">
        <v>44827</v>
      </c>
      <c r="L1026" s="193" t="s">
        <v>247</v>
      </c>
      <c r="M102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26" s="201" t="s">
        <v>1664</v>
      </c>
      <c r="O1026" s="64" t="s">
        <v>1696</v>
      </c>
    </row>
    <row r="1027" spans="1:15" ht="33" customHeight="1">
      <c r="A1027" s="218">
        <v>1023</v>
      </c>
      <c r="B1027" s="219" t="s">
        <v>2842</v>
      </c>
      <c r="C1027" s="64" t="s">
        <v>2975</v>
      </c>
      <c r="D1027" s="191" t="s">
        <v>2962</v>
      </c>
      <c r="E1027" s="204" t="s">
        <v>1645</v>
      </c>
      <c r="F1027" s="191" t="str">
        <f>VLOOKUP(MP_registro[[#This Row],[TAG]],'DB-EQUIPOS GEN'!$C$11:$H$833,2,0)</f>
        <v>Tamiz rotativo</v>
      </c>
      <c r="G1027" s="191" t="str">
        <f>VLOOKUP(MP_registro[[#This Row],[TAG]],'DB-EQUIPOS GEN'!$C$11:$H$833,3,0)</f>
        <v>EXTRACCION</v>
      </c>
      <c r="H1027" s="191" t="str">
        <f>VLOOKUP(MP_registro[[#This Row],[TAG]],'DB-EQUIPOS GEN'!$C$11:$H$833,4,0)</f>
        <v>DIFUSOR</v>
      </c>
      <c r="I1027" s="191" t="str">
        <f>VLOOKUP(MP_registro[[#This Row],[TAG]],'DB-EQUIPOS GEN'!$C$11:$H$833,5,0)</f>
        <v>TAMIZ ROTATIVO</v>
      </c>
      <c r="J1027" s="191" t="str">
        <f>VLOOKUP(MP_registro[[#This Row],[TAG]],'DB-EQUIPOS GEN'!$C$11:$H$833,6,0)</f>
        <v>0305FL010</v>
      </c>
      <c r="K1027" s="192">
        <v>44827</v>
      </c>
      <c r="L1027" s="193" t="s">
        <v>247</v>
      </c>
      <c r="M102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27" s="201" t="s">
        <v>1664</v>
      </c>
      <c r="O1027" s="64" t="s">
        <v>1696</v>
      </c>
    </row>
    <row r="1028" spans="1:15" ht="33" customHeight="1">
      <c r="A1028" s="218">
        <v>1024</v>
      </c>
      <c r="B1028" s="219" t="s">
        <v>2842</v>
      </c>
      <c r="C1028" s="64" t="s">
        <v>2975</v>
      </c>
      <c r="D1028" s="191" t="s">
        <v>2963</v>
      </c>
      <c r="E1028" s="204" t="s">
        <v>1646</v>
      </c>
      <c r="F1028" s="191" t="str">
        <f>VLOOKUP(MP_registro[[#This Row],[TAG]],'DB-EQUIPOS GEN'!$C$11:$H$833,2,0)</f>
        <v>Segundo nivel de Turbina TGM</v>
      </c>
      <c r="G1028" s="191" t="str">
        <f>VLOOKUP(MP_registro[[#This Row],[TAG]],'DB-EQUIPOS GEN'!$C$11:$H$833,3,0)</f>
        <v>E. ELECTRICA</v>
      </c>
      <c r="H1028" s="191" t="str">
        <f>VLOOKUP(MP_registro[[#This Row],[TAG]],'DB-EQUIPOS GEN'!$C$11:$H$833,4,0)</f>
        <v>SISTEMA DE ENFRIAMIENTO</v>
      </c>
      <c r="I1028" s="191" t="str">
        <f>VLOOKUP(MP_registro[[#This Row],[TAG]],'DB-EQUIPOS GEN'!$C$11:$H$833,5,0)</f>
        <v>TORRE DE ENFRIAMIENTO MARLEY - TG TGM</v>
      </c>
      <c r="J1028" s="191" t="str">
        <f>VLOOKUP(MP_registro[[#This Row],[TAG]],'DB-EQUIPOS GEN'!$C$11:$H$833,6,0)</f>
        <v>0430CT050</v>
      </c>
      <c r="K1028" s="192">
        <v>44827</v>
      </c>
      <c r="L1028" s="193" t="s">
        <v>249</v>
      </c>
      <c r="M102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28" s="201" t="s">
        <v>1664</v>
      </c>
      <c r="O1028" s="64" t="s">
        <v>1696</v>
      </c>
    </row>
    <row r="1029" spans="1:15" ht="33" customHeight="1">
      <c r="A1029" s="218">
        <v>1025</v>
      </c>
      <c r="B1029" s="219" t="s">
        <v>2842</v>
      </c>
      <c r="C1029" s="64" t="s">
        <v>2975</v>
      </c>
      <c r="D1029" s="191" t="s">
        <v>2964</v>
      </c>
      <c r="E1029" s="204" t="s">
        <v>1650</v>
      </c>
      <c r="F1029" s="191" t="str">
        <f>VLOOKUP(MP_registro[[#This Row],[TAG]],'DB-EQUIPOS GEN'!$C$11:$H$833,2,0)</f>
        <v>Faja 1003 - Conductor distribuidor de bagazo</v>
      </c>
      <c r="G1029" s="191" t="str">
        <f>VLOOKUP(MP_registro[[#This Row],[TAG]],'DB-EQUIPOS GEN'!$C$11:$H$833,3,0)</f>
        <v>E. TERMICA</v>
      </c>
      <c r="H1029" s="191" t="str">
        <f>VLOOKUP(MP_registro[[#This Row],[TAG]],'DB-EQUIPOS GEN'!$C$11:$H$833,4,0)</f>
        <v>TRANSPORTE DE BAGAZO</v>
      </c>
      <c r="I1029" s="191" t="str">
        <f>VLOOKUP(MP_registro[[#This Row],[TAG]],'DB-EQUIPOS GEN'!$C$11:$H$833,5,0)</f>
        <v>TRANSPORTADOR DE BAGAZO 1003</v>
      </c>
      <c r="J1029" s="191" t="str">
        <f>VLOOKUP(MP_registro[[#This Row],[TAG]],'DB-EQUIPOS GEN'!$C$11:$H$833,6,0)</f>
        <v>0805CV060</v>
      </c>
      <c r="K1029" s="192">
        <v>44827</v>
      </c>
      <c r="L1029" s="193" t="s">
        <v>249</v>
      </c>
      <c r="M102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29" s="201" t="s">
        <v>1664</v>
      </c>
      <c r="O1029" s="64" t="s">
        <v>1696</v>
      </c>
    </row>
    <row r="1030" spans="1:15" ht="33" customHeight="1">
      <c r="A1030" s="218">
        <v>1026</v>
      </c>
      <c r="B1030" s="219" t="s">
        <v>2842</v>
      </c>
      <c r="C1030" s="64" t="s">
        <v>2975</v>
      </c>
      <c r="D1030" s="191" t="s">
        <v>2965</v>
      </c>
      <c r="E1030" s="204" t="s">
        <v>1651</v>
      </c>
      <c r="F1030" s="191" t="str">
        <f>VLOOKUP(MP_registro[[#This Row],[TAG]],'DB-EQUIPOS GEN'!$C$11:$H$833,2,0)</f>
        <v>Faja 1008 - Tolva de retorno de bagazo</v>
      </c>
      <c r="G1030" s="191" t="str">
        <f>VLOOKUP(MP_registro[[#This Row],[TAG]],'DB-EQUIPOS GEN'!$C$11:$H$833,3,0)</f>
        <v>E. TERMICA</v>
      </c>
      <c r="H1030" s="191" t="str">
        <f>VLOOKUP(MP_registro[[#This Row],[TAG]],'DB-EQUIPOS GEN'!$C$11:$H$833,4,0)</f>
        <v>TRANSPORTE DE BAGAZO</v>
      </c>
      <c r="I1030" s="191" t="str">
        <f>VLOOKUP(MP_registro[[#This Row],[TAG]],'DB-EQUIPOS GEN'!$C$11:$H$833,5,0)</f>
        <v>FAJA TRANSPORTADORA 1008</v>
      </c>
      <c r="J1030" s="191" t="str">
        <f>VLOOKUP(MP_registro[[#This Row],[TAG]],'DB-EQUIPOS GEN'!$C$11:$H$833,6,0)</f>
        <v>0805CV100</v>
      </c>
      <c r="K1030" s="192">
        <v>44827</v>
      </c>
      <c r="L1030" s="193" t="s">
        <v>249</v>
      </c>
      <c r="M103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30" s="201" t="s">
        <v>1664</v>
      </c>
      <c r="O1030" s="64" t="s">
        <v>1696</v>
      </c>
    </row>
    <row r="1031" spans="1:15" ht="33" customHeight="1">
      <c r="A1031" s="218">
        <v>1027</v>
      </c>
      <c r="B1031" s="219" t="s">
        <v>2842</v>
      </c>
      <c r="C1031" s="64" t="s">
        <v>2975</v>
      </c>
      <c r="D1031" s="191" t="s">
        <v>2966</v>
      </c>
      <c r="E1031" s="204" t="s">
        <v>1654</v>
      </c>
      <c r="F1031" s="191" t="str">
        <f>VLOOKUP(MP_registro[[#This Row],[TAG]],'DB-EQUIPOS GEN'!$C$11:$H$833,2,0)</f>
        <v>Vista global de sala turbina TGM</v>
      </c>
      <c r="G1031" s="191" t="str">
        <f>VLOOKUP(MP_registro[[#This Row],[TAG]],'DB-EQUIPOS GEN'!$C$11:$H$833,3,0)</f>
        <v>E. ELECTRICA</v>
      </c>
      <c r="H1031" s="191" t="str">
        <f>VLOOKUP(MP_registro[[#This Row],[TAG]],'DB-EQUIPOS GEN'!$C$11:$H$833,4,0)</f>
        <v>SISTEMA DE ENFRIAMIENTO</v>
      </c>
      <c r="I1031" s="191" t="str">
        <f>VLOOKUP(MP_registro[[#This Row],[TAG]],'DB-EQUIPOS GEN'!$C$11:$H$833,5,0)</f>
        <v>TORRE DE ENFRIAMIENTO MARLEY - TG TGM</v>
      </c>
      <c r="J1031" s="191" t="str">
        <f>VLOOKUP(MP_registro[[#This Row],[TAG]],'DB-EQUIPOS GEN'!$C$11:$H$833,6,0)</f>
        <v>0430CT050</v>
      </c>
      <c r="K1031" s="192">
        <v>44827</v>
      </c>
      <c r="L1031" s="193" t="s">
        <v>249</v>
      </c>
      <c r="M103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31" s="201" t="s">
        <v>1664</v>
      </c>
      <c r="O1031" s="64" t="s">
        <v>1696</v>
      </c>
    </row>
    <row r="1032" spans="1:15" ht="33" customHeight="1">
      <c r="A1032" s="218">
        <v>1028</v>
      </c>
      <c r="B1032" s="219" t="s">
        <v>2842</v>
      </c>
      <c r="C1032" s="64" t="s">
        <v>2975</v>
      </c>
      <c r="D1032" s="191" t="s">
        <v>2967</v>
      </c>
      <c r="E1032" s="204" t="s">
        <v>542</v>
      </c>
      <c r="F1032" s="191" t="str">
        <f>VLOOKUP(MP_registro[[#This Row],[TAG]],'DB-EQUIPOS GEN'!$C$11:$H$833,2,0)</f>
        <v>Brix de jarabe 5to efecto</v>
      </c>
      <c r="G1032" s="191" t="str">
        <f>VLOOKUP(MP_registro[[#This Row],[TAG]],'DB-EQUIPOS GEN'!$C$11:$H$833,3,0)</f>
        <v>PRODUCCION</v>
      </c>
      <c r="H1032" s="191" t="str">
        <f>VLOOKUP(MP_registro[[#This Row],[TAG]],'DB-EQUIPOS GEN'!$C$11:$H$833,4,0)</f>
        <v>EVAPORACION DE JUGO</v>
      </c>
      <c r="I1032" s="191" t="str">
        <f>VLOOKUP(MP_registro[[#This Row],[TAG]],'DB-EQUIPOS GEN'!$C$11:$H$833,5,0)</f>
        <v>FFE 5B</v>
      </c>
      <c r="J1032" s="191" t="str">
        <f>VLOOKUP(MP_registro[[#This Row],[TAG]],'DB-EQUIPOS GEN'!$C$11:$H$833,6,0)</f>
        <v xml:space="preserve"> 0320EV080</v>
      </c>
      <c r="K1032" s="192">
        <v>44828</v>
      </c>
      <c r="L1032" s="193" t="s">
        <v>247</v>
      </c>
      <c r="M103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32" s="201" t="s">
        <v>1664</v>
      </c>
      <c r="O1032" s="64" t="s">
        <v>1696</v>
      </c>
    </row>
    <row r="1033" spans="1:15" ht="33" customHeight="1">
      <c r="A1033" s="218">
        <v>1029</v>
      </c>
      <c r="B1033" s="219" t="s">
        <v>2842</v>
      </c>
      <c r="C1033" s="64" t="s">
        <v>2975</v>
      </c>
      <c r="D1033" s="191" t="s">
        <v>2968</v>
      </c>
      <c r="E1033" s="204" t="s">
        <v>589</v>
      </c>
      <c r="F1033" s="191" t="str">
        <f>VLOOKUP(MP_registro[[#This Row],[TAG]],'DB-EQUIPOS GEN'!$C$11:$H$833,2,0)</f>
        <v>Temperatura de aire secundario entrada a la caldera</v>
      </c>
      <c r="G1033" s="191" t="str">
        <f>VLOOKUP(MP_registro[[#This Row],[TAG]],'DB-EQUIPOS GEN'!$C$11:$H$833,3,0)</f>
        <v>E. TERMICA</v>
      </c>
      <c r="H1033" s="191" t="str">
        <f>VLOOKUP(MP_registro[[#This Row],[TAG]],'DB-EQUIPOS GEN'!$C$11:$H$833,4,0)</f>
        <v>GENERACION DE VAPOR</v>
      </c>
      <c r="I1033" s="191" t="str">
        <f>VLOOKUP(MP_registro[[#This Row],[TAG]],'DB-EQUIPOS GEN'!$C$11:$H$833,5,0)</f>
        <v>DUCTOS INGRESO DE AIRE A CALDERA</v>
      </c>
      <c r="J1033" s="191" t="str">
        <f>VLOOKUP(MP_registro[[#This Row],[TAG]],'DB-EQUIPOS GEN'!$C$11:$H$833,6,0)</f>
        <v>0405DU010</v>
      </c>
      <c r="K1033" s="192">
        <v>44828</v>
      </c>
      <c r="L1033" s="193" t="s">
        <v>249</v>
      </c>
      <c r="M103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33" s="201" t="s">
        <v>1664</v>
      </c>
      <c r="O1033" s="64" t="s">
        <v>1696</v>
      </c>
    </row>
    <row r="1034" spans="1:15" ht="33" customHeight="1">
      <c r="A1034" s="218">
        <v>1030</v>
      </c>
      <c r="B1034" s="219" t="s">
        <v>2842</v>
      </c>
      <c r="C1034" s="64" t="s">
        <v>2975</v>
      </c>
      <c r="D1034" s="191" t="s">
        <v>2969</v>
      </c>
      <c r="E1034" s="204" t="s">
        <v>1644</v>
      </c>
      <c r="F1034" s="191" t="str">
        <f>VLOOKUP(MP_registro[[#This Row],[TAG]],'DB-EQUIPOS GEN'!$C$11:$H$833,2,0)</f>
        <v>Explanada de Turbina Triveni</v>
      </c>
      <c r="G1034" s="191" t="str">
        <f>VLOOKUP(MP_registro[[#This Row],[TAG]],'DB-EQUIPOS GEN'!$C$11:$H$833,3,0)</f>
        <v>E. ELECTRICA</v>
      </c>
      <c r="H1034" s="191" t="str">
        <f>VLOOKUP(MP_registro[[#This Row],[TAG]],'DB-EQUIPOS GEN'!$C$11:$H$833,4,0)</f>
        <v>GENERACIÓN ENERG. ELEC. TURBO GENERADOR</v>
      </c>
      <c r="I1034" s="191" t="str">
        <f>VLOOKUP(MP_registro[[#This Row],[TAG]],'DB-EQUIPOS GEN'!$C$11:$H$833,5,0)</f>
        <v>TURBOGENERADOR TRIVENI 23.2 MW</v>
      </c>
      <c r="J1034" s="191" t="str">
        <f>VLOOKUP(MP_registro[[#This Row],[TAG]],'DB-EQUIPOS GEN'!$C$11:$H$833,6,0)</f>
        <v>0430TG020</v>
      </c>
      <c r="K1034" s="192">
        <v>44828</v>
      </c>
      <c r="L1034" s="193" t="s">
        <v>249</v>
      </c>
      <c r="M103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34" s="201" t="s">
        <v>1664</v>
      </c>
      <c r="O1034" s="64" t="s">
        <v>1696</v>
      </c>
    </row>
    <row r="1035" spans="1:15" ht="33" customHeight="1">
      <c r="A1035" s="218">
        <v>1031</v>
      </c>
      <c r="B1035" s="219" t="s">
        <v>2842</v>
      </c>
      <c r="C1035" s="64" t="s">
        <v>2975</v>
      </c>
      <c r="D1035" s="191" t="s">
        <v>2970</v>
      </c>
      <c r="E1035" s="204" t="s">
        <v>1657</v>
      </c>
      <c r="F1035" s="191" t="str">
        <f>VLOOKUP(MP_registro[[#This Row],[TAG]],'DB-EQUIPOS GEN'!$C$11:$H$833,2,0)</f>
        <v>Pug mill B, Cabezal C de centrifugas continuas</v>
      </c>
      <c r="G1035" s="191" t="str">
        <f>VLOOKUP(MP_registro[[#This Row],[TAG]],'DB-EQUIPOS GEN'!$C$11:$H$833,3,0)</f>
        <v>PRODUCCION</v>
      </c>
      <c r="H1035" s="191" t="str">
        <f>VLOOKUP(MP_registro[[#This Row],[TAG]],'DB-EQUIPOS GEN'!$C$11:$H$833,4,0)</f>
        <v>CENTRIFUGACIÓN DE AZÚCAR</v>
      </c>
      <c r="I1035" s="191" t="str">
        <f>VLOOKUP(MP_registro[[#This Row],[TAG]],'DB-EQUIPOS GEN'!$C$11:$H$833,5,0)</f>
        <v>PUG MILL - B</v>
      </c>
      <c r="J1035" s="191" t="str">
        <f>VLOOKUP(MP_registro[[#This Row],[TAG]],'DB-EQUIPOS GEN'!$C$11:$H$833,6,0)</f>
        <v>0345MM020</v>
      </c>
      <c r="K1035" s="192">
        <v>44828</v>
      </c>
      <c r="L1035" s="193" t="s">
        <v>247</v>
      </c>
      <c r="M1035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35" s="201" t="s">
        <v>1664</v>
      </c>
      <c r="O1035" s="64" t="s">
        <v>1696</v>
      </c>
    </row>
    <row r="1036" spans="1:15" ht="33" customHeight="1">
      <c r="A1036" s="218">
        <v>1032</v>
      </c>
      <c r="B1036" s="219" t="s">
        <v>2842</v>
      </c>
      <c r="C1036" s="64" t="s">
        <v>2975</v>
      </c>
      <c r="D1036" s="191" t="s">
        <v>2971</v>
      </c>
      <c r="E1036" s="204" t="s">
        <v>1647</v>
      </c>
      <c r="F1036" s="191" t="str">
        <f>VLOOKUP(MP_registro[[#This Row],[TAG]],'DB-EQUIPOS GEN'!$C$11:$H$833,2,0)</f>
        <v>Explanada frontal de Turbina Triveni</v>
      </c>
      <c r="G1036" s="191" t="str">
        <f>VLOOKUP(MP_registro[[#This Row],[TAG]],'DB-EQUIPOS GEN'!$C$11:$H$833,3,0)</f>
        <v>E. ELECTRICA</v>
      </c>
      <c r="H1036" s="191" t="str">
        <f>VLOOKUP(MP_registro[[#This Row],[TAG]],'DB-EQUIPOS GEN'!$C$11:$H$833,4,0)</f>
        <v>GENERACIÓN ENERG. ELEC. TURBO GENERADOR</v>
      </c>
      <c r="I1036" s="191" t="str">
        <f>VLOOKUP(MP_registro[[#This Row],[TAG]],'DB-EQUIPOS GEN'!$C$11:$H$833,5,0)</f>
        <v>TURBOGENERADOR TRIVENI 23.2 MW</v>
      </c>
      <c r="J1036" s="191" t="str">
        <f>VLOOKUP(MP_registro[[#This Row],[TAG]],'DB-EQUIPOS GEN'!$C$11:$H$833,6,0)</f>
        <v>0430TG020</v>
      </c>
      <c r="K1036" s="192">
        <v>44828</v>
      </c>
      <c r="L1036" s="193" t="s">
        <v>249</v>
      </c>
      <c r="M103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36" s="201" t="s">
        <v>1664</v>
      </c>
      <c r="O1036" s="64" t="s">
        <v>1696</v>
      </c>
    </row>
    <row r="1037" spans="1:15" ht="33" customHeight="1">
      <c r="A1037" s="218">
        <v>1033</v>
      </c>
      <c r="B1037" s="219" t="s">
        <v>2842</v>
      </c>
      <c r="C1037" s="64" t="s">
        <v>2975</v>
      </c>
      <c r="D1037" s="191" t="s">
        <v>2972</v>
      </c>
      <c r="E1037" s="204" t="s">
        <v>280</v>
      </c>
      <c r="F1037" s="191" t="str">
        <f>VLOOKUP(MP_registro[[#This Row],[TAG]],'DB-EQUIPOS GEN'!$C$11:$H$833,2,0)</f>
        <v>PH de jugo clarificado</v>
      </c>
      <c r="G1037" s="191" t="str">
        <f>VLOOKUP(MP_registro[[#This Row],[TAG]],'DB-EQUIPOS GEN'!$C$11:$H$833,3,0)</f>
        <v>PRODUCCION</v>
      </c>
      <c r="H1037" s="191" t="str">
        <f>VLOOKUP(MP_registro[[#This Row],[TAG]],'DB-EQUIPOS GEN'!$C$11:$H$833,4,0)</f>
        <v>CLARIFICACION DE JUGO</v>
      </c>
      <c r="I1037" s="191" t="str">
        <f>VLOOKUP(MP_registro[[#This Row],[TAG]],'DB-EQUIPOS GEN'!$C$11:$H$833,5,0)</f>
        <v xml:space="preserve">CLARIFICADOR SRT </v>
      </c>
      <c r="J1037" s="191" t="str">
        <f>VLOOKUP(MP_registro[[#This Row],[TAG]],'DB-EQUIPOS GEN'!$C$11:$H$833,6,0)</f>
        <v xml:space="preserve"> 0305CL130</v>
      </c>
      <c r="K1037" s="192">
        <v>44829</v>
      </c>
      <c r="L1037" s="193" t="s">
        <v>247</v>
      </c>
      <c r="M103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37" s="201" t="s">
        <v>1664</v>
      </c>
      <c r="O1037" s="64" t="s">
        <v>1696</v>
      </c>
    </row>
    <row r="1038" spans="1:15" ht="33" customHeight="1">
      <c r="A1038" s="218">
        <v>1034</v>
      </c>
      <c r="B1038" s="219" t="s">
        <v>2842</v>
      </c>
      <c r="C1038" s="64" t="s">
        <v>2975</v>
      </c>
      <c r="D1038" s="191" t="s">
        <v>2973</v>
      </c>
      <c r="E1038" s="204" t="s">
        <v>585</v>
      </c>
      <c r="F1038" s="191" t="str">
        <f>VLOOKUP(MP_registro[[#This Row],[TAG]],'DB-EQUIPOS GEN'!$C$11:$H$833,2,0)</f>
        <v>Temperatura agua del desairador</v>
      </c>
      <c r="G1038" s="191" t="str">
        <f>VLOOKUP(MP_registro[[#This Row],[TAG]],'DB-EQUIPOS GEN'!$C$11:$H$833,3,0)</f>
        <v>E. TERMICA</v>
      </c>
      <c r="H1038" s="191" t="str">
        <f>VLOOKUP(MP_registro[[#This Row],[TAG]],'DB-EQUIPOS GEN'!$C$11:$H$833,4,0)</f>
        <v>AGUA ALIMENTACION</v>
      </c>
      <c r="I1038" s="191" t="str">
        <f>VLOOKUP(MP_registro[[#This Row],[TAG]],'DB-EQUIPOS GEN'!$C$11:$H$833,5,0)</f>
        <v>DESAIREADOR TERMICO</v>
      </c>
      <c r="J1038" s="191" t="str">
        <f>VLOOKUP(MP_registro[[#This Row],[TAG]],'DB-EQUIPOS GEN'!$C$11:$H$833,6,0)</f>
        <v>0405DA020</v>
      </c>
      <c r="K1038" s="192">
        <v>44829</v>
      </c>
      <c r="L1038" s="193" t="s">
        <v>247</v>
      </c>
      <c r="M103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38" s="201" t="s">
        <v>1664</v>
      </c>
      <c r="O1038" s="64" t="s">
        <v>1696</v>
      </c>
    </row>
    <row r="1039" spans="1:15" ht="33" customHeight="1">
      <c r="A1039" s="218">
        <v>1035</v>
      </c>
      <c r="B1039" s="219" t="s">
        <v>2842</v>
      </c>
      <c r="C1039" s="64" t="s">
        <v>2975</v>
      </c>
      <c r="D1039" s="191" t="s">
        <v>2974</v>
      </c>
      <c r="E1039" s="204" t="s">
        <v>1642</v>
      </c>
      <c r="F1039" s="191" t="str">
        <f>VLOOKUP(MP_registro[[#This Row],[TAG]],'DB-EQUIPOS GEN'!$C$11:$H$833,2,0)</f>
        <v>Salida de bagazo de molino secador</v>
      </c>
      <c r="G1039" s="191" t="str">
        <f>VLOOKUP(MP_registro[[#This Row],[TAG]],'DB-EQUIPOS GEN'!$C$11:$H$833,3,0)</f>
        <v>EXTRACCION</v>
      </c>
      <c r="H1039" s="191" t="str">
        <f>VLOOKUP(MP_registro[[#This Row],[TAG]],'DB-EQUIPOS GEN'!$C$11:$H$833,4,0)</f>
        <v>MOLINOS</v>
      </c>
      <c r="I1039" s="191" t="str">
        <f>VLOOKUP(MP_registro[[#This Row],[TAG]],'DB-EQUIPOS GEN'!$C$11:$H$833,5,0)</f>
        <v>MOLINO SECADOR</v>
      </c>
      <c r="J1039" s="191" t="str">
        <f>VLOOKUP(MP_registro[[#This Row],[TAG]],'DB-EQUIPOS GEN'!$C$11:$H$833,6,0)</f>
        <v>0210MM090</v>
      </c>
      <c r="K1039" s="192">
        <v>44829</v>
      </c>
      <c r="L1039" s="193" t="s">
        <v>247</v>
      </c>
      <c r="M103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39" s="201" t="s">
        <v>1664</v>
      </c>
      <c r="O1039" s="64" t="s">
        <v>1696</v>
      </c>
    </row>
    <row r="1040" spans="1:15" ht="33" customHeight="1">
      <c r="A1040" s="218">
        <v>1036</v>
      </c>
      <c r="B1040" s="219" t="s">
        <v>2842</v>
      </c>
      <c r="C1040" s="64" t="s">
        <v>2976</v>
      </c>
      <c r="D1040" s="191" t="s">
        <v>2977</v>
      </c>
      <c r="E1040" s="204" t="s">
        <v>1177</v>
      </c>
      <c r="F1040" s="191" t="str">
        <f>VLOOKUP(MP_registro[[#This Row],[TAG]],'DB-EQUIPOS GEN'!$C$11:$H$833,2,0)</f>
        <v>Valvula control de nivel FFE - 4A</v>
      </c>
      <c r="G1040" s="191" t="str">
        <f>VLOOKUP(MP_registro[[#This Row],[TAG]],'DB-EQUIPOS GEN'!$C$11:$H$833,3,0)</f>
        <v>PRODUCCION</v>
      </c>
      <c r="H1040" s="191" t="str">
        <f>VLOOKUP(MP_registro[[#This Row],[TAG]],'DB-EQUIPOS GEN'!$C$11:$H$833,4,0)</f>
        <v>EVAPORACION DE JUGO</v>
      </c>
      <c r="I1040" s="191" t="str">
        <f>VLOOKUP(MP_registro[[#This Row],[TAG]],'DB-EQUIPOS GEN'!$C$11:$H$833,5,0)</f>
        <v>EVAPORADOR FFE 4A</v>
      </c>
      <c r="J1040" s="191" t="str">
        <f>VLOOKUP(MP_registro[[#This Row],[TAG]],'DB-EQUIPOS GEN'!$C$11:$H$833,6,0)</f>
        <v>0320EV050</v>
      </c>
      <c r="K1040" s="192">
        <v>44830</v>
      </c>
      <c r="L1040" s="193" t="s">
        <v>249</v>
      </c>
      <c r="M104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40" s="201" t="s">
        <v>1664</v>
      </c>
      <c r="O1040" s="64" t="s">
        <v>1696</v>
      </c>
    </row>
    <row r="1041" spans="1:15" ht="33" customHeight="1">
      <c r="A1041" s="218">
        <v>1037</v>
      </c>
      <c r="B1041" s="219" t="s">
        <v>2842</v>
      </c>
      <c r="C1041" s="64" t="s">
        <v>2976</v>
      </c>
      <c r="D1041" s="191" t="s">
        <v>2978</v>
      </c>
      <c r="E1041" s="204" t="s">
        <v>592</v>
      </c>
      <c r="F1041" s="191" t="str">
        <f>VLOOKUP(MP_registro[[#This Row],[TAG]],'DB-EQUIPOS GEN'!$C$11:$H$833,2,0)</f>
        <v>Presion del desaireador</v>
      </c>
      <c r="G1041" s="191" t="str">
        <f>VLOOKUP(MP_registro[[#This Row],[TAG]],'DB-EQUIPOS GEN'!$C$11:$H$833,3,0)</f>
        <v>E. TERMICA</v>
      </c>
      <c r="H1041" s="191" t="str">
        <f>VLOOKUP(MP_registro[[#This Row],[TAG]],'DB-EQUIPOS GEN'!$C$11:$H$833,4,0)</f>
        <v>AGUA ALIMENTACION</v>
      </c>
      <c r="I1041" s="191" t="str">
        <f>VLOOKUP(MP_registro[[#This Row],[TAG]],'DB-EQUIPOS GEN'!$C$11:$H$833,5,0)</f>
        <v>DESAIREADOR TERMICO</v>
      </c>
      <c r="J1041" s="191" t="str">
        <f>VLOOKUP(MP_registro[[#This Row],[TAG]],'DB-EQUIPOS GEN'!$C$11:$H$833,6,0)</f>
        <v>0405DA020</v>
      </c>
      <c r="K1041" s="192">
        <v>44830</v>
      </c>
      <c r="L1041" s="193" t="s">
        <v>249</v>
      </c>
      <c r="M104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41" s="201" t="s">
        <v>1664</v>
      </c>
      <c r="O1041" s="64" t="s">
        <v>1696</v>
      </c>
    </row>
    <row r="1042" spans="1:15" ht="33" customHeight="1">
      <c r="A1042" s="218">
        <v>1038</v>
      </c>
      <c r="B1042" s="219" t="s">
        <v>2842</v>
      </c>
      <c r="C1042" s="64" t="s">
        <v>2976</v>
      </c>
      <c r="D1042" s="191" t="s">
        <v>2979</v>
      </c>
      <c r="E1042" s="204" t="s">
        <v>1656</v>
      </c>
      <c r="F1042" s="191" t="str">
        <f>VLOOKUP(MP_registro[[#This Row],[TAG]],'DB-EQUIPOS GEN'!$C$11:$H$833,2,0)</f>
        <v>Descarga de centrifugas continuas</v>
      </c>
      <c r="G1042" s="191" t="str">
        <f>VLOOKUP(MP_registro[[#This Row],[TAG]],'DB-EQUIPOS GEN'!$C$11:$H$833,3,0)</f>
        <v>PRODUCCION</v>
      </c>
      <c r="H1042" s="191" t="str">
        <f>VLOOKUP(MP_registro[[#This Row],[TAG]],'DB-EQUIPOS GEN'!$C$11:$H$833,4,0)</f>
        <v>CENTRIFUGACIÓN DE AZÚCAR</v>
      </c>
      <c r="I1042" s="191" t="str">
        <f>VLOOKUP(MP_registro[[#This Row],[TAG]],'DB-EQUIPOS GEN'!$C$11:$H$833,5,0)</f>
        <v>CENTRIFUGA CONTINUA 1 - C (FRANCIA)</v>
      </c>
      <c r="J1042" s="191" t="str">
        <f>VLOOKUP(MP_registro[[#This Row],[TAG]],'DB-EQUIPOS GEN'!$C$11:$H$833,6,0)</f>
        <v>0345SQ160</v>
      </c>
      <c r="K1042" s="192">
        <v>44830</v>
      </c>
      <c r="L1042" s="193" t="s">
        <v>247</v>
      </c>
      <c r="M104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42" s="201" t="s">
        <v>1664</v>
      </c>
      <c r="O1042" s="64" t="s">
        <v>1696</v>
      </c>
    </row>
    <row r="1043" spans="1:15" ht="33" customHeight="1">
      <c r="A1043" s="218">
        <v>1039</v>
      </c>
      <c r="B1043" s="219" t="s">
        <v>2842</v>
      </c>
      <c r="C1043" s="64" t="s">
        <v>2976</v>
      </c>
      <c r="D1043" s="191" t="s">
        <v>2980</v>
      </c>
      <c r="E1043" s="204" t="s">
        <v>798</v>
      </c>
      <c r="F1043" s="191" t="str">
        <f>VLOOKUP(MP_registro[[#This Row],[TAG]],'DB-EQUIPOS GEN'!$C$11:$H$833,2,0)</f>
        <v>Peso de azucar balanza A - Silo 1</v>
      </c>
      <c r="G1043" s="191" t="str">
        <f>VLOOKUP(MP_registro[[#This Row],[TAG]],'DB-EQUIPOS GEN'!$C$11:$H$833,3,0)</f>
        <v>PRODUCCION</v>
      </c>
      <c r="H1043" s="191" t="str">
        <f>VLOOKUP(MP_registro[[#This Row],[TAG]],'DB-EQUIPOS GEN'!$C$11:$H$833,4,0)</f>
        <v>ENVASADO DE AZUCAR RUBIA</v>
      </c>
      <c r="I1043" s="191" t="str">
        <f>VLOOKUP(MP_registro[[#This Row],[TAG]],'DB-EQUIPOS GEN'!$C$11:$H$833,5,0)</f>
        <v xml:space="preserve">SILO 1 </v>
      </c>
      <c r="J1043" s="191" t="str">
        <f>VLOOKUP(MP_registro[[#This Row],[TAG]],'DB-EQUIPOS GEN'!$C$11:$H$833,6,0)</f>
        <v>0355BI090</v>
      </c>
      <c r="K1043" s="192">
        <v>44831</v>
      </c>
      <c r="L1043" s="193" t="s">
        <v>247</v>
      </c>
      <c r="M1043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43" s="201" t="s">
        <v>1664</v>
      </c>
      <c r="O1043" s="64" t="s">
        <v>1696</v>
      </c>
    </row>
    <row r="1044" spans="1:15" ht="33" customHeight="1">
      <c r="A1044" s="218">
        <v>1040</v>
      </c>
      <c r="B1044" s="219" t="s">
        <v>2842</v>
      </c>
      <c r="C1044" s="64" t="s">
        <v>2976</v>
      </c>
      <c r="D1044" s="191" t="s">
        <v>2981</v>
      </c>
      <c r="E1044" s="204" t="s">
        <v>799</v>
      </c>
      <c r="F1044" s="191" t="str">
        <f>VLOOKUP(MP_registro[[#This Row],[TAG]],'DB-EQUIPOS GEN'!$C$11:$H$833,2,0)</f>
        <v>Peso de azucar balanza B - Silo 1</v>
      </c>
      <c r="G1044" s="191" t="str">
        <f>VLOOKUP(MP_registro[[#This Row],[TAG]],'DB-EQUIPOS GEN'!$C$11:$H$833,3,0)</f>
        <v>PRODUCCION</v>
      </c>
      <c r="H1044" s="191" t="str">
        <f>VLOOKUP(MP_registro[[#This Row],[TAG]],'DB-EQUIPOS GEN'!$C$11:$H$833,4,0)</f>
        <v>ENVASADO DE AZUCAR RUBIA</v>
      </c>
      <c r="I1044" s="191" t="str">
        <f>VLOOKUP(MP_registro[[#This Row],[TAG]],'DB-EQUIPOS GEN'!$C$11:$H$833,5,0)</f>
        <v xml:space="preserve">SILO 1 </v>
      </c>
      <c r="J1044" s="191" t="str">
        <f>VLOOKUP(MP_registro[[#This Row],[TAG]],'DB-EQUIPOS GEN'!$C$11:$H$833,6,0)</f>
        <v>0355BI090</v>
      </c>
      <c r="K1044" s="192">
        <v>44831</v>
      </c>
      <c r="L1044" s="193" t="s">
        <v>247</v>
      </c>
      <c r="M104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44" s="201" t="s">
        <v>1664</v>
      </c>
      <c r="O1044" s="64" t="s">
        <v>1696</v>
      </c>
    </row>
    <row r="1045" spans="1:15" ht="33" customHeight="1">
      <c r="A1045" s="218">
        <v>1041</v>
      </c>
      <c r="B1045" s="219" t="s">
        <v>2842</v>
      </c>
      <c r="C1045" s="64" t="s">
        <v>2976</v>
      </c>
      <c r="D1045" s="191" t="s">
        <v>2982</v>
      </c>
      <c r="E1045" s="204" t="s">
        <v>2407</v>
      </c>
      <c r="F1045" s="191" t="str">
        <f>VLOOKUP(MP_registro[[#This Row],[TAG]],'DB-EQUIPOS GEN'!$C$11:$H$833,2,0)</f>
        <v>Vista Molino Secador - Conductor Intermedio</v>
      </c>
      <c r="G1045" s="191" t="str">
        <f>VLOOKUP(MP_registro[[#This Row],[TAG]],'DB-EQUIPOS GEN'!$C$11:$H$833,3,0)</f>
        <v>EXTRACCION</v>
      </c>
      <c r="H1045" s="191" t="str">
        <f>VLOOKUP(MP_registro[[#This Row],[TAG]],'DB-EQUIPOS GEN'!$C$11:$H$833,4,0)</f>
        <v>MOLINOS</v>
      </c>
      <c r="I1045" s="191" t="str">
        <f>VLOOKUP(MP_registro[[#This Row],[TAG]],'DB-EQUIPOS GEN'!$C$11:$H$833,5,0)</f>
        <v>CONDUCTOR INTERMEDIO - MOLINO SECADOR</v>
      </c>
      <c r="J1045" s="191" t="str">
        <f>VLOOKUP(MP_registro[[#This Row],[TAG]],'DB-EQUIPOS GEN'!$C$11:$H$833,6,0)</f>
        <v>0210CV070</v>
      </c>
      <c r="K1045" s="192">
        <v>44831</v>
      </c>
      <c r="L1045" s="193" t="s">
        <v>247</v>
      </c>
      <c r="M1045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45" s="201" t="s">
        <v>1664</v>
      </c>
      <c r="O1045" s="64" t="s">
        <v>1696</v>
      </c>
    </row>
    <row r="1046" spans="1:15" ht="33" customHeight="1">
      <c r="A1046" s="218">
        <v>1042</v>
      </c>
      <c r="B1046" s="219" t="s">
        <v>2842</v>
      </c>
      <c r="C1046" s="64" t="s">
        <v>2976</v>
      </c>
      <c r="D1046" s="191" t="s">
        <v>2983</v>
      </c>
      <c r="E1046" s="204" t="s">
        <v>1640</v>
      </c>
      <c r="F1046" s="191" t="str">
        <f>VLOOKUP(MP_registro[[#This Row],[TAG]],'DB-EQUIPOS GEN'!$C$11:$H$833,2,0)</f>
        <v>Conductor de alimentación a difusor y retorno</v>
      </c>
      <c r="G1046" s="191" t="str">
        <f>VLOOKUP(MP_registro[[#This Row],[TAG]],'DB-EQUIPOS GEN'!$C$11:$H$833,3,0)</f>
        <v>EXTRACCION</v>
      </c>
      <c r="H1046" s="191" t="str">
        <f>VLOOKUP(MP_registro[[#This Row],[TAG]],'DB-EQUIPOS GEN'!$C$11:$H$833,4,0)</f>
        <v>PREPARACIÓN DE CAÑA</v>
      </c>
      <c r="I1046" s="191" t="str">
        <f>VLOOKUP(MP_registro[[#This Row],[TAG]],'DB-EQUIPOS GEN'!$C$11:$H$833,5,0)</f>
        <v>CONDUCTOR DE RETORNO</v>
      </c>
      <c r="J1046" s="191" t="str">
        <f>VLOOKUP(MP_registro[[#This Row],[TAG]],'DB-EQUIPOS GEN'!$C$11:$H$833,6,0)</f>
        <v>0115CV090</v>
      </c>
      <c r="K1046" s="192">
        <v>44831</v>
      </c>
      <c r="L1046" s="193" t="s">
        <v>247</v>
      </c>
      <c r="M104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46" s="201" t="s">
        <v>1664</v>
      </c>
      <c r="O1046" s="64" t="s">
        <v>1696</v>
      </c>
    </row>
    <row r="1047" spans="1:15" ht="33" customHeight="1">
      <c r="A1047" s="218">
        <v>1043</v>
      </c>
      <c r="B1047" s="219" t="s">
        <v>2842</v>
      </c>
      <c r="C1047" s="64" t="s">
        <v>2976</v>
      </c>
      <c r="D1047" s="191" t="s">
        <v>2984</v>
      </c>
      <c r="E1047" s="204" t="s">
        <v>1641</v>
      </c>
      <c r="F1047" s="191" t="str">
        <f>VLOOKUP(MP_registro[[#This Row],[TAG]],'DB-EQUIPOS GEN'!$C$11:$H$833,2,0)</f>
        <v>Mesa de caña</v>
      </c>
      <c r="G1047" s="191" t="str">
        <f>VLOOKUP(MP_registro[[#This Row],[TAG]],'DB-EQUIPOS GEN'!$C$11:$H$833,3,0)</f>
        <v>EXTRACCION</v>
      </c>
      <c r="H1047" s="191" t="str">
        <f>VLOOKUP(MP_registro[[#This Row],[TAG]],'DB-EQUIPOS GEN'!$C$11:$H$833,4,0)</f>
        <v>RECEPCIÓN DE CAÑA</v>
      </c>
      <c r="I1047" s="191" t="str">
        <f>VLOOKUP(MP_registro[[#This Row],[TAG]],'DB-EQUIPOS GEN'!$C$11:$H$833,5,0)</f>
        <v>MESA DE CAÑA</v>
      </c>
      <c r="J1047" s="191" t="str">
        <f>VLOOKUP(MP_registro[[#This Row],[TAG]],'DB-EQUIPOS GEN'!$C$11:$H$833,6,0)</f>
        <v>0110FE019</v>
      </c>
      <c r="K1047" s="192">
        <v>44831</v>
      </c>
      <c r="L1047" s="193" t="s">
        <v>247</v>
      </c>
      <c r="M104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47" s="201" t="s">
        <v>1664</v>
      </c>
      <c r="O1047" s="64" t="s">
        <v>1696</v>
      </c>
    </row>
    <row r="1048" spans="1:15" ht="33" customHeight="1">
      <c r="A1048" s="218">
        <v>1044</v>
      </c>
      <c r="B1048" s="219" t="s">
        <v>2842</v>
      </c>
      <c r="C1048" s="64" t="s">
        <v>2976</v>
      </c>
      <c r="D1048" s="191" t="s">
        <v>2985</v>
      </c>
      <c r="E1048" s="204" t="s">
        <v>1659</v>
      </c>
      <c r="F1048" s="191" t="str">
        <f>VLOOKUP(MP_registro[[#This Row],[TAG]],'DB-EQUIPOS GEN'!$C$11:$H$833,2,0)</f>
        <v>Vista global de tanques de jarabe 1,2 y 3</v>
      </c>
      <c r="G1048" s="191" t="str">
        <f>VLOOKUP(MP_registro[[#This Row],[TAG]],'DB-EQUIPOS GEN'!$C$11:$H$833,3,0)</f>
        <v>PRODUCCION</v>
      </c>
      <c r="H1048" s="191" t="str">
        <f>VLOOKUP(MP_registro[[#This Row],[TAG]],'DB-EQUIPOS GEN'!$C$11:$H$833,4,0)</f>
        <v>CRISTALIZACIÓN POR COCCIÓN</v>
      </c>
      <c r="I1048" s="191" t="str">
        <f>VLOOKUP(MP_registro[[#This Row],[TAG]],'DB-EQUIPOS GEN'!$C$11:$H$833,5,0)</f>
        <v>TANQUE DE JARABE 1</v>
      </c>
      <c r="J1048" s="191" t="str">
        <f>VLOOKUP(MP_registro[[#This Row],[TAG]],'DB-EQUIPOS GEN'!$C$11:$H$833,6,0)</f>
        <v>0335TK010</v>
      </c>
      <c r="K1048" s="192">
        <v>44831</v>
      </c>
      <c r="L1048" s="193" t="s">
        <v>247</v>
      </c>
      <c r="M104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48" s="201" t="s">
        <v>1664</v>
      </c>
      <c r="O1048" s="64" t="s">
        <v>1696</v>
      </c>
    </row>
    <row r="1049" spans="1:15" ht="33" customHeight="1">
      <c r="A1049" s="218">
        <v>1045</v>
      </c>
      <c r="B1049" s="219" t="s">
        <v>2842</v>
      </c>
      <c r="C1049" s="64" t="s">
        <v>2976</v>
      </c>
      <c r="D1049" s="191" t="s">
        <v>2986</v>
      </c>
      <c r="E1049" s="204" t="s">
        <v>1660</v>
      </c>
      <c r="F1049" s="191" t="str">
        <f>VLOOKUP(MP_registro[[#This Row],[TAG]],'DB-EQUIPOS GEN'!$C$11:$H$833,2,0)</f>
        <v>Vista global de tacho continuo A.</v>
      </c>
      <c r="G1049" s="191" t="str">
        <f>VLOOKUP(MP_registro[[#This Row],[TAG]],'DB-EQUIPOS GEN'!$C$11:$H$833,3,0)</f>
        <v>PRODUCCION</v>
      </c>
      <c r="H1049" s="191" t="str">
        <f>VLOOKUP(MP_registro[[#This Row],[TAG]],'DB-EQUIPOS GEN'!$C$11:$H$833,4,0)</f>
        <v>CRISTALIZACIÓN POR COCCIÓN</v>
      </c>
      <c r="I1049" s="191" t="str">
        <f>VLOOKUP(MP_registro[[#This Row],[TAG]],'DB-EQUIPOS GEN'!$C$11:$H$833,5,0)</f>
        <v>TACHO CONTINUO - A</v>
      </c>
      <c r="J1049" s="191" t="str">
        <f>VLOOKUP(MP_registro[[#This Row],[TAG]],'DB-EQUIPOS GEN'!$C$11:$H$833,6,0)</f>
        <v>0335HX200</v>
      </c>
      <c r="K1049" s="192">
        <v>44831</v>
      </c>
      <c r="L1049" s="193" t="s">
        <v>247</v>
      </c>
      <c r="M104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49" s="201" t="s">
        <v>1664</v>
      </c>
      <c r="O1049" s="64" t="s">
        <v>1696</v>
      </c>
    </row>
    <row r="1050" spans="1:15" ht="33" customHeight="1">
      <c r="A1050" s="218">
        <v>1046</v>
      </c>
      <c r="B1050" s="219" t="s">
        <v>2842</v>
      </c>
      <c r="C1050" s="64" t="s">
        <v>2976</v>
      </c>
      <c r="D1050" s="191" t="s">
        <v>2987</v>
      </c>
      <c r="E1050" s="204" t="s">
        <v>1649</v>
      </c>
      <c r="F1050" s="191" t="str">
        <f>VLOOKUP(MP_registro[[#This Row],[TAG]],'DB-EQUIPOS GEN'!$C$11:$H$833,2,0)</f>
        <v>Chute alimentadores de bagazo</v>
      </c>
      <c r="G1050" s="191" t="str">
        <f>VLOOKUP(MP_registro[[#This Row],[TAG]],'DB-EQUIPOS GEN'!$C$11:$H$833,3,0)</f>
        <v>E. TERMICA</v>
      </c>
      <c r="H1050" s="191" t="str">
        <f>VLOOKUP(MP_registro[[#This Row],[TAG]],'DB-EQUIPOS GEN'!$C$11:$H$833,4,0)</f>
        <v>TRANSPORTE DE BAGAZO</v>
      </c>
      <c r="I1050" s="191" t="str">
        <f>VLOOKUP(MP_registro[[#This Row],[TAG]],'DB-EQUIPOS GEN'!$C$11:$H$833,5,0)</f>
        <v>ALIMENTADOR DE BAGAZO 1</v>
      </c>
      <c r="J1050" s="191" t="str">
        <f>VLOOKUP(MP_registro[[#This Row],[TAG]],'DB-EQUIPOS GEN'!$C$11:$H$833,6,0)</f>
        <v>0405RV240</v>
      </c>
      <c r="K1050" s="192">
        <v>44831</v>
      </c>
      <c r="L1050" s="193" t="s">
        <v>249</v>
      </c>
      <c r="M105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50" s="201" t="s">
        <v>1664</v>
      </c>
      <c r="O1050" s="64" t="s">
        <v>1696</v>
      </c>
    </row>
    <row r="1051" spans="1:15" ht="33" customHeight="1">
      <c r="A1051" s="218">
        <v>1047</v>
      </c>
      <c r="B1051" s="219" t="s">
        <v>2842</v>
      </c>
      <c r="C1051" s="64" t="s">
        <v>2976</v>
      </c>
      <c r="D1051" s="191" t="s">
        <v>2988</v>
      </c>
      <c r="E1051" s="204" t="s">
        <v>1328</v>
      </c>
      <c r="F1051" s="191" t="str">
        <f>VLOOKUP(MP_registro[[#This Row],[TAG]],'DB-EQUIPOS GEN'!$C$11:$H$833,2,0)</f>
        <v xml:space="preserve">Estacion de Ingenieria </v>
      </c>
      <c r="G1051" s="191" t="str">
        <f>VLOOKUP(MP_registro[[#This Row],[TAG]],'DB-EQUIPOS GEN'!$C$11:$H$833,3,0)</f>
        <v>E. ELECTRICA</v>
      </c>
      <c r="H1051" s="191" t="str">
        <f>VLOOKUP(MP_registro[[#This Row],[TAG]],'DB-EQUIPOS GEN'!$C$11:$H$833,4,0)</f>
        <v>SISTEMA DE CONTROL DISTRIBUIDO</v>
      </c>
      <c r="I1051" s="191" t="str">
        <f>VLOOKUP(MP_registro[[#This Row],[TAG]],'DB-EQUIPOS GEN'!$C$11:$H$833,5,0)</f>
        <v>SISTEMA DE CONTROL DISTRIBUIDO</v>
      </c>
      <c r="J1051" s="191" t="str">
        <f>VLOOKUP(MP_registro[[#This Row],[TAG]],'DB-EQUIPOS GEN'!$C$11:$H$833,6,0)</f>
        <v>DCS</v>
      </c>
      <c r="K1051" s="192">
        <v>44832</v>
      </c>
      <c r="L1051" s="193" t="s">
        <v>248</v>
      </c>
      <c r="M1051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051" s="201" t="s">
        <v>1664</v>
      </c>
      <c r="O1051" s="64" t="s">
        <v>1696</v>
      </c>
    </row>
    <row r="1052" spans="1:15" ht="33" customHeight="1">
      <c r="A1052" s="218">
        <v>1048</v>
      </c>
      <c r="B1052" s="219" t="s">
        <v>2842</v>
      </c>
      <c r="C1052" s="64" t="s">
        <v>2976</v>
      </c>
      <c r="D1052" s="191" t="s">
        <v>2989</v>
      </c>
      <c r="E1052" s="204" t="s">
        <v>1352</v>
      </c>
      <c r="F1052" s="191" t="str">
        <f>VLOOKUP(MP_registro[[#This Row],[TAG]],'DB-EQUIPOS GEN'!$C$11:$H$833,2,0)</f>
        <v>Switch de la red FTE -  green</v>
      </c>
      <c r="G1052" s="191" t="str">
        <f>VLOOKUP(MP_registro[[#This Row],[TAG]],'DB-EQUIPOS GEN'!$C$11:$H$833,3,0)</f>
        <v>E. ELECTRICA</v>
      </c>
      <c r="H1052" s="191" t="str">
        <f>VLOOKUP(MP_registro[[#This Row],[TAG]],'DB-EQUIPOS GEN'!$C$11:$H$833,4,0)</f>
        <v>SISTEMA DE CONTROL DISTRIBUIDO</v>
      </c>
      <c r="I1052" s="191" t="str">
        <f>VLOOKUP(MP_registro[[#This Row],[TAG]],'DB-EQUIPOS GEN'!$C$11:$H$833,5,0)</f>
        <v>SISTEMA DE CONTROL DISTRIBUIDO</v>
      </c>
      <c r="J1052" s="191" t="str">
        <f>VLOOKUP(MP_registro[[#This Row],[TAG]],'DB-EQUIPOS GEN'!$C$11:$H$833,6,0)</f>
        <v>DCS</v>
      </c>
      <c r="K1052" s="192">
        <v>44832</v>
      </c>
      <c r="L1052" s="193" t="s">
        <v>248</v>
      </c>
      <c r="M1052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052" s="201" t="s">
        <v>1664</v>
      </c>
      <c r="O1052" s="64" t="s">
        <v>1696</v>
      </c>
    </row>
    <row r="1053" spans="1:15" ht="33" customHeight="1">
      <c r="A1053" s="218">
        <v>1049</v>
      </c>
      <c r="B1053" s="219" t="s">
        <v>2842</v>
      </c>
      <c r="C1053" s="64" t="s">
        <v>2976</v>
      </c>
      <c r="D1053" s="191" t="s">
        <v>2990</v>
      </c>
      <c r="E1053" s="204" t="s">
        <v>1354</v>
      </c>
      <c r="F1053" s="191" t="str">
        <f>VLOOKUP(MP_registro[[#This Row],[TAG]],'DB-EQUIPOS GEN'!$C$11:$H$833,2,0)</f>
        <v>Switch de la red FTE -  yellow</v>
      </c>
      <c r="G1053" s="191" t="str">
        <f>VLOOKUP(MP_registro[[#This Row],[TAG]],'DB-EQUIPOS GEN'!$C$11:$H$833,3,0)</f>
        <v>E. ELECTRICA</v>
      </c>
      <c r="H1053" s="191" t="str">
        <f>VLOOKUP(MP_registro[[#This Row],[TAG]],'DB-EQUIPOS GEN'!$C$11:$H$833,4,0)</f>
        <v>SISTEMA DE CONTROL DISTRIBUIDO</v>
      </c>
      <c r="I1053" s="191" t="str">
        <f>VLOOKUP(MP_registro[[#This Row],[TAG]],'DB-EQUIPOS GEN'!$C$11:$H$833,5,0)</f>
        <v>SISTEMA DE CONTROL DISTRIBUIDO</v>
      </c>
      <c r="J1053" s="191" t="str">
        <f>VLOOKUP(MP_registro[[#This Row],[TAG]],'DB-EQUIPOS GEN'!$C$11:$H$833,6,0)</f>
        <v>DCS</v>
      </c>
      <c r="K1053" s="192">
        <v>44832</v>
      </c>
      <c r="L1053" s="193" t="s">
        <v>248</v>
      </c>
      <c r="M1053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053" s="201" t="s">
        <v>1664</v>
      </c>
      <c r="O1053" s="64" t="s">
        <v>1696</v>
      </c>
    </row>
    <row r="1054" spans="1:15" ht="33" customHeight="1">
      <c r="A1054" s="218">
        <v>1050</v>
      </c>
      <c r="B1054" s="219" t="s">
        <v>2842</v>
      </c>
      <c r="C1054" s="64" t="s">
        <v>2976</v>
      </c>
      <c r="D1054" s="191" t="s">
        <v>2991</v>
      </c>
      <c r="E1054" s="204" t="s">
        <v>1658</v>
      </c>
      <c r="F1054" s="191" t="str">
        <f>VLOOKUP(MP_registro[[#This Row],[TAG]],'DB-EQUIPOS GEN'!$C$11:$H$833,2,0)</f>
        <v>Pug mill A - Centrifugas batch</v>
      </c>
      <c r="G1054" s="191" t="str">
        <f>VLOOKUP(MP_registro[[#This Row],[TAG]],'DB-EQUIPOS GEN'!$C$11:$H$833,3,0)</f>
        <v>PRODUCCION</v>
      </c>
      <c r="H1054" s="191" t="str">
        <f>VLOOKUP(MP_registro[[#This Row],[TAG]],'DB-EQUIPOS GEN'!$C$11:$H$833,4,0)</f>
        <v>CENTRIFUGACIÓN DE AZÚCAR</v>
      </c>
      <c r="I1054" s="191" t="str">
        <f>VLOOKUP(MP_registro[[#This Row],[TAG]],'DB-EQUIPOS GEN'!$C$11:$H$833,5,0)</f>
        <v>PUG MILL - A</v>
      </c>
      <c r="J1054" s="191" t="str">
        <f>VLOOKUP(MP_registro[[#This Row],[TAG]],'DB-EQUIPOS GEN'!$C$11:$H$833,6,0)</f>
        <v>0345MM010</v>
      </c>
      <c r="K1054" s="192">
        <v>44832</v>
      </c>
      <c r="L1054" s="193" t="s">
        <v>247</v>
      </c>
      <c r="M105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54" s="201" t="s">
        <v>1664</v>
      </c>
      <c r="O1054" s="64" t="s">
        <v>1696</v>
      </c>
    </row>
    <row r="1055" spans="1:15" ht="33" customHeight="1">
      <c r="A1055" s="218">
        <v>1051</v>
      </c>
      <c r="B1055" s="219" t="s">
        <v>2842</v>
      </c>
      <c r="C1055" s="64" t="s">
        <v>2976</v>
      </c>
      <c r="D1055" s="191" t="s">
        <v>2992</v>
      </c>
      <c r="E1055" s="204" t="s">
        <v>1661</v>
      </c>
      <c r="F1055" s="191" t="str">
        <f>VLOOKUP(MP_registro[[#This Row],[TAG]],'DB-EQUIPOS GEN'!$C$11:$H$833,2,0)</f>
        <v xml:space="preserve">Faja de azucar seca a Silo </v>
      </c>
      <c r="G1055" s="191" t="str">
        <f>VLOOKUP(MP_registro[[#This Row],[TAG]],'DB-EQUIPOS GEN'!$C$11:$H$833,3,0)</f>
        <v>PRODUCCION</v>
      </c>
      <c r="H1055" s="191" t="str">
        <f>VLOOKUP(MP_registro[[#This Row],[TAG]],'DB-EQUIPOS GEN'!$C$11:$H$833,4,0)</f>
        <v>ENVASADO DE AZÚCAR RUBIA</v>
      </c>
      <c r="I1055" s="191" t="str">
        <f>VLOOKUP(MP_registro[[#This Row],[TAG]],'DB-EQUIPOS GEN'!$C$11:$H$833,5,0)</f>
        <v>SILO DE AZUCAR 1</v>
      </c>
      <c r="J1055" s="191" t="str">
        <f>VLOOKUP(MP_registro[[#This Row],[TAG]],'DB-EQUIPOS GEN'!$C$11:$H$833,6,0)</f>
        <v>0355BI090</v>
      </c>
      <c r="K1055" s="192">
        <v>44832</v>
      </c>
      <c r="L1055" s="193" t="s">
        <v>249</v>
      </c>
      <c r="M1055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55" s="201" t="s">
        <v>1664</v>
      </c>
      <c r="O1055" s="64" t="s">
        <v>1696</v>
      </c>
    </row>
    <row r="1056" spans="1:15" ht="33" customHeight="1">
      <c r="A1056" s="218">
        <v>1052</v>
      </c>
      <c r="B1056" s="219" t="s">
        <v>2842</v>
      </c>
      <c r="C1056" s="64" t="s">
        <v>2976</v>
      </c>
      <c r="D1056" s="191" t="s">
        <v>2993</v>
      </c>
      <c r="E1056" s="204" t="s">
        <v>1648</v>
      </c>
      <c r="F1056" s="191" t="str">
        <f>VLOOKUP(MP_registro[[#This Row],[TAG]],'DB-EQUIPOS GEN'!$C$11:$H$833,2,0)</f>
        <v>Nivel de agua en domo</v>
      </c>
      <c r="G1056" s="191" t="str">
        <f>VLOOKUP(MP_registro[[#This Row],[TAG]],'DB-EQUIPOS GEN'!$C$11:$H$833,3,0)</f>
        <v>E. TERMICA</v>
      </c>
      <c r="H1056" s="191" t="str">
        <f>VLOOKUP(MP_registro[[#This Row],[TAG]],'DB-EQUIPOS GEN'!$C$11:$H$833,4,0)</f>
        <v>GENERACIÓN DE VAPOR</v>
      </c>
      <c r="I1056" s="191" t="str">
        <f>VLOOKUP(MP_registro[[#This Row],[TAG]],'DB-EQUIPOS GEN'!$C$11:$H$833,5,0)</f>
        <v>DOMO SUPERIOR</v>
      </c>
      <c r="J1056" s="191" t="str">
        <f>VLOOKUP(MP_registro[[#This Row],[TAG]],'DB-EQUIPOS GEN'!$C$11:$H$833,6,0)</f>
        <v>0405DO020</v>
      </c>
      <c r="K1056" s="192">
        <v>44832</v>
      </c>
      <c r="L1056" s="193" t="s">
        <v>249</v>
      </c>
      <c r="M105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56" s="201" t="s">
        <v>1664</v>
      </c>
      <c r="O1056" s="64" t="s">
        <v>1696</v>
      </c>
    </row>
    <row r="1057" spans="1:15" ht="33" customHeight="1">
      <c r="A1057" s="218">
        <v>1053</v>
      </c>
      <c r="B1057" s="219" t="s">
        <v>2842</v>
      </c>
      <c r="C1057" s="64" t="s">
        <v>2976</v>
      </c>
      <c r="D1057" s="191" t="s">
        <v>2994</v>
      </c>
      <c r="E1057" s="204" t="s">
        <v>1652</v>
      </c>
      <c r="F1057" s="191" t="str">
        <f>VLOOKUP(MP_registro[[#This Row],[TAG]],'DB-EQUIPOS GEN'!$C$11:$H$833,2,0)</f>
        <v>Faja 1006A - Patio de Bagazo</v>
      </c>
      <c r="G1057" s="191" t="str">
        <f>VLOOKUP(MP_registro[[#This Row],[TAG]],'DB-EQUIPOS GEN'!$C$11:$H$833,3,0)</f>
        <v>E. TERMICA</v>
      </c>
      <c r="H1057" s="191" t="str">
        <f>VLOOKUP(MP_registro[[#This Row],[TAG]],'DB-EQUIPOS GEN'!$C$11:$H$833,4,0)</f>
        <v>TRANSPORTE DE BAGAZO</v>
      </c>
      <c r="I1057" s="191" t="str">
        <f>VLOOKUP(MP_registro[[#This Row],[TAG]],'DB-EQUIPOS GEN'!$C$11:$H$833,5,0)</f>
        <v>FAJA TRANSPORTADORA 1006 A</v>
      </c>
      <c r="J1057" s="191" t="str">
        <f>VLOOKUP(MP_registro[[#This Row],[TAG]],'DB-EQUIPOS GEN'!$C$11:$H$833,6,0)</f>
        <v>0805CV080</v>
      </c>
      <c r="K1057" s="192">
        <v>44832</v>
      </c>
      <c r="L1057" s="193" t="s">
        <v>249</v>
      </c>
      <c r="M1057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57" s="201" t="s">
        <v>1664</v>
      </c>
      <c r="O1057" s="64" t="s">
        <v>1696</v>
      </c>
    </row>
    <row r="1058" spans="1:15" ht="33" customHeight="1">
      <c r="A1058" s="218">
        <v>1054</v>
      </c>
      <c r="B1058" s="219" t="s">
        <v>2842</v>
      </c>
      <c r="C1058" s="64" t="s">
        <v>2976</v>
      </c>
      <c r="D1058" s="191" t="s">
        <v>2995</v>
      </c>
      <c r="E1058" s="204" t="s">
        <v>802</v>
      </c>
      <c r="F1058" s="191" t="str">
        <f>VLOOKUP(MP_registro[[#This Row],[TAG]],'DB-EQUIPOS GEN'!$C$11:$H$833,2,0)</f>
        <v>Peso de azucar balanza A - Silo 2</v>
      </c>
      <c r="G1058" s="191" t="str">
        <f>VLOOKUP(MP_registro[[#This Row],[TAG]],'DB-EQUIPOS GEN'!$C$11:$H$833,3,0)</f>
        <v>PRODUCCION</v>
      </c>
      <c r="H1058" s="191" t="str">
        <f>VLOOKUP(MP_registro[[#This Row],[TAG]],'DB-EQUIPOS GEN'!$C$11:$H$833,4,0)</f>
        <v>ENVASADO DE AZUCAR RUBIA</v>
      </c>
      <c r="I1058" s="191" t="str">
        <f>VLOOKUP(MP_registro[[#This Row],[TAG]],'DB-EQUIPOS GEN'!$C$11:$H$833,5,0)</f>
        <v>SILO 2</v>
      </c>
      <c r="J1058" s="191" t="str">
        <f>VLOOKUP(MP_registro[[#This Row],[TAG]],'DB-EQUIPOS GEN'!$C$11:$H$833,6,0)</f>
        <v>0355BI100</v>
      </c>
      <c r="K1058" s="192">
        <v>44833</v>
      </c>
      <c r="L1058" s="193" t="s">
        <v>247</v>
      </c>
      <c r="M105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58" s="201" t="s">
        <v>1664</v>
      </c>
      <c r="O1058" s="64" t="s">
        <v>1696</v>
      </c>
    </row>
    <row r="1059" spans="1:15" ht="33" customHeight="1">
      <c r="A1059" s="218">
        <v>1055</v>
      </c>
      <c r="B1059" s="219" t="s">
        <v>2842</v>
      </c>
      <c r="C1059" s="64" t="s">
        <v>2976</v>
      </c>
      <c r="D1059" s="191" t="s">
        <v>2996</v>
      </c>
      <c r="E1059" s="204" t="s">
        <v>1653</v>
      </c>
      <c r="F1059" s="191" t="str">
        <f>VLOOKUP(MP_registro[[#This Row],[TAG]],'DB-EQUIPOS GEN'!$C$11:$H$833,2,0)</f>
        <v>Operación del desviador de bagazo</v>
      </c>
      <c r="G1059" s="191" t="str">
        <f>VLOOKUP(MP_registro[[#This Row],[TAG]],'DB-EQUIPOS GEN'!$C$11:$H$833,3,0)</f>
        <v>E. TERMICA</v>
      </c>
      <c r="H1059" s="191" t="str">
        <f>VLOOKUP(MP_registro[[#This Row],[TAG]],'DB-EQUIPOS GEN'!$C$11:$H$833,4,0)</f>
        <v>TRANSPORTE DE BAGAZO</v>
      </c>
      <c r="I1059" s="191" t="str">
        <f>VLOOKUP(MP_registro[[#This Row],[TAG]],'DB-EQUIPOS GEN'!$C$11:$H$833,5,0)</f>
        <v>FAJA TRANSPORTADORA 1004</v>
      </c>
      <c r="J1059" s="191" t="str">
        <f>VLOOKUP(MP_registro[[#This Row],[TAG]],'DB-EQUIPOS GEN'!$C$11:$H$833,6,0)</f>
        <v>0805CV070</v>
      </c>
      <c r="K1059" s="192">
        <v>44833</v>
      </c>
      <c r="L1059" s="193" t="s">
        <v>249</v>
      </c>
      <c r="M105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59" s="201" t="s">
        <v>1664</v>
      </c>
      <c r="O1059" s="64" t="s">
        <v>1696</v>
      </c>
    </row>
    <row r="1060" spans="1:15" ht="33" customHeight="1">
      <c r="A1060" s="218">
        <v>1056</v>
      </c>
      <c r="B1060" s="219" t="s">
        <v>2842</v>
      </c>
      <c r="C1060" s="64" t="s">
        <v>2976</v>
      </c>
      <c r="D1060" s="191" t="s">
        <v>2997</v>
      </c>
      <c r="E1060" s="204" t="s">
        <v>1655</v>
      </c>
      <c r="F1060" s="191" t="str">
        <f>VLOOKUP(MP_registro[[#This Row],[TAG]],'DB-EQUIPOS GEN'!$C$11:$H$833,2,0)</f>
        <v>Vista global de planta de osmosis</v>
      </c>
      <c r="G1060" s="191" t="str">
        <f>VLOOKUP(MP_registro[[#This Row],[TAG]],'DB-EQUIPOS GEN'!$C$11:$H$833,3,0)</f>
        <v>E. TERMICA</v>
      </c>
      <c r="H1060" s="191" t="str">
        <f>VLOOKUP(MP_registro[[#This Row],[TAG]],'DB-EQUIPOS GEN'!$C$11:$H$833,4,0)</f>
        <v>PLANTA TRATAMIENTO OSMOSIS INVERSA</v>
      </c>
      <c r="I1060" s="191" t="str">
        <f>VLOOKUP(MP_registro[[#This Row],[TAG]],'DB-EQUIPOS GEN'!$C$11:$H$833,5,0)</f>
        <v>PLANTA DE OSMOSIS INVERSA</v>
      </c>
      <c r="J1060" s="191" t="str">
        <f>VLOOKUP(MP_registro[[#This Row],[TAG]],'DB-EQUIPOS GEN'!$C$11:$H$833,6,0)</f>
        <v>0425OI101</v>
      </c>
      <c r="K1060" s="192">
        <v>44833</v>
      </c>
      <c r="L1060" s="193" t="s">
        <v>249</v>
      </c>
      <c r="M106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60" s="201" t="s">
        <v>1664</v>
      </c>
      <c r="O1060" s="64" t="s">
        <v>1696</v>
      </c>
    </row>
    <row r="1061" spans="1:15" ht="33" customHeight="1">
      <c r="A1061" s="218">
        <v>1057</v>
      </c>
      <c r="B1061" s="219" t="s">
        <v>2842</v>
      </c>
      <c r="C1061" s="64" t="s">
        <v>2976</v>
      </c>
      <c r="D1061" s="191" t="s">
        <v>2998</v>
      </c>
      <c r="E1061" s="204" t="s">
        <v>2416</v>
      </c>
      <c r="F1061" s="191" t="str">
        <f>VLOOKUP(MP_registro[[#This Row],[TAG]],'DB-EQUIPOS GEN'!$C$11:$H$833,2,0)</f>
        <v>Vista Conductor Auxiliar - Superior</v>
      </c>
      <c r="G1061" s="191" t="str">
        <f>VLOOKUP(MP_registro[[#This Row],[TAG]],'DB-EQUIPOS GEN'!$C$11:$H$833,3,0)</f>
        <v>EXTRACCION</v>
      </c>
      <c r="H1061" s="191" t="str">
        <f>VLOOKUP(MP_registro[[#This Row],[TAG]],'DB-EQUIPOS GEN'!$C$11:$H$833,4,0)</f>
        <v>PREPARACIÓN DE CAÑA</v>
      </c>
      <c r="I1061" s="191" t="str">
        <f>VLOOKUP(MP_registro[[#This Row],[TAG]],'DB-EQUIPOS GEN'!$C$11:$H$833,5,0)</f>
        <v>CONDUCTOR AUXILIAR DE CAÑA</v>
      </c>
      <c r="J1061" s="191" t="str">
        <f>VLOOKUP(MP_registro[[#This Row],[TAG]],'DB-EQUIPOS GEN'!$C$11:$H$833,6,0)</f>
        <v>0115CV010</v>
      </c>
      <c r="K1061" s="192">
        <v>44834</v>
      </c>
      <c r="L1061" s="193" t="s">
        <v>247</v>
      </c>
      <c r="M106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61" s="201" t="s">
        <v>1664</v>
      </c>
      <c r="O1061" s="64" t="s">
        <v>1696</v>
      </c>
    </row>
    <row r="1062" spans="1:15" ht="33" customHeight="1">
      <c r="A1062" s="218">
        <v>1058</v>
      </c>
      <c r="B1062" s="219" t="s">
        <v>2842</v>
      </c>
      <c r="C1062" s="64" t="s">
        <v>2976</v>
      </c>
      <c r="D1062" s="191" t="s">
        <v>2999</v>
      </c>
      <c r="E1062" s="204" t="s">
        <v>2406</v>
      </c>
      <c r="F1062" s="191" t="str">
        <f>VLOOKUP(MP_registro[[#This Row],[TAG]],'DB-EQUIPOS GEN'!$C$11:$H$833,2,0)</f>
        <v>Vista Mesa de Caña - Descarga de Tetras</v>
      </c>
      <c r="G1062" s="191" t="str">
        <f>VLOOKUP(MP_registro[[#This Row],[TAG]],'DB-EQUIPOS GEN'!$C$11:$H$833,3,0)</f>
        <v>EXTRACCION</v>
      </c>
      <c r="H1062" s="191" t="str">
        <f>VLOOKUP(MP_registro[[#This Row],[TAG]],'DB-EQUIPOS GEN'!$C$11:$H$833,4,0)</f>
        <v>RECEPCIÓN DE CAÑA</v>
      </c>
      <c r="I1062" s="191" t="str">
        <f>VLOOKUP(MP_registro[[#This Row],[TAG]],'DB-EQUIPOS GEN'!$C$11:$H$833,5,0)</f>
        <v>MESA DE CAÑA</v>
      </c>
      <c r="J1062" s="191" t="str">
        <f>VLOOKUP(MP_registro[[#This Row],[TAG]],'DB-EQUIPOS GEN'!$C$11:$H$833,6,0)</f>
        <v>0110FE019</v>
      </c>
      <c r="K1062" s="192">
        <v>44834</v>
      </c>
      <c r="L1062" s="193" t="s">
        <v>247</v>
      </c>
      <c r="M106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62" s="201" t="s">
        <v>1664</v>
      </c>
      <c r="O1062" s="64" t="s">
        <v>1696</v>
      </c>
    </row>
    <row r="1063" spans="1:15" ht="33" customHeight="1">
      <c r="A1063" s="218">
        <v>1059</v>
      </c>
      <c r="B1063" s="219" t="s">
        <v>2842</v>
      </c>
      <c r="C1063" s="64" t="s">
        <v>2976</v>
      </c>
      <c r="D1063" s="191" t="s">
        <v>3000</v>
      </c>
      <c r="E1063" s="204" t="s">
        <v>1643</v>
      </c>
      <c r="F1063" s="191" t="str">
        <f>VLOOKUP(MP_registro[[#This Row],[TAG]],'DB-EQUIPOS GEN'!$C$11:$H$833,2,0)</f>
        <v>Nivelador de cama de bagazo en difusor</v>
      </c>
      <c r="G1063" s="191" t="str">
        <f>VLOOKUP(MP_registro[[#This Row],[TAG]],'DB-EQUIPOS GEN'!$C$11:$H$833,3,0)</f>
        <v>EXTRACCION</v>
      </c>
      <c r="H1063" s="191" t="str">
        <f>VLOOKUP(MP_registro[[#This Row],[TAG]],'DB-EQUIPOS GEN'!$C$11:$H$833,4,0)</f>
        <v>DIFUSOR</v>
      </c>
      <c r="I1063" s="191" t="str">
        <f>VLOOKUP(MP_registro[[#This Row],[TAG]],'DB-EQUIPOS GEN'!$C$11:$H$833,5,0)</f>
        <v>CONDUCTOR TRANSVERSAL</v>
      </c>
      <c r="J1063" s="191" t="str">
        <f>VLOOKUP(MP_registro[[#This Row],[TAG]],'DB-EQUIPOS GEN'!$C$11:$H$833,6,0)</f>
        <v>0205CV190</v>
      </c>
      <c r="K1063" s="192">
        <v>44834</v>
      </c>
      <c r="L1063" s="193" t="s">
        <v>249</v>
      </c>
      <c r="M106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63" s="201" t="s">
        <v>1664</v>
      </c>
      <c r="O1063" s="64" t="s">
        <v>1696</v>
      </c>
    </row>
    <row r="1064" spans="1:15" ht="33" customHeight="1">
      <c r="A1064" s="218">
        <v>1060</v>
      </c>
      <c r="B1064" s="219" t="s">
        <v>2842</v>
      </c>
      <c r="C1064" s="64" t="s">
        <v>2976</v>
      </c>
      <c r="D1064" s="191" t="s">
        <v>3001</v>
      </c>
      <c r="E1064" s="204" t="s">
        <v>1645</v>
      </c>
      <c r="F1064" s="191" t="str">
        <f>VLOOKUP(MP_registro[[#This Row],[TAG]],'DB-EQUIPOS GEN'!$C$11:$H$833,2,0)</f>
        <v>Tamiz rotativo</v>
      </c>
      <c r="G1064" s="191" t="str">
        <f>VLOOKUP(MP_registro[[#This Row],[TAG]],'DB-EQUIPOS GEN'!$C$11:$H$833,3,0)</f>
        <v>EXTRACCION</v>
      </c>
      <c r="H1064" s="191" t="str">
        <f>VLOOKUP(MP_registro[[#This Row],[TAG]],'DB-EQUIPOS GEN'!$C$11:$H$833,4,0)</f>
        <v>DIFUSOR</v>
      </c>
      <c r="I1064" s="191" t="str">
        <f>VLOOKUP(MP_registro[[#This Row],[TAG]],'DB-EQUIPOS GEN'!$C$11:$H$833,5,0)</f>
        <v>TAMIZ ROTATIVO</v>
      </c>
      <c r="J1064" s="191" t="str">
        <f>VLOOKUP(MP_registro[[#This Row],[TAG]],'DB-EQUIPOS GEN'!$C$11:$H$833,6,0)</f>
        <v>0305FL010</v>
      </c>
      <c r="K1064" s="192">
        <v>44834</v>
      </c>
      <c r="L1064" s="193" t="s">
        <v>247</v>
      </c>
      <c r="M106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064" s="201" t="s">
        <v>1664</v>
      </c>
      <c r="O1064" s="64" t="s">
        <v>1696</v>
      </c>
    </row>
    <row r="1065" spans="1:15" ht="33" customHeight="1">
      <c r="A1065" s="218">
        <v>1061</v>
      </c>
      <c r="B1065" s="219" t="s">
        <v>2842</v>
      </c>
      <c r="C1065" s="64" t="s">
        <v>2976</v>
      </c>
      <c r="D1065" s="191" t="s">
        <v>3002</v>
      </c>
      <c r="E1065" s="204" t="s">
        <v>1646</v>
      </c>
      <c r="F1065" s="191" t="str">
        <f>VLOOKUP(MP_registro[[#This Row],[TAG]],'DB-EQUIPOS GEN'!$C$11:$H$833,2,0)</f>
        <v>Segundo nivel de Turbina TGM</v>
      </c>
      <c r="G1065" s="191" t="str">
        <f>VLOOKUP(MP_registro[[#This Row],[TAG]],'DB-EQUIPOS GEN'!$C$11:$H$833,3,0)</f>
        <v>E. ELECTRICA</v>
      </c>
      <c r="H1065" s="191" t="str">
        <f>VLOOKUP(MP_registro[[#This Row],[TAG]],'DB-EQUIPOS GEN'!$C$11:$H$833,4,0)</f>
        <v>SISTEMA DE ENFRIAMIENTO</v>
      </c>
      <c r="I1065" s="191" t="str">
        <f>VLOOKUP(MP_registro[[#This Row],[TAG]],'DB-EQUIPOS GEN'!$C$11:$H$833,5,0)</f>
        <v>TORRE DE ENFRIAMIENTO MARLEY - TG TGM</v>
      </c>
      <c r="J1065" s="191" t="str">
        <f>VLOOKUP(MP_registro[[#This Row],[TAG]],'DB-EQUIPOS GEN'!$C$11:$H$833,6,0)</f>
        <v>0430CT050</v>
      </c>
      <c r="K1065" s="192">
        <v>44834</v>
      </c>
      <c r="L1065" s="193" t="s">
        <v>249</v>
      </c>
      <c r="M1065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65" s="201" t="s">
        <v>1664</v>
      </c>
      <c r="O1065" s="64" t="s">
        <v>1696</v>
      </c>
    </row>
    <row r="1066" spans="1:15" ht="33" customHeight="1">
      <c r="A1066" s="218">
        <v>1062</v>
      </c>
      <c r="B1066" s="219" t="s">
        <v>2842</v>
      </c>
      <c r="C1066" s="64" t="s">
        <v>2976</v>
      </c>
      <c r="D1066" s="191" t="s">
        <v>3003</v>
      </c>
      <c r="E1066" s="204" t="s">
        <v>1650</v>
      </c>
      <c r="F1066" s="191" t="str">
        <f>VLOOKUP(MP_registro[[#This Row],[TAG]],'DB-EQUIPOS GEN'!$C$11:$H$833,2,0)</f>
        <v>Faja 1003 - Conductor distribuidor de bagazo</v>
      </c>
      <c r="G1066" s="191" t="str">
        <f>VLOOKUP(MP_registro[[#This Row],[TAG]],'DB-EQUIPOS GEN'!$C$11:$H$833,3,0)</f>
        <v>E. TERMICA</v>
      </c>
      <c r="H1066" s="191" t="str">
        <f>VLOOKUP(MP_registro[[#This Row],[TAG]],'DB-EQUIPOS GEN'!$C$11:$H$833,4,0)</f>
        <v>TRANSPORTE DE BAGAZO</v>
      </c>
      <c r="I1066" s="191" t="str">
        <f>VLOOKUP(MP_registro[[#This Row],[TAG]],'DB-EQUIPOS GEN'!$C$11:$H$833,5,0)</f>
        <v>TRANSPORTADOR DE BAGAZO 1003</v>
      </c>
      <c r="J1066" s="191" t="str">
        <f>VLOOKUP(MP_registro[[#This Row],[TAG]],'DB-EQUIPOS GEN'!$C$11:$H$833,6,0)</f>
        <v>0805CV060</v>
      </c>
      <c r="K1066" s="192">
        <v>44834</v>
      </c>
      <c r="L1066" s="193" t="s">
        <v>249</v>
      </c>
      <c r="M106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66" s="201" t="s">
        <v>1664</v>
      </c>
      <c r="O1066" s="64" t="s">
        <v>1696</v>
      </c>
    </row>
    <row r="1067" spans="1:15" ht="33" customHeight="1">
      <c r="A1067" s="218">
        <v>1063</v>
      </c>
      <c r="B1067" s="219" t="s">
        <v>2842</v>
      </c>
      <c r="C1067" s="64" t="s">
        <v>2976</v>
      </c>
      <c r="D1067" s="191" t="s">
        <v>3004</v>
      </c>
      <c r="E1067" s="204" t="s">
        <v>1651</v>
      </c>
      <c r="F1067" s="191" t="str">
        <f>VLOOKUP(MP_registro[[#This Row],[TAG]],'DB-EQUIPOS GEN'!$C$11:$H$833,2,0)</f>
        <v>Faja 1008 - Tolva de retorno de bagazo</v>
      </c>
      <c r="G1067" s="191" t="str">
        <f>VLOOKUP(MP_registro[[#This Row],[TAG]],'DB-EQUIPOS GEN'!$C$11:$H$833,3,0)</f>
        <v>E. TERMICA</v>
      </c>
      <c r="H1067" s="191" t="str">
        <f>VLOOKUP(MP_registro[[#This Row],[TAG]],'DB-EQUIPOS GEN'!$C$11:$H$833,4,0)</f>
        <v>TRANSPORTE DE BAGAZO</v>
      </c>
      <c r="I1067" s="191" t="str">
        <f>VLOOKUP(MP_registro[[#This Row],[TAG]],'DB-EQUIPOS GEN'!$C$11:$H$833,5,0)</f>
        <v>FAJA TRANSPORTADORA 1008</v>
      </c>
      <c r="J1067" s="191" t="str">
        <f>VLOOKUP(MP_registro[[#This Row],[TAG]],'DB-EQUIPOS GEN'!$C$11:$H$833,6,0)</f>
        <v>0805CV100</v>
      </c>
      <c r="K1067" s="192">
        <v>44834</v>
      </c>
      <c r="L1067" s="193" t="s">
        <v>249</v>
      </c>
      <c r="M1067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67" s="201" t="s">
        <v>1664</v>
      </c>
      <c r="O1067" s="64" t="s">
        <v>1696</v>
      </c>
    </row>
    <row r="1068" spans="1:15" ht="33" customHeight="1">
      <c r="A1068" s="218">
        <v>1064</v>
      </c>
      <c r="B1068" s="219" t="s">
        <v>2842</v>
      </c>
      <c r="C1068" s="64" t="s">
        <v>2976</v>
      </c>
      <c r="D1068" s="191" t="s">
        <v>3005</v>
      </c>
      <c r="E1068" s="204" t="s">
        <v>1654</v>
      </c>
      <c r="F1068" s="191" t="str">
        <f>VLOOKUP(MP_registro[[#This Row],[TAG]],'DB-EQUIPOS GEN'!$C$11:$H$833,2,0)</f>
        <v>Vista global de sala turbina TGM</v>
      </c>
      <c r="G1068" s="191" t="str">
        <f>VLOOKUP(MP_registro[[#This Row],[TAG]],'DB-EQUIPOS GEN'!$C$11:$H$833,3,0)</f>
        <v>E. ELECTRICA</v>
      </c>
      <c r="H1068" s="191" t="str">
        <f>VLOOKUP(MP_registro[[#This Row],[TAG]],'DB-EQUIPOS GEN'!$C$11:$H$833,4,0)</f>
        <v>SISTEMA DE ENFRIAMIENTO</v>
      </c>
      <c r="I1068" s="191" t="str">
        <f>VLOOKUP(MP_registro[[#This Row],[TAG]],'DB-EQUIPOS GEN'!$C$11:$H$833,5,0)</f>
        <v>TORRE DE ENFRIAMIENTO MARLEY - TG TGM</v>
      </c>
      <c r="J1068" s="191" t="str">
        <f>VLOOKUP(MP_registro[[#This Row],[TAG]],'DB-EQUIPOS GEN'!$C$11:$H$833,6,0)</f>
        <v>0430CT050</v>
      </c>
      <c r="K1068" s="192">
        <v>44834</v>
      </c>
      <c r="L1068" s="193" t="s">
        <v>249</v>
      </c>
      <c r="M106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68" s="201" t="s">
        <v>1664</v>
      </c>
      <c r="O1068" s="64" t="s">
        <v>1696</v>
      </c>
    </row>
    <row r="1069" spans="1:15" ht="33" customHeight="1">
      <c r="A1069" s="218">
        <v>1065</v>
      </c>
      <c r="B1069" s="239" t="s">
        <v>3050</v>
      </c>
      <c r="C1069" s="64" t="s">
        <v>3051</v>
      </c>
      <c r="D1069" s="191" t="s">
        <v>3010</v>
      </c>
      <c r="E1069" s="204" t="s">
        <v>596</v>
      </c>
      <c r="F1069" s="191" t="str">
        <f>VLOOKUP(MP_registro[[#This Row],[TAG]],'DB-EQUIPOS GEN'!$C$11:$H$833,2,0)</f>
        <v>Presion aire entrada al pre calentador</v>
      </c>
      <c r="G1069" s="191" t="str">
        <f>VLOOKUP(MP_registro[[#This Row],[TAG]],'DB-EQUIPOS GEN'!$C$11:$H$833,3,0)</f>
        <v>E. TERMICA</v>
      </c>
      <c r="H1069" s="191" t="str">
        <f>VLOOKUP(MP_registro[[#This Row],[TAG]],'DB-EQUIPOS GEN'!$C$11:$H$833,4,0)</f>
        <v>GENERACION DE VAPOR</v>
      </c>
      <c r="I1069" s="191" t="str">
        <f>VLOOKUP(MP_registro[[#This Row],[TAG]],'DB-EQUIPOS GEN'!$C$11:$H$833,5,0)</f>
        <v>PRECALENTADOR DE AIRE</v>
      </c>
      <c r="J1069" s="191" t="str">
        <f>VLOOKUP(MP_registro[[#This Row],[TAG]],'DB-EQUIPOS GEN'!$C$11:$H$833,6,0)</f>
        <v>0405CA010</v>
      </c>
      <c r="K1069" s="192">
        <v>44835</v>
      </c>
      <c r="L1069" s="193" t="s">
        <v>245</v>
      </c>
      <c r="M106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69" s="201"/>
      <c r="O1069" s="64" t="s">
        <v>1696</v>
      </c>
    </row>
    <row r="1070" spans="1:15" ht="33" customHeight="1">
      <c r="A1070" s="218">
        <v>1066</v>
      </c>
      <c r="B1070" s="239" t="s">
        <v>3050</v>
      </c>
      <c r="C1070" s="64" t="s">
        <v>3051</v>
      </c>
      <c r="D1070" s="191" t="s">
        <v>3011</v>
      </c>
      <c r="E1070" s="204" t="s">
        <v>1649</v>
      </c>
      <c r="F1070" s="191" t="str">
        <f>VLOOKUP(MP_registro[[#This Row],[TAG]],'DB-EQUIPOS GEN'!$C$11:$H$833,2,0)</f>
        <v>Chute alimentadores de bagazo</v>
      </c>
      <c r="G1070" s="191" t="str">
        <f>VLOOKUP(MP_registro[[#This Row],[TAG]],'DB-EQUIPOS GEN'!$C$11:$H$833,3,0)</f>
        <v>E. TERMICA</v>
      </c>
      <c r="H1070" s="191" t="str">
        <f>VLOOKUP(MP_registro[[#This Row],[TAG]],'DB-EQUIPOS GEN'!$C$11:$H$833,4,0)</f>
        <v>TRANSPORTE DE BAGAZO</v>
      </c>
      <c r="I1070" s="191" t="str">
        <f>VLOOKUP(MP_registro[[#This Row],[TAG]],'DB-EQUIPOS GEN'!$C$11:$H$833,5,0)</f>
        <v>ALIMENTADOR DE BAGAZO 1</v>
      </c>
      <c r="J1070" s="191" t="str">
        <f>VLOOKUP(MP_registro[[#This Row],[TAG]],'DB-EQUIPOS GEN'!$C$11:$H$833,6,0)</f>
        <v>0405RV240</v>
      </c>
      <c r="K1070" s="192">
        <v>44835</v>
      </c>
      <c r="L1070" s="193" t="s">
        <v>245</v>
      </c>
      <c r="M107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70" s="201"/>
      <c r="O1070" s="64" t="s">
        <v>1696</v>
      </c>
    </row>
    <row r="1071" spans="1:15" ht="33" customHeight="1">
      <c r="A1071" s="218">
        <v>1067</v>
      </c>
      <c r="B1071" s="239" t="s">
        <v>3050</v>
      </c>
      <c r="C1071" s="64" t="s">
        <v>3051</v>
      </c>
      <c r="D1071" s="191" t="s">
        <v>3012</v>
      </c>
      <c r="E1071" s="204" t="s">
        <v>3048</v>
      </c>
      <c r="F1071" s="191" t="e">
        <f>VLOOKUP(MP_registro[[#This Row],[TAG]],'DB-EQUIPOS GEN'!$C$11:$H$833,2,0)</f>
        <v>#N/A</v>
      </c>
      <c r="G1071" s="191" t="e">
        <f>VLOOKUP(MP_registro[[#This Row],[TAG]],'DB-EQUIPOS GEN'!$C$11:$H$833,3,0)</f>
        <v>#N/A</v>
      </c>
      <c r="H1071" s="191" t="e">
        <f>VLOOKUP(MP_registro[[#This Row],[TAG]],'DB-EQUIPOS GEN'!$C$11:$H$833,4,0)</f>
        <v>#N/A</v>
      </c>
      <c r="I1071" s="191" t="e">
        <f>VLOOKUP(MP_registro[[#This Row],[TAG]],'DB-EQUIPOS GEN'!$C$11:$H$833,5,0)</f>
        <v>#N/A</v>
      </c>
      <c r="J1071" s="191" t="e">
        <f>VLOOKUP(MP_registro[[#This Row],[TAG]],'DB-EQUIPOS GEN'!$C$11:$H$833,6,0)</f>
        <v>#N/A</v>
      </c>
      <c r="K1071" s="192">
        <v>44835</v>
      </c>
      <c r="L1071" s="193" t="s">
        <v>245</v>
      </c>
      <c r="M107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71" s="201"/>
      <c r="O1071" s="64" t="s">
        <v>1696</v>
      </c>
    </row>
    <row r="1072" spans="1:15" ht="33" customHeight="1">
      <c r="A1072" s="218">
        <v>1068</v>
      </c>
      <c r="B1072" s="239" t="s">
        <v>3050</v>
      </c>
      <c r="C1072" s="64" t="s">
        <v>3051</v>
      </c>
      <c r="D1072" s="191" t="s">
        <v>3013</v>
      </c>
      <c r="E1072" s="204" t="s">
        <v>597</v>
      </c>
      <c r="F1072" s="191" t="str">
        <f>VLOOKUP(MP_registro[[#This Row],[TAG]],'DB-EQUIPOS GEN'!$C$11:$H$833,2,0)</f>
        <v>Presion aire primario entrada caldera</v>
      </c>
      <c r="G1072" s="191" t="str">
        <f>VLOOKUP(MP_registro[[#This Row],[TAG]],'DB-EQUIPOS GEN'!$C$11:$H$833,3,0)</f>
        <v>E. TERMICA</v>
      </c>
      <c r="H1072" s="191" t="str">
        <f>VLOOKUP(MP_registro[[#This Row],[TAG]],'DB-EQUIPOS GEN'!$C$11:$H$833,4,0)</f>
        <v>GENERACION DE VAPOR</v>
      </c>
      <c r="I1072" s="191" t="str">
        <f>VLOOKUP(MP_registro[[#This Row],[TAG]],'DB-EQUIPOS GEN'!$C$11:$H$833,5,0)</f>
        <v>DUCTOS INGRESO DE AIRE A CALDERA</v>
      </c>
      <c r="J1072" s="191" t="str">
        <f>VLOOKUP(MP_registro[[#This Row],[TAG]],'DB-EQUIPOS GEN'!$C$11:$H$833,6,0)</f>
        <v>0405DU010</v>
      </c>
      <c r="K1072" s="192">
        <v>44836</v>
      </c>
      <c r="L1072" s="193" t="s">
        <v>245</v>
      </c>
      <c r="M1072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72" s="201"/>
      <c r="O1072" s="64" t="s">
        <v>1696</v>
      </c>
    </row>
    <row r="1073" spans="1:15" ht="33" customHeight="1">
      <c r="A1073" s="218">
        <v>1069</v>
      </c>
      <c r="B1073" s="239" t="s">
        <v>3050</v>
      </c>
      <c r="C1073" s="64" t="s">
        <v>3051</v>
      </c>
      <c r="D1073" s="191" t="s">
        <v>3014</v>
      </c>
      <c r="E1073" s="204" t="s">
        <v>1642</v>
      </c>
      <c r="F1073" s="191" t="str">
        <f>VLOOKUP(MP_registro[[#This Row],[TAG]],'DB-EQUIPOS GEN'!$C$11:$H$833,2,0)</f>
        <v>Salida de bagazo de molino secador</v>
      </c>
      <c r="G1073" s="191" t="str">
        <f>VLOOKUP(MP_registro[[#This Row],[TAG]],'DB-EQUIPOS GEN'!$C$11:$H$833,3,0)</f>
        <v>EXTRACCION</v>
      </c>
      <c r="H1073" s="191" t="str">
        <f>VLOOKUP(MP_registro[[#This Row],[TAG]],'DB-EQUIPOS GEN'!$C$11:$H$833,4,0)</f>
        <v>MOLINOS</v>
      </c>
      <c r="I1073" s="191" t="str">
        <f>VLOOKUP(MP_registro[[#This Row],[TAG]],'DB-EQUIPOS GEN'!$C$11:$H$833,5,0)</f>
        <v>MOLINO SECADOR</v>
      </c>
      <c r="J1073" s="191" t="str">
        <f>VLOOKUP(MP_registro[[#This Row],[TAG]],'DB-EQUIPOS GEN'!$C$11:$H$833,6,0)</f>
        <v>0210MM090</v>
      </c>
      <c r="K1073" s="192">
        <v>44836</v>
      </c>
      <c r="L1073" s="193" t="s">
        <v>249</v>
      </c>
      <c r="M107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73" s="201"/>
      <c r="O1073" s="64" t="s">
        <v>1696</v>
      </c>
    </row>
    <row r="1074" spans="1:15" ht="33" customHeight="1">
      <c r="A1074" s="218">
        <v>1070</v>
      </c>
      <c r="B1074" s="239" t="s">
        <v>3050</v>
      </c>
      <c r="C1074" s="64" t="s">
        <v>3051</v>
      </c>
      <c r="D1074" s="191" t="s">
        <v>3015</v>
      </c>
      <c r="E1074" s="204" t="s">
        <v>1657</v>
      </c>
      <c r="F1074" s="191" t="str">
        <f>VLOOKUP(MP_registro[[#This Row],[TAG]],'DB-EQUIPOS GEN'!$C$11:$H$833,2,0)</f>
        <v>Pug mill B, Cabezal C de centrifugas continuas</v>
      </c>
      <c r="G1074" s="191" t="str">
        <f>VLOOKUP(MP_registro[[#This Row],[TAG]],'DB-EQUIPOS GEN'!$C$11:$H$833,3,0)</f>
        <v>PRODUCCION</v>
      </c>
      <c r="H1074" s="191" t="str">
        <f>VLOOKUP(MP_registro[[#This Row],[TAG]],'DB-EQUIPOS GEN'!$C$11:$H$833,4,0)</f>
        <v>CENTRIFUGACIÓN DE AZÚCAR</v>
      </c>
      <c r="I1074" s="191" t="str">
        <f>VLOOKUP(MP_registro[[#This Row],[TAG]],'DB-EQUIPOS GEN'!$C$11:$H$833,5,0)</f>
        <v>PUG MILL - B</v>
      </c>
      <c r="J1074" s="191" t="str">
        <f>VLOOKUP(MP_registro[[#This Row],[TAG]],'DB-EQUIPOS GEN'!$C$11:$H$833,6,0)</f>
        <v>0345MM020</v>
      </c>
      <c r="K1074" s="192">
        <v>44836</v>
      </c>
      <c r="L1074" s="193" t="s">
        <v>245</v>
      </c>
      <c r="M107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74" s="201"/>
      <c r="O1074" s="64" t="s">
        <v>1696</v>
      </c>
    </row>
    <row r="1075" spans="1:15" ht="33" customHeight="1">
      <c r="A1075" s="218">
        <v>1071</v>
      </c>
      <c r="B1075" s="239" t="s">
        <v>3050</v>
      </c>
      <c r="C1075" s="64" t="s">
        <v>3051</v>
      </c>
      <c r="D1075" s="191" t="s">
        <v>3016</v>
      </c>
      <c r="E1075" s="204" t="s">
        <v>1661</v>
      </c>
      <c r="F1075" s="191" t="str">
        <f>VLOOKUP(MP_registro[[#This Row],[TAG]],'DB-EQUIPOS GEN'!$C$11:$H$833,2,0)</f>
        <v xml:space="preserve">Faja de azucar seca a Silo </v>
      </c>
      <c r="G1075" s="191" t="str">
        <f>VLOOKUP(MP_registro[[#This Row],[TAG]],'DB-EQUIPOS GEN'!$C$11:$H$833,3,0)</f>
        <v>PRODUCCION</v>
      </c>
      <c r="H1075" s="191" t="str">
        <f>VLOOKUP(MP_registro[[#This Row],[TAG]],'DB-EQUIPOS GEN'!$C$11:$H$833,4,0)</f>
        <v>ENVASADO DE AZÚCAR RUBIA</v>
      </c>
      <c r="I1075" s="191" t="str">
        <f>VLOOKUP(MP_registro[[#This Row],[TAG]],'DB-EQUIPOS GEN'!$C$11:$H$833,5,0)</f>
        <v>SILO DE AZUCAR 1</v>
      </c>
      <c r="J1075" s="191" t="str">
        <f>VLOOKUP(MP_registro[[#This Row],[TAG]],'DB-EQUIPOS GEN'!$C$11:$H$833,6,0)</f>
        <v>0355BI090</v>
      </c>
      <c r="K1075" s="192">
        <v>44836</v>
      </c>
      <c r="L1075" s="193" t="s">
        <v>249</v>
      </c>
      <c r="M1075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75" s="201"/>
      <c r="O1075" s="64" t="s">
        <v>1696</v>
      </c>
    </row>
    <row r="1076" spans="1:15" ht="33" customHeight="1">
      <c r="A1076" s="218">
        <v>1072</v>
      </c>
      <c r="B1076" s="239" t="s">
        <v>3050</v>
      </c>
      <c r="C1076" s="64" t="s">
        <v>3051</v>
      </c>
      <c r="D1076" s="77" t="s">
        <v>3017</v>
      </c>
      <c r="E1076" s="204" t="s">
        <v>3049</v>
      </c>
      <c r="F1076" s="191" t="e">
        <f>VLOOKUP(MP_registro[[#This Row],[TAG]],'DB-EQUIPOS GEN'!$C$11:$H$833,2,0)</f>
        <v>#N/A</v>
      </c>
      <c r="G1076" s="191" t="e">
        <f>VLOOKUP(MP_registro[[#This Row],[TAG]],'DB-EQUIPOS GEN'!$C$11:$H$833,3,0)</f>
        <v>#N/A</v>
      </c>
      <c r="H1076" s="191" t="e">
        <f>VLOOKUP(MP_registro[[#This Row],[TAG]],'DB-EQUIPOS GEN'!$C$11:$H$833,4,0)</f>
        <v>#N/A</v>
      </c>
      <c r="I1076" s="191" t="e">
        <f>VLOOKUP(MP_registro[[#This Row],[TAG]],'DB-EQUIPOS GEN'!$C$11:$H$833,5,0)</f>
        <v>#N/A</v>
      </c>
      <c r="J1076" s="191" t="e">
        <f>VLOOKUP(MP_registro[[#This Row],[TAG]],'DB-EQUIPOS GEN'!$C$11:$H$833,6,0)</f>
        <v>#N/A</v>
      </c>
      <c r="K1076" s="192">
        <v>44836</v>
      </c>
      <c r="L1076" s="193" t="s">
        <v>249</v>
      </c>
      <c r="M107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76" s="201"/>
      <c r="O1076" s="64" t="s">
        <v>1696</v>
      </c>
    </row>
    <row r="1077" spans="1:15" ht="33" customHeight="1">
      <c r="A1077" s="218">
        <v>1073</v>
      </c>
      <c r="B1077" s="239" t="s">
        <v>3050</v>
      </c>
      <c r="C1077" s="64" t="s">
        <v>3051</v>
      </c>
      <c r="D1077" s="191" t="s">
        <v>3018</v>
      </c>
      <c r="E1077" s="204" t="s">
        <v>598</v>
      </c>
      <c r="F1077" s="191" t="str">
        <f>VLOOKUP(MP_registro[[#This Row],[TAG]],'DB-EQUIPOS GEN'!$C$11:$H$833,2,0)</f>
        <v>Presion aire secundario</v>
      </c>
      <c r="G1077" s="191" t="str">
        <f>VLOOKUP(MP_registro[[#This Row],[TAG]],'DB-EQUIPOS GEN'!$C$11:$H$833,3,0)</f>
        <v>E. TERMICA</v>
      </c>
      <c r="H1077" s="191" t="str">
        <f>VLOOKUP(MP_registro[[#This Row],[TAG]],'DB-EQUIPOS GEN'!$C$11:$H$833,4,0)</f>
        <v>GENERACION DE VAPOR</v>
      </c>
      <c r="I1077" s="191" t="str">
        <f>VLOOKUP(MP_registro[[#This Row],[TAG]],'DB-EQUIPOS GEN'!$C$11:$H$833,5,0)</f>
        <v>DUCTOS INGRESO DE AIRE A CALDERA</v>
      </c>
      <c r="J1077" s="191" t="str">
        <f>VLOOKUP(MP_registro[[#This Row],[TAG]],'DB-EQUIPOS GEN'!$C$11:$H$833,6,0)</f>
        <v>0405DU010</v>
      </c>
      <c r="K1077" s="192">
        <v>44837</v>
      </c>
      <c r="L1077" s="193" t="s">
        <v>245</v>
      </c>
      <c r="M107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77" s="201"/>
      <c r="O1077" s="64" t="s">
        <v>1696</v>
      </c>
    </row>
    <row r="1078" spans="1:15" ht="33" customHeight="1">
      <c r="A1078" s="218">
        <v>1074</v>
      </c>
      <c r="B1078" s="239" t="s">
        <v>3050</v>
      </c>
      <c r="C1078" s="64" t="s">
        <v>3051</v>
      </c>
      <c r="D1078" s="191" t="s">
        <v>3019</v>
      </c>
      <c r="E1078" s="204" t="s">
        <v>754</v>
      </c>
      <c r="F1078" s="191" t="str">
        <f>VLOOKUP(MP_registro[[#This Row],[TAG]],'DB-EQUIPOS GEN'!$C$11:$H$833,2,0)</f>
        <v>Brix de masa B - Celda 3</v>
      </c>
      <c r="G1078" s="191" t="str">
        <f>VLOOKUP(MP_registro[[#This Row],[TAG]],'DB-EQUIPOS GEN'!$C$11:$H$833,3,0)</f>
        <v>PRODUCCION</v>
      </c>
      <c r="H1078" s="191" t="str">
        <f>VLOOKUP(MP_registro[[#This Row],[TAG]],'DB-EQUIPOS GEN'!$C$11:$H$833,4,0)</f>
        <v>CRISTALIZACION POR COCCION</v>
      </c>
      <c r="I1078" s="191" t="str">
        <f>VLOOKUP(MP_registro[[#This Row],[TAG]],'DB-EQUIPOS GEN'!$C$11:$H$833,5,0)</f>
        <v xml:space="preserve">TACHO CONTINUO B </v>
      </c>
      <c r="J1078" s="191" t="str">
        <f>VLOOKUP(MP_registro[[#This Row],[TAG]],'DB-EQUIPOS GEN'!$C$11:$H$833,6,0)</f>
        <v xml:space="preserve"> 0335HX230</v>
      </c>
      <c r="K1078" s="192">
        <v>44837</v>
      </c>
      <c r="L1078" s="193" t="s">
        <v>249</v>
      </c>
      <c r="M107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78" s="201"/>
      <c r="O1078" s="64" t="s">
        <v>1696</v>
      </c>
    </row>
    <row r="1079" spans="1:15" ht="33" customHeight="1">
      <c r="A1079" s="218">
        <v>1075</v>
      </c>
      <c r="B1079" s="239" t="s">
        <v>3050</v>
      </c>
      <c r="C1079" s="64" t="s">
        <v>3051</v>
      </c>
      <c r="D1079" s="191" t="s">
        <v>3020</v>
      </c>
      <c r="E1079" s="204" t="s">
        <v>756</v>
      </c>
      <c r="F1079" s="191" t="str">
        <f>VLOOKUP(MP_registro[[#This Row],[TAG]],'DB-EQUIPOS GEN'!$C$11:$H$833,2,0)</f>
        <v>Brix de masa B - Celda 4</v>
      </c>
      <c r="G1079" s="191" t="str">
        <f>VLOOKUP(MP_registro[[#This Row],[TAG]],'DB-EQUIPOS GEN'!$C$11:$H$833,3,0)</f>
        <v>PRODUCCION</v>
      </c>
      <c r="H1079" s="191" t="str">
        <f>VLOOKUP(MP_registro[[#This Row],[TAG]],'DB-EQUIPOS GEN'!$C$11:$H$833,4,0)</f>
        <v>CRISTALIZACION POR COCCION</v>
      </c>
      <c r="I1079" s="191" t="str">
        <f>VLOOKUP(MP_registro[[#This Row],[TAG]],'DB-EQUIPOS GEN'!$C$11:$H$833,5,0)</f>
        <v xml:space="preserve">TACHO CONTINUO B </v>
      </c>
      <c r="J1079" s="191" t="str">
        <f>VLOOKUP(MP_registro[[#This Row],[TAG]],'DB-EQUIPOS GEN'!$C$11:$H$833,6,0)</f>
        <v xml:space="preserve"> 0335HX230</v>
      </c>
      <c r="K1079" s="192">
        <v>44837</v>
      </c>
      <c r="L1079" s="193" t="s">
        <v>249</v>
      </c>
      <c r="M107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79" s="201"/>
      <c r="O1079" s="64" t="s">
        <v>1696</v>
      </c>
    </row>
    <row r="1080" spans="1:15" ht="33" customHeight="1">
      <c r="A1080" s="218">
        <v>1076</v>
      </c>
      <c r="B1080" s="239" t="s">
        <v>3050</v>
      </c>
      <c r="C1080" s="64" t="s">
        <v>3051</v>
      </c>
      <c r="D1080" s="191" t="s">
        <v>3021</v>
      </c>
      <c r="E1080" s="204" t="s">
        <v>758</v>
      </c>
      <c r="F1080" s="191" t="str">
        <f>VLOOKUP(MP_registro[[#This Row],[TAG]],'DB-EQUIPOS GEN'!$C$11:$H$833,2,0)</f>
        <v>Brix de masa B - Celda 5</v>
      </c>
      <c r="G1080" s="191" t="str">
        <f>VLOOKUP(MP_registro[[#This Row],[TAG]],'DB-EQUIPOS GEN'!$C$11:$H$833,3,0)</f>
        <v>PRODUCCION</v>
      </c>
      <c r="H1080" s="191" t="str">
        <f>VLOOKUP(MP_registro[[#This Row],[TAG]],'DB-EQUIPOS GEN'!$C$11:$H$833,4,0)</f>
        <v>CRISTALIZACION POR COCCION</v>
      </c>
      <c r="I1080" s="191" t="str">
        <f>VLOOKUP(MP_registro[[#This Row],[TAG]],'DB-EQUIPOS GEN'!$C$11:$H$833,5,0)</f>
        <v xml:space="preserve">TACHO CONTINUO B </v>
      </c>
      <c r="J1080" s="191" t="str">
        <f>VLOOKUP(MP_registro[[#This Row],[TAG]],'DB-EQUIPOS GEN'!$C$11:$H$833,6,0)</f>
        <v xml:space="preserve"> 0335HX230</v>
      </c>
      <c r="K1080" s="192">
        <v>44837</v>
      </c>
      <c r="L1080" s="193" t="s">
        <v>249</v>
      </c>
      <c r="M108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80" s="201"/>
      <c r="O1080" s="64" t="s">
        <v>1696</v>
      </c>
    </row>
    <row r="1081" spans="1:15" ht="33" customHeight="1">
      <c r="A1081" s="218">
        <v>1077</v>
      </c>
      <c r="B1081" s="239" t="s">
        <v>3050</v>
      </c>
      <c r="C1081" s="64" t="s">
        <v>3051</v>
      </c>
      <c r="D1081" s="191" t="s">
        <v>3022</v>
      </c>
      <c r="E1081" s="204" t="s">
        <v>2406</v>
      </c>
      <c r="F1081" s="191" t="str">
        <f>VLOOKUP(MP_registro[[#This Row],[TAG]],'DB-EQUIPOS GEN'!$C$11:$H$833,2,0)</f>
        <v>Vista Mesa de Caña - Descarga de Tetras</v>
      </c>
      <c r="G1081" s="191" t="str">
        <f>VLOOKUP(MP_registro[[#This Row],[TAG]],'DB-EQUIPOS GEN'!$C$11:$H$833,3,0)</f>
        <v>EXTRACCION</v>
      </c>
      <c r="H1081" s="191" t="str">
        <f>VLOOKUP(MP_registro[[#This Row],[TAG]],'DB-EQUIPOS GEN'!$C$11:$H$833,4,0)</f>
        <v>RECEPCIÓN DE CAÑA</v>
      </c>
      <c r="I1081" s="191" t="str">
        <f>VLOOKUP(MP_registro[[#This Row],[TAG]],'DB-EQUIPOS GEN'!$C$11:$H$833,5,0)</f>
        <v>MESA DE CAÑA</v>
      </c>
      <c r="J1081" s="191" t="str">
        <f>VLOOKUP(MP_registro[[#This Row],[TAG]],'DB-EQUIPOS GEN'!$C$11:$H$833,6,0)</f>
        <v>0110FE019</v>
      </c>
      <c r="K1081" s="192">
        <v>44837</v>
      </c>
      <c r="L1081" s="193" t="s">
        <v>249</v>
      </c>
      <c r="M108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81" s="201"/>
      <c r="O1081" s="64" t="s">
        <v>1696</v>
      </c>
    </row>
    <row r="1082" spans="1:15" ht="33" customHeight="1">
      <c r="A1082" s="218">
        <v>1078</v>
      </c>
      <c r="B1082" s="239" t="s">
        <v>3050</v>
      </c>
      <c r="C1082" s="64" t="s">
        <v>3051</v>
      </c>
      <c r="D1082" s="191" t="s">
        <v>3023</v>
      </c>
      <c r="E1082" s="204" t="s">
        <v>1640</v>
      </c>
      <c r="F1082" s="191" t="str">
        <f>VLOOKUP(MP_registro[[#This Row],[TAG]],'DB-EQUIPOS GEN'!$C$11:$H$833,2,0)</f>
        <v>Conductor de alimentación a difusor y retorno</v>
      </c>
      <c r="G1082" s="191" t="str">
        <f>VLOOKUP(MP_registro[[#This Row],[TAG]],'DB-EQUIPOS GEN'!$C$11:$H$833,3,0)</f>
        <v>EXTRACCION</v>
      </c>
      <c r="H1082" s="191" t="str">
        <f>VLOOKUP(MP_registro[[#This Row],[TAG]],'DB-EQUIPOS GEN'!$C$11:$H$833,4,0)</f>
        <v>PREPARACIÓN DE CAÑA</v>
      </c>
      <c r="I1082" s="191" t="str">
        <f>VLOOKUP(MP_registro[[#This Row],[TAG]],'DB-EQUIPOS GEN'!$C$11:$H$833,5,0)</f>
        <v>CONDUCTOR DE RETORNO</v>
      </c>
      <c r="J1082" s="191" t="str">
        <f>VLOOKUP(MP_registro[[#This Row],[TAG]],'DB-EQUIPOS GEN'!$C$11:$H$833,6,0)</f>
        <v>0115CV090</v>
      </c>
      <c r="K1082" s="192">
        <v>44837</v>
      </c>
      <c r="L1082" s="193" t="s">
        <v>249</v>
      </c>
      <c r="M108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82" s="201"/>
      <c r="O1082" s="64" t="s">
        <v>1696</v>
      </c>
    </row>
    <row r="1083" spans="1:15" ht="33" customHeight="1">
      <c r="A1083" s="218">
        <v>1079</v>
      </c>
      <c r="B1083" s="239" t="s">
        <v>3050</v>
      </c>
      <c r="C1083" s="64" t="s">
        <v>3051</v>
      </c>
      <c r="D1083" s="191" t="s">
        <v>3024</v>
      </c>
      <c r="E1083" s="204" t="s">
        <v>1645</v>
      </c>
      <c r="F1083" s="191" t="str">
        <f>VLOOKUP(MP_registro[[#This Row],[TAG]],'DB-EQUIPOS GEN'!$C$11:$H$833,2,0)</f>
        <v>Tamiz rotativo</v>
      </c>
      <c r="G1083" s="191" t="str">
        <f>VLOOKUP(MP_registro[[#This Row],[TAG]],'DB-EQUIPOS GEN'!$C$11:$H$833,3,0)</f>
        <v>EXTRACCION</v>
      </c>
      <c r="H1083" s="191" t="str">
        <f>VLOOKUP(MP_registro[[#This Row],[TAG]],'DB-EQUIPOS GEN'!$C$11:$H$833,4,0)</f>
        <v>DIFUSOR</v>
      </c>
      <c r="I1083" s="191" t="str">
        <f>VLOOKUP(MP_registro[[#This Row],[TAG]],'DB-EQUIPOS GEN'!$C$11:$H$833,5,0)</f>
        <v>TAMIZ ROTATIVO</v>
      </c>
      <c r="J1083" s="191" t="str">
        <f>VLOOKUP(MP_registro[[#This Row],[TAG]],'DB-EQUIPOS GEN'!$C$11:$H$833,6,0)</f>
        <v>0305FL010</v>
      </c>
      <c r="K1083" s="192">
        <v>44837</v>
      </c>
      <c r="L1083" s="193" t="s">
        <v>249</v>
      </c>
      <c r="M108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83" s="201"/>
      <c r="O1083" s="64" t="s">
        <v>1696</v>
      </c>
    </row>
    <row r="1084" spans="1:15" ht="33" customHeight="1">
      <c r="A1084" s="218">
        <v>1080</v>
      </c>
      <c r="B1084" s="239" t="s">
        <v>3050</v>
      </c>
      <c r="C1084" s="64" t="s">
        <v>3051</v>
      </c>
      <c r="D1084" s="191" t="s">
        <v>3025</v>
      </c>
      <c r="E1084" s="204" t="s">
        <v>2606</v>
      </c>
      <c r="F1084" s="191" t="e">
        <f>VLOOKUP(MP_registro[[#This Row],[TAG]],'DB-EQUIPOS GEN'!$C$11:$H$833,2,0)</f>
        <v>#N/A</v>
      </c>
      <c r="G1084" s="191" t="e">
        <f>VLOOKUP(MP_registro[[#This Row],[TAG]],'DB-EQUIPOS GEN'!$C$11:$H$833,3,0)</f>
        <v>#N/A</v>
      </c>
      <c r="H1084" s="191" t="e">
        <f>VLOOKUP(MP_registro[[#This Row],[TAG]],'DB-EQUIPOS GEN'!$C$11:$H$833,4,0)</f>
        <v>#N/A</v>
      </c>
      <c r="I1084" s="191" t="e">
        <f>VLOOKUP(MP_registro[[#This Row],[TAG]],'DB-EQUIPOS GEN'!$C$11:$H$833,5,0)</f>
        <v>#N/A</v>
      </c>
      <c r="J1084" s="191" t="e">
        <f>VLOOKUP(MP_registro[[#This Row],[TAG]],'DB-EQUIPOS GEN'!$C$11:$H$833,6,0)</f>
        <v>#N/A</v>
      </c>
      <c r="K1084" s="192">
        <v>44837</v>
      </c>
      <c r="L1084" s="193" t="s">
        <v>245</v>
      </c>
      <c r="M108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84" s="201"/>
      <c r="O1084" s="64" t="s">
        <v>1696</v>
      </c>
    </row>
    <row r="1085" spans="1:15" ht="33" customHeight="1">
      <c r="A1085" s="218">
        <v>1081</v>
      </c>
      <c r="B1085" s="239" t="s">
        <v>3050</v>
      </c>
      <c r="C1085" s="64" t="s">
        <v>3051</v>
      </c>
      <c r="D1085" s="191" t="s">
        <v>3026</v>
      </c>
      <c r="E1085" s="204" t="s">
        <v>2607</v>
      </c>
      <c r="F1085" s="191" t="e">
        <f>VLOOKUP(MP_registro[[#This Row],[TAG]],'DB-EQUIPOS GEN'!$C$11:$H$833,2,0)</f>
        <v>#N/A</v>
      </c>
      <c r="G1085" s="191" t="e">
        <f>VLOOKUP(MP_registro[[#This Row],[TAG]],'DB-EQUIPOS GEN'!$C$11:$H$833,3,0)</f>
        <v>#N/A</v>
      </c>
      <c r="H1085" s="191" t="e">
        <f>VLOOKUP(MP_registro[[#This Row],[TAG]],'DB-EQUIPOS GEN'!$C$11:$H$833,4,0)</f>
        <v>#N/A</v>
      </c>
      <c r="I1085" s="191" t="e">
        <f>VLOOKUP(MP_registro[[#This Row],[TAG]],'DB-EQUIPOS GEN'!$C$11:$H$833,5,0)</f>
        <v>#N/A</v>
      </c>
      <c r="J1085" s="191" t="e">
        <f>VLOOKUP(MP_registro[[#This Row],[TAG]],'DB-EQUIPOS GEN'!$C$11:$H$833,6,0)</f>
        <v>#N/A</v>
      </c>
      <c r="K1085" s="192">
        <v>44837</v>
      </c>
      <c r="L1085" s="193" t="s">
        <v>249</v>
      </c>
      <c r="M1085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85" s="201"/>
      <c r="O1085" s="64" t="s">
        <v>1696</v>
      </c>
    </row>
    <row r="1086" spans="1:15" ht="33" customHeight="1">
      <c r="A1086" s="218">
        <v>1082</v>
      </c>
      <c r="B1086" s="239" t="s">
        <v>3050</v>
      </c>
      <c r="C1086" s="64" t="s">
        <v>3051</v>
      </c>
      <c r="D1086" s="191" t="s">
        <v>3027</v>
      </c>
      <c r="E1086" s="204" t="s">
        <v>1050</v>
      </c>
      <c r="F1086" s="191" t="str">
        <f>VLOOKUP(MP_registro[[#This Row],[TAG]],'DB-EQUIPOS GEN'!$C$11:$H$833,2,0)</f>
        <v>Condentracion de lechada de cal en tanque de mezclado</v>
      </c>
      <c r="G1086" s="191" t="str">
        <f>VLOOKUP(MP_registro[[#This Row],[TAG]],'DB-EQUIPOS GEN'!$C$11:$H$833,3,0)</f>
        <v>PRODUCCION</v>
      </c>
      <c r="H1086" s="191" t="str">
        <f>VLOOKUP(MP_registro[[#This Row],[TAG]],'DB-EQUIPOS GEN'!$C$11:$H$833,4,0)</f>
        <v>PLANTA DE CAL</v>
      </c>
      <c r="I1086" s="191" t="str">
        <f>VLOOKUP(MP_registro[[#This Row],[TAG]],'DB-EQUIPOS GEN'!$C$11:$H$833,5,0)</f>
        <v>TANQUE DE PREPARACION DE LECHADA DE CAL</v>
      </c>
      <c r="J1086" s="191" t="str">
        <f>VLOOKUP(MP_registro[[#This Row],[TAG]],'DB-EQUIPOS GEN'!$C$11:$H$833,6,0)</f>
        <v xml:space="preserve"> 0315TK040</v>
      </c>
      <c r="K1086" s="192">
        <v>44837</v>
      </c>
      <c r="L1086" s="193" t="s">
        <v>245</v>
      </c>
      <c r="M108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86" s="201"/>
      <c r="O1086" s="64" t="s">
        <v>1696</v>
      </c>
    </row>
    <row r="1087" spans="1:15" ht="33" customHeight="1">
      <c r="A1087" s="218">
        <v>1083</v>
      </c>
      <c r="B1087" s="239" t="s">
        <v>3050</v>
      </c>
      <c r="C1087" s="64" t="s">
        <v>3051</v>
      </c>
      <c r="D1087" s="191" t="s">
        <v>3028</v>
      </c>
      <c r="E1087" s="204" t="s">
        <v>599</v>
      </c>
      <c r="F1087" s="191" t="str">
        <f>VLOOKUP(MP_registro[[#This Row],[TAG]],'DB-EQUIPOS GEN'!$C$11:$H$833,2,0)</f>
        <v>Presion aire secundario al horno nivel 1</v>
      </c>
      <c r="G1087" s="191" t="str">
        <f>VLOOKUP(MP_registro[[#This Row],[TAG]],'DB-EQUIPOS GEN'!$C$11:$H$833,3,0)</f>
        <v>E. TERMICA</v>
      </c>
      <c r="H1087" s="191" t="str">
        <f>VLOOKUP(MP_registro[[#This Row],[TAG]],'DB-EQUIPOS GEN'!$C$11:$H$833,4,0)</f>
        <v>GENERACION DE VAPOR</v>
      </c>
      <c r="I1087" s="191" t="str">
        <f>VLOOKUP(MP_registro[[#This Row],[TAG]],'DB-EQUIPOS GEN'!$C$11:$H$833,5,0)</f>
        <v>DUCTOS INGRESO DE AIRE A CALDERA</v>
      </c>
      <c r="J1087" s="191" t="str">
        <f>VLOOKUP(MP_registro[[#This Row],[TAG]],'DB-EQUIPOS GEN'!$C$11:$H$833,6,0)</f>
        <v>0405DU010</v>
      </c>
      <c r="K1087" s="192">
        <v>44838</v>
      </c>
      <c r="L1087" s="193" t="s">
        <v>245</v>
      </c>
      <c r="M108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87" s="201"/>
      <c r="O1087" s="64" t="s">
        <v>1696</v>
      </c>
    </row>
    <row r="1088" spans="1:15" ht="33" customHeight="1">
      <c r="A1088" s="218">
        <v>1084</v>
      </c>
      <c r="B1088" s="239" t="s">
        <v>3050</v>
      </c>
      <c r="C1088" s="64" t="s">
        <v>3051</v>
      </c>
      <c r="D1088" s="191" t="s">
        <v>3029</v>
      </c>
      <c r="E1088" s="204" t="s">
        <v>2416</v>
      </c>
      <c r="F1088" s="191" t="str">
        <f>VLOOKUP(MP_registro[[#This Row],[TAG]],'DB-EQUIPOS GEN'!$C$11:$H$833,2,0)</f>
        <v>Vista Conductor Auxiliar - Superior</v>
      </c>
      <c r="G1088" s="191" t="str">
        <f>VLOOKUP(MP_registro[[#This Row],[TAG]],'DB-EQUIPOS GEN'!$C$11:$H$833,3,0)</f>
        <v>EXTRACCION</v>
      </c>
      <c r="H1088" s="191" t="str">
        <f>VLOOKUP(MP_registro[[#This Row],[TAG]],'DB-EQUIPOS GEN'!$C$11:$H$833,4,0)</f>
        <v>PREPARACIÓN DE CAÑA</v>
      </c>
      <c r="I1088" s="191" t="str">
        <f>VLOOKUP(MP_registro[[#This Row],[TAG]],'DB-EQUIPOS GEN'!$C$11:$H$833,5,0)</f>
        <v>CONDUCTOR AUXILIAR DE CAÑA</v>
      </c>
      <c r="J1088" s="191" t="str">
        <f>VLOOKUP(MP_registro[[#This Row],[TAG]],'DB-EQUIPOS GEN'!$C$11:$H$833,6,0)</f>
        <v>0115CV010</v>
      </c>
      <c r="K1088" s="192">
        <v>44838</v>
      </c>
      <c r="L1088" s="193" t="s">
        <v>249</v>
      </c>
      <c r="M108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88" s="201"/>
      <c r="O1088" s="64" t="s">
        <v>1696</v>
      </c>
    </row>
    <row r="1089" spans="1:15" ht="33" customHeight="1">
      <c r="A1089" s="218">
        <v>1085</v>
      </c>
      <c r="B1089" s="239" t="s">
        <v>3050</v>
      </c>
      <c r="C1089" s="64" t="s">
        <v>3051</v>
      </c>
      <c r="D1089" s="191" t="s">
        <v>3030</v>
      </c>
      <c r="E1089" s="204" t="s">
        <v>2407</v>
      </c>
      <c r="F1089" s="191" t="str">
        <f>VLOOKUP(MP_registro[[#This Row],[TAG]],'DB-EQUIPOS GEN'!$C$11:$H$833,2,0)</f>
        <v>Vista Molino Secador - Conductor Intermedio</v>
      </c>
      <c r="G1089" s="191" t="str">
        <f>VLOOKUP(MP_registro[[#This Row],[TAG]],'DB-EQUIPOS GEN'!$C$11:$H$833,3,0)</f>
        <v>EXTRACCION</v>
      </c>
      <c r="H1089" s="191" t="str">
        <f>VLOOKUP(MP_registro[[#This Row],[TAG]],'DB-EQUIPOS GEN'!$C$11:$H$833,4,0)</f>
        <v>MOLINOS</v>
      </c>
      <c r="I1089" s="191" t="str">
        <f>VLOOKUP(MP_registro[[#This Row],[TAG]],'DB-EQUIPOS GEN'!$C$11:$H$833,5,0)</f>
        <v>CONDUCTOR INTERMEDIO - MOLINO SECADOR</v>
      </c>
      <c r="J1089" s="191" t="str">
        <f>VLOOKUP(MP_registro[[#This Row],[TAG]],'DB-EQUIPOS GEN'!$C$11:$H$833,6,0)</f>
        <v>0210CV070</v>
      </c>
      <c r="K1089" s="192">
        <v>44838</v>
      </c>
      <c r="L1089" s="193" t="s">
        <v>249</v>
      </c>
      <c r="M108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89" s="201"/>
      <c r="O1089" s="64" t="s">
        <v>1696</v>
      </c>
    </row>
    <row r="1090" spans="1:15" ht="33" customHeight="1">
      <c r="A1090" s="218">
        <v>1086</v>
      </c>
      <c r="B1090" s="239" t="s">
        <v>3050</v>
      </c>
      <c r="C1090" s="64" t="s">
        <v>3051</v>
      </c>
      <c r="D1090" s="191" t="s">
        <v>3031</v>
      </c>
      <c r="E1090" s="204" t="s">
        <v>1641</v>
      </c>
      <c r="F1090" s="191" t="str">
        <f>VLOOKUP(MP_registro[[#This Row],[TAG]],'DB-EQUIPOS GEN'!$C$11:$H$833,2,0)</f>
        <v>Mesa de caña</v>
      </c>
      <c r="G1090" s="191" t="str">
        <f>VLOOKUP(MP_registro[[#This Row],[TAG]],'DB-EQUIPOS GEN'!$C$11:$H$833,3,0)</f>
        <v>EXTRACCION</v>
      </c>
      <c r="H1090" s="191" t="str">
        <f>VLOOKUP(MP_registro[[#This Row],[TAG]],'DB-EQUIPOS GEN'!$C$11:$H$833,4,0)</f>
        <v>RECEPCIÓN DE CAÑA</v>
      </c>
      <c r="I1090" s="191" t="str">
        <f>VLOOKUP(MP_registro[[#This Row],[TAG]],'DB-EQUIPOS GEN'!$C$11:$H$833,5,0)</f>
        <v>MESA DE CAÑA</v>
      </c>
      <c r="J1090" s="191" t="str">
        <f>VLOOKUP(MP_registro[[#This Row],[TAG]],'DB-EQUIPOS GEN'!$C$11:$H$833,6,0)</f>
        <v>0110FE019</v>
      </c>
      <c r="K1090" s="192">
        <v>44838</v>
      </c>
      <c r="L1090" s="193" t="s">
        <v>249</v>
      </c>
      <c r="M109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90" s="201"/>
      <c r="O1090" s="64" t="s">
        <v>1696</v>
      </c>
    </row>
    <row r="1091" spans="1:15" ht="33" customHeight="1">
      <c r="A1091" s="218">
        <v>1087</v>
      </c>
      <c r="B1091" s="239" t="s">
        <v>3050</v>
      </c>
      <c r="C1091" s="64" t="s">
        <v>3051</v>
      </c>
      <c r="D1091" s="191" t="s">
        <v>3032</v>
      </c>
      <c r="E1091" s="204" t="s">
        <v>1646</v>
      </c>
      <c r="F1091" s="191" t="str">
        <f>VLOOKUP(MP_registro[[#This Row],[TAG]],'DB-EQUIPOS GEN'!$C$11:$H$833,2,0)</f>
        <v>Segundo nivel de Turbina TGM</v>
      </c>
      <c r="G1091" s="191" t="str">
        <f>VLOOKUP(MP_registro[[#This Row],[TAG]],'DB-EQUIPOS GEN'!$C$11:$H$833,3,0)</f>
        <v>E. ELECTRICA</v>
      </c>
      <c r="H1091" s="191" t="str">
        <f>VLOOKUP(MP_registro[[#This Row],[TAG]],'DB-EQUIPOS GEN'!$C$11:$H$833,4,0)</f>
        <v>SISTEMA DE ENFRIAMIENTO</v>
      </c>
      <c r="I1091" s="191" t="str">
        <f>VLOOKUP(MP_registro[[#This Row],[TAG]],'DB-EQUIPOS GEN'!$C$11:$H$833,5,0)</f>
        <v>TORRE DE ENFRIAMIENTO MARLEY - TG TGM</v>
      </c>
      <c r="J1091" s="191" t="str">
        <f>VLOOKUP(MP_registro[[#This Row],[TAG]],'DB-EQUIPOS GEN'!$C$11:$H$833,6,0)</f>
        <v>0430CT050</v>
      </c>
      <c r="K1091" s="192">
        <v>44838</v>
      </c>
      <c r="L1091" s="193" t="s">
        <v>245</v>
      </c>
      <c r="M109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91" s="201"/>
      <c r="O1091" s="64" t="s">
        <v>1696</v>
      </c>
    </row>
    <row r="1092" spans="1:15" ht="33" customHeight="1">
      <c r="A1092" s="218">
        <v>1088</v>
      </c>
      <c r="B1092" s="239" t="s">
        <v>3050</v>
      </c>
      <c r="C1092" s="64" t="s">
        <v>3051</v>
      </c>
      <c r="D1092" s="191" t="s">
        <v>3033</v>
      </c>
      <c r="E1092" s="204" t="s">
        <v>1656</v>
      </c>
      <c r="F1092" s="191" t="str">
        <f>VLOOKUP(MP_registro[[#This Row],[TAG]],'DB-EQUIPOS GEN'!$C$11:$H$833,2,0)</f>
        <v>Descarga de centrifugas continuas</v>
      </c>
      <c r="G1092" s="191" t="str">
        <f>VLOOKUP(MP_registro[[#This Row],[TAG]],'DB-EQUIPOS GEN'!$C$11:$H$833,3,0)</f>
        <v>PRODUCCION</v>
      </c>
      <c r="H1092" s="191" t="str">
        <f>VLOOKUP(MP_registro[[#This Row],[TAG]],'DB-EQUIPOS GEN'!$C$11:$H$833,4,0)</f>
        <v>CENTRIFUGACIÓN DE AZÚCAR</v>
      </c>
      <c r="I1092" s="191" t="str">
        <f>VLOOKUP(MP_registro[[#This Row],[TAG]],'DB-EQUIPOS GEN'!$C$11:$H$833,5,0)</f>
        <v>CENTRIFUGA CONTINUA 1 - C (FRANCIA)</v>
      </c>
      <c r="J1092" s="191" t="str">
        <f>VLOOKUP(MP_registro[[#This Row],[TAG]],'DB-EQUIPOS GEN'!$C$11:$H$833,6,0)</f>
        <v>0345SQ160</v>
      </c>
      <c r="K1092" s="192">
        <v>44838</v>
      </c>
      <c r="L1092" s="193" t="s">
        <v>249</v>
      </c>
      <c r="M109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092" s="201"/>
      <c r="O1092" s="64" t="s">
        <v>1696</v>
      </c>
    </row>
    <row r="1093" spans="1:15" ht="33" customHeight="1">
      <c r="A1093" s="218">
        <v>1089</v>
      </c>
      <c r="B1093" s="239" t="s">
        <v>3050</v>
      </c>
      <c r="C1093" s="64" t="s">
        <v>3051</v>
      </c>
      <c r="D1093" s="191" t="s">
        <v>3034</v>
      </c>
      <c r="E1093" s="204" t="s">
        <v>1658</v>
      </c>
      <c r="F1093" s="191" t="str">
        <f>VLOOKUP(MP_registro[[#This Row],[TAG]],'DB-EQUIPOS GEN'!$C$11:$H$833,2,0)</f>
        <v>Pug mill A - Centrifugas batch</v>
      </c>
      <c r="G1093" s="191" t="str">
        <f>VLOOKUP(MP_registro[[#This Row],[TAG]],'DB-EQUIPOS GEN'!$C$11:$H$833,3,0)</f>
        <v>PRODUCCION</v>
      </c>
      <c r="H1093" s="191" t="str">
        <f>VLOOKUP(MP_registro[[#This Row],[TAG]],'DB-EQUIPOS GEN'!$C$11:$H$833,4,0)</f>
        <v>CENTRIFUGACIÓN DE AZÚCAR</v>
      </c>
      <c r="I1093" s="191" t="str">
        <f>VLOOKUP(MP_registro[[#This Row],[TAG]],'DB-EQUIPOS GEN'!$C$11:$H$833,5,0)</f>
        <v>PUG MILL - A</v>
      </c>
      <c r="J1093" s="191" t="str">
        <f>VLOOKUP(MP_registro[[#This Row],[TAG]],'DB-EQUIPOS GEN'!$C$11:$H$833,6,0)</f>
        <v>0345MM010</v>
      </c>
      <c r="K1093" s="192">
        <v>44838</v>
      </c>
      <c r="L1093" s="193" t="s">
        <v>245</v>
      </c>
      <c r="M109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93" s="201"/>
      <c r="O1093" s="64" t="s">
        <v>1696</v>
      </c>
    </row>
    <row r="1094" spans="1:15" ht="33" customHeight="1">
      <c r="A1094" s="218">
        <v>1090</v>
      </c>
      <c r="B1094" s="239" t="s">
        <v>3050</v>
      </c>
      <c r="C1094" s="64" t="s">
        <v>3051</v>
      </c>
      <c r="D1094" s="191" t="s">
        <v>3035</v>
      </c>
      <c r="E1094" s="204" t="s">
        <v>1659</v>
      </c>
      <c r="F1094" s="191" t="str">
        <f>VLOOKUP(MP_registro[[#This Row],[TAG]],'DB-EQUIPOS GEN'!$C$11:$H$833,2,0)</f>
        <v>Vista global de tanques de jarabe 1,2 y 3</v>
      </c>
      <c r="G1094" s="191" t="str">
        <f>VLOOKUP(MP_registro[[#This Row],[TAG]],'DB-EQUIPOS GEN'!$C$11:$H$833,3,0)</f>
        <v>PRODUCCION</v>
      </c>
      <c r="H1094" s="191" t="str">
        <f>VLOOKUP(MP_registro[[#This Row],[TAG]],'DB-EQUIPOS GEN'!$C$11:$H$833,4,0)</f>
        <v>CRISTALIZACIÓN POR COCCIÓN</v>
      </c>
      <c r="I1094" s="191" t="str">
        <f>VLOOKUP(MP_registro[[#This Row],[TAG]],'DB-EQUIPOS GEN'!$C$11:$H$833,5,0)</f>
        <v>TANQUE DE JARABE 1</v>
      </c>
      <c r="J1094" s="191" t="str">
        <f>VLOOKUP(MP_registro[[#This Row],[TAG]],'DB-EQUIPOS GEN'!$C$11:$H$833,6,0)</f>
        <v>0335TK010</v>
      </c>
      <c r="K1094" s="192">
        <v>44838</v>
      </c>
      <c r="L1094" s="193" t="s">
        <v>245</v>
      </c>
      <c r="M109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94" s="201"/>
      <c r="O1094" s="64" t="s">
        <v>1696</v>
      </c>
    </row>
    <row r="1095" spans="1:15" ht="33" customHeight="1">
      <c r="A1095" s="218">
        <v>1091</v>
      </c>
      <c r="B1095" s="239" t="s">
        <v>3050</v>
      </c>
      <c r="C1095" s="64" t="s">
        <v>3051</v>
      </c>
      <c r="D1095" s="191" t="s">
        <v>3036</v>
      </c>
      <c r="E1095" s="204" t="s">
        <v>1660</v>
      </c>
      <c r="F1095" s="191" t="str">
        <f>VLOOKUP(MP_registro[[#This Row],[TAG]],'DB-EQUIPOS GEN'!$C$11:$H$833,2,0)</f>
        <v>Vista global de tacho continuo A.</v>
      </c>
      <c r="G1095" s="191" t="str">
        <f>VLOOKUP(MP_registro[[#This Row],[TAG]],'DB-EQUIPOS GEN'!$C$11:$H$833,3,0)</f>
        <v>PRODUCCION</v>
      </c>
      <c r="H1095" s="191" t="str">
        <f>VLOOKUP(MP_registro[[#This Row],[TAG]],'DB-EQUIPOS GEN'!$C$11:$H$833,4,0)</f>
        <v>CRISTALIZACIÓN POR COCCIÓN</v>
      </c>
      <c r="I1095" s="191" t="str">
        <f>VLOOKUP(MP_registro[[#This Row],[TAG]],'DB-EQUIPOS GEN'!$C$11:$H$833,5,0)</f>
        <v>TACHO CONTINUO - A</v>
      </c>
      <c r="J1095" s="191" t="str">
        <f>VLOOKUP(MP_registro[[#This Row],[TAG]],'DB-EQUIPOS GEN'!$C$11:$H$833,6,0)</f>
        <v>0335HX200</v>
      </c>
      <c r="K1095" s="192">
        <v>44838</v>
      </c>
      <c r="L1095" s="193" t="s">
        <v>245</v>
      </c>
      <c r="M109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95" s="201"/>
      <c r="O1095" s="64" t="s">
        <v>1696</v>
      </c>
    </row>
    <row r="1096" spans="1:15" ht="33" customHeight="1">
      <c r="A1096" s="218">
        <v>1092</v>
      </c>
      <c r="B1096" s="239" t="s">
        <v>3050</v>
      </c>
      <c r="C1096" s="64" t="s">
        <v>3051</v>
      </c>
      <c r="D1096" s="191" t="s">
        <v>3037</v>
      </c>
      <c r="E1096" s="204" t="s">
        <v>1652</v>
      </c>
      <c r="F1096" s="191" t="str">
        <f>VLOOKUP(MP_registro[[#This Row],[TAG]],'DB-EQUIPOS GEN'!$C$11:$H$833,2,0)</f>
        <v>Faja 1006A - Patio de Bagazo</v>
      </c>
      <c r="G1096" s="191" t="str">
        <f>VLOOKUP(MP_registro[[#This Row],[TAG]],'DB-EQUIPOS GEN'!$C$11:$H$833,3,0)</f>
        <v>E. TERMICA</v>
      </c>
      <c r="H1096" s="191" t="str">
        <f>VLOOKUP(MP_registro[[#This Row],[TAG]],'DB-EQUIPOS GEN'!$C$11:$H$833,4,0)</f>
        <v>TRANSPORTE DE BAGAZO</v>
      </c>
      <c r="I1096" s="191" t="str">
        <f>VLOOKUP(MP_registro[[#This Row],[TAG]],'DB-EQUIPOS GEN'!$C$11:$H$833,5,0)</f>
        <v>FAJA TRANSPORTADORA 1006 A</v>
      </c>
      <c r="J1096" s="191" t="str">
        <f>VLOOKUP(MP_registro[[#This Row],[TAG]],'DB-EQUIPOS GEN'!$C$11:$H$833,6,0)</f>
        <v>0805CV080</v>
      </c>
      <c r="K1096" s="192">
        <v>44838</v>
      </c>
      <c r="L1096" s="193" t="s">
        <v>245</v>
      </c>
      <c r="M109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96" s="201"/>
      <c r="O1096" s="64" t="s">
        <v>1696</v>
      </c>
    </row>
    <row r="1097" spans="1:15" ht="33" customHeight="1">
      <c r="A1097" s="218">
        <v>1093</v>
      </c>
      <c r="B1097" s="239" t="s">
        <v>3050</v>
      </c>
      <c r="C1097" s="64" t="s">
        <v>3051</v>
      </c>
      <c r="D1097" s="191" t="s">
        <v>3038</v>
      </c>
      <c r="E1097" s="204" t="s">
        <v>1655</v>
      </c>
      <c r="F1097" s="191" t="str">
        <f>VLOOKUP(MP_registro[[#This Row],[TAG]],'DB-EQUIPOS GEN'!$C$11:$H$833,2,0)</f>
        <v>Vista global de planta de osmosis</v>
      </c>
      <c r="G1097" s="191" t="str">
        <f>VLOOKUP(MP_registro[[#This Row],[TAG]],'DB-EQUIPOS GEN'!$C$11:$H$833,3,0)</f>
        <v>E. TERMICA</v>
      </c>
      <c r="H1097" s="191" t="str">
        <f>VLOOKUP(MP_registro[[#This Row],[TAG]],'DB-EQUIPOS GEN'!$C$11:$H$833,4,0)</f>
        <v>PLANTA TRATAMIENTO OSMOSIS INVERSA</v>
      </c>
      <c r="I1097" s="191" t="str">
        <f>VLOOKUP(MP_registro[[#This Row],[TAG]],'DB-EQUIPOS GEN'!$C$11:$H$833,5,0)</f>
        <v>PLANTA DE OSMOSIS INVERSA</v>
      </c>
      <c r="J1097" s="191" t="str">
        <f>VLOOKUP(MP_registro[[#This Row],[TAG]],'DB-EQUIPOS GEN'!$C$11:$H$833,6,0)</f>
        <v>0425OI101</v>
      </c>
      <c r="K1097" s="192">
        <v>44838</v>
      </c>
      <c r="L1097" s="193" t="s">
        <v>245</v>
      </c>
      <c r="M109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97" s="201"/>
      <c r="O1097" s="64" t="s">
        <v>1696</v>
      </c>
    </row>
    <row r="1098" spans="1:15" ht="33" customHeight="1">
      <c r="A1098" s="218">
        <v>1094</v>
      </c>
      <c r="B1098" s="239" t="s">
        <v>3050</v>
      </c>
      <c r="C1098" s="64" t="s">
        <v>3051</v>
      </c>
      <c r="D1098" s="191" t="s">
        <v>3039</v>
      </c>
      <c r="E1098" s="204" t="s">
        <v>1052</v>
      </c>
      <c r="F1098" s="191" t="str">
        <f>VLOOKUP(MP_registro[[#This Row],[TAG]],'DB-EQUIPOS GEN'!$C$11:$H$833,2,0)</f>
        <v>Condentracion de lechada de cal en tanque de almacenamiento #1</v>
      </c>
      <c r="G1098" s="191" t="str">
        <f>VLOOKUP(MP_registro[[#This Row],[TAG]],'DB-EQUIPOS GEN'!$C$11:$H$833,3,0)</f>
        <v>PRODUCCION</v>
      </c>
      <c r="H1098" s="191" t="str">
        <f>VLOOKUP(MP_registro[[#This Row],[TAG]],'DB-EQUIPOS GEN'!$C$11:$H$833,4,0)</f>
        <v>PLANTA DE CAL</v>
      </c>
      <c r="I1098" s="191" t="str">
        <f>VLOOKUP(MP_registro[[#This Row],[TAG]],'DB-EQUIPOS GEN'!$C$11:$H$833,5,0)</f>
        <v>TANQUE DE PREPARACION DE LECHADA DE CAL</v>
      </c>
      <c r="J1098" s="191" t="str">
        <f>VLOOKUP(MP_registro[[#This Row],[TAG]],'DB-EQUIPOS GEN'!$C$11:$H$833,6,0)</f>
        <v xml:space="preserve"> 0315TK040</v>
      </c>
      <c r="K1098" s="192">
        <v>44838</v>
      </c>
      <c r="L1098" s="193" t="s">
        <v>245</v>
      </c>
      <c r="M109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98" s="201"/>
      <c r="O1098" s="64" t="s">
        <v>1696</v>
      </c>
    </row>
    <row r="1099" spans="1:15" ht="33" customHeight="1">
      <c r="A1099" s="218">
        <v>1095</v>
      </c>
      <c r="B1099" s="239" t="s">
        <v>3050</v>
      </c>
      <c r="C1099" s="64" t="s">
        <v>3051</v>
      </c>
      <c r="D1099" s="191" t="s">
        <v>3040</v>
      </c>
      <c r="E1099" s="204" t="s">
        <v>600</v>
      </c>
      <c r="F1099" s="191" t="str">
        <f>VLOOKUP(MP_registro[[#This Row],[TAG]],'DB-EQUIPOS GEN'!$C$11:$H$833,2,0)</f>
        <v>Presion aire secundario al horno nivel 2</v>
      </c>
      <c r="G1099" s="191" t="str">
        <f>VLOOKUP(MP_registro[[#This Row],[TAG]],'DB-EQUIPOS GEN'!$C$11:$H$833,3,0)</f>
        <v>E. TERMICA</v>
      </c>
      <c r="H1099" s="191" t="str">
        <f>VLOOKUP(MP_registro[[#This Row],[TAG]],'DB-EQUIPOS GEN'!$C$11:$H$833,4,0)</f>
        <v>GENERACION DE VAPOR</v>
      </c>
      <c r="I1099" s="191" t="str">
        <f>VLOOKUP(MP_registro[[#This Row],[TAG]],'DB-EQUIPOS GEN'!$C$11:$H$833,5,0)</f>
        <v>DUCTOS INGRESO DE AIRE A CALDERA</v>
      </c>
      <c r="J1099" s="191" t="str">
        <f>VLOOKUP(MP_registro[[#This Row],[TAG]],'DB-EQUIPOS GEN'!$C$11:$H$833,6,0)</f>
        <v>0405DU010</v>
      </c>
      <c r="K1099" s="192">
        <v>44839</v>
      </c>
      <c r="L1099" s="193" t="s">
        <v>245</v>
      </c>
      <c r="M109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099" s="201"/>
      <c r="O1099" s="64" t="s">
        <v>1696</v>
      </c>
    </row>
    <row r="1100" spans="1:15" ht="33" customHeight="1">
      <c r="A1100" s="218">
        <v>1096</v>
      </c>
      <c r="B1100" s="239" t="s">
        <v>3050</v>
      </c>
      <c r="C1100" s="64" t="s">
        <v>3051</v>
      </c>
      <c r="D1100" s="191" t="s">
        <v>3041</v>
      </c>
      <c r="E1100" s="204" t="s">
        <v>766</v>
      </c>
      <c r="F1100" s="191" t="str">
        <f>VLOOKUP(MP_registro[[#This Row],[TAG]],'DB-EQUIPOS GEN'!$C$11:$H$833,2,0)</f>
        <v>Brix de masa C - Celda 1</v>
      </c>
      <c r="G1100" s="191" t="str">
        <f>VLOOKUP(MP_registro[[#This Row],[TAG]],'DB-EQUIPOS GEN'!$C$11:$H$833,3,0)</f>
        <v>PRODUCCION</v>
      </c>
      <c r="H1100" s="191" t="str">
        <f>VLOOKUP(MP_registro[[#This Row],[TAG]],'DB-EQUIPOS GEN'!$C$11:$H$833,4,0)</f>
        <v>CRISTALIZACION POR COCCION</v>
      </c>
      <c r="I1100" s="191" t="str">
        <f>VLOOKUP(MP_registro[[#This Row],[TAG]],'DB-EQUIPOS GEN'!$C$11:$H$833,5,0)</f>
        <v xml:space="preserve">TACHO CONTINUO C </v>
      </c>
      <c r="J1100" s="191" t="str">
        <f>VLOOKUP(MP_registro[[#This Row],[TAG]],'DB-EQUIPOS GEN'!$C$11:$H$833,6,0)</f>
        <v xml:space="preserve"> 0335HX260</v>
      </c>
      <c r="K1100" s="192">
        <v>44839</v>
      </c>
      <c r="L1100" s="193" t="s">
        <v>249</v>
      </c>
      <c r="M110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00" s="201"/>
      <c r="O1100" s="64" t="s">
        <v>1696</v>
      </c>
    </row>
    <row r="1101" spans="1:15" ht="33" customHeight="1">
      <c r="A1101" s="218">
        <v>1097</v>
      </c>
      <c r="B1101" s="239" t="s">
        <v>3050</v>
      </c>
      <c r="C1101" s="64" t="s">
        <v>3051</v>
      </c>
      <c r="D1101" s="191" t="s">
        <v>3042</v>
      </c>
      <c r="E1101" s="204" t="s">
        <v>768</v>
      </c>
      <c r="F1101" s="191" t="str">
        <f>VLOOKUP(MP_registro[[#This Row],[TAG]],'DB-EQUIPOS GEN'!$C$11:$H$833,2,0)</f>
        <v>Brix de masa C - Celda 2</v>
      </c>
      <c r="G1101" s="191" t="str">
        <f>VLOOKUP(MP_registro[[#This Row],[TAG]],'DB-EQUIPOS GEN'!$C$11:$H$833,3,0)</f>
        <v>PRODUCCION</v>
      </c>
      <c r="H1101" s="191" t="str">
        <f>VLOOKUP(MP_registro[[#This Row],[TAG]],'DB-EQUIPOS GEN'!$C$11:$H$833,4,0)</f>
        <v>CRISTALIZACION POR COCCION</v>
      </c>
      <c r="I1101" s="191" t="str">
        <f>VLOOKUP(MP_registro[[#This Row],[TAG]],'DB-EQUIPOS GEN'!$C$11:$H$833,5,0)</f>
        <v xml:space="preserve">TACHO CONTINUO C </v>
      </c>
      <c r="J1101" s="191" t="str">
        <f>VLOOKUP(MP_registro[[#This Row],[TAG]],'DB-EQUIPOS GEN'!$C$11:$H$833,6,0)</f>
        <v xml:space="preserve"> 0335HX260</v>
      </c>
      <c r="K1101" s="192">
        <v>44839</v>
      </c>
      <c r="L1101" s="193" t="s">
        <v>249</v>
      </c>
      <c r="M110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01" s="201"/>
      <c r="O1101" s="64" t="s">
        <v>1696</v>
      </c>
    </row>
    <row r="1102" spans="1:15" ht="33" customHeight="1">
      <c r="A1102" s="218">
        <v>1098</v>
      </c>
      <c r="B1102" s="239" t="s">
        <v>3050</v>
      </c>
      <c r="C1102" s="64" t="s">
        <v>3051</v>
      </c>
      <c r="D1102" s="191" t="s">
        <v>3043</v>
      </c>
      <c r="E1102" s="204" t="s">
        <v>774</v>
      </c>
      <c r="F1102" s="191" t="str">
        <f>VLOOKUP(MP_registro[[#This Row],[TAG]],'DB-EQUIPOS GEN'!$C$11:$H$833,2,0)</f>
        <v>Brix de masa C - Celda 5</v>
      </c>
      <c r="G1102" s="191" t="str">
        <f>VLOOKUP(MP_registro[[#This Row],[TAG]],'DB-EQUIPOS GEN'!$C$11:$H$833,3,0)</f>
        <v>PRODUCCION</v>
      </c>
      <c r="H1102" s="191" t="str">
        <f>VLOOKUP(MP_registro[[#This Row],[TAG]],'DB-EQUIPOS GEN'!$C$11:$H$833,4,0)</f>
        <v>CRISTALIZACION POR COCCION</v>
      </c>
      <c r="I1102" s="191" t="str">
        <f>VLOOKUP(MP_registro[[#This Row],[TAG]],'DB-EQUIPOS GEN'!$C$11:$H$833,5,0)</f>
        <v xml:space="preserve">TACHO CONTINUO C </v>
      </c>
      <c r="J1102" s="191" t="str">
        <f>VLOOKUP(MP_registro[[#This Row],[TAG]],'DB-EQUIPOS GEN'!$C$11:$H$833,6,0)</f>
        <v xml:space="preserve"> 0335HX260</v>
      </c>
      <c r="K1102" s="192">
        <v>44839</v>
      </c>
      <c r="L1102" s="193" t="s">
        <v>249</v>
      </c>
      <c r="M110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02" s="201"/>
      <c r="O1102" s="64" t="s">
        <v>1696</v>
      </c>
    </row>
    <row r="1103" spans="1:15" ht="33" customHeight="1">
      <c r="A1103" s="218">
        <v>1099</v>
      </c>
      <c r="B1103" s="239" t="s">
        <v>3050</v>
      </c>
      <c r="C1103" s="64" t="s">
        <v>3051</v>
      </c>
      <c r="D1103" s="191" t="s">
        <v>3044</v>
      </c>
      <c r="E1103" s="204" t="s">
        <v>1643</v>
      </c>
      <c r="F1103" s="191" t="str">
        <f>VLOOKUP(MP_registro[[#This Row],[TAG]],'DB-EQUIPOS GEN'!$C$11:$H$833,2,0)</f>
        <v>Nivelador de cama de bagazo en difusor</v>
      </c>
      <c r="G1103" s="191" t="str">
        <f>VLOOKUP(MP_registro[[#This Row],[TAG]],'DB-EQUIPOS GEN'!$C$11:$H$833,3,0)</f>
        <v>EXTRACCION</v>
      </c>
      <c r="H1103" s="191" t="str">
        <f>VLOOKUP(MP_registro[[#This Row],[TAG]],'DB-EQUIPOS GEN'!$C$11:$H$833,4,0)</f>
        <v>DIFUSOR</v>
      </c>
      <c r="I1103" s="191" t="str">
        <f>VLOOKUP(MP_registro[[#This Row],[TAG]],'DB-EQUIPOS GEN'!$C$11:$H$833,5,0)</f>
        <v>CONDUCTOR TRANSVERSAL</v>
      </c>
      <c r="J1103" s="191" t="str">
        <f>VLOOKUP(MP_registro[[#This Row],[TAG]],'DB-EQUIPOS GEN'!$C$11:$H$833,6,0)</f>
        <v>0205CV190</v>
      </c>
      <c r="K1103" s="192">
        <v>44839</v>
      </c>
      <c r="L1103" s="193" t="s">
        <v>249</v>
      </c>
      <c r="M110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03" s="201"/>
      <c r="O1103" s="64" t="s">
        <v>1696</v>
      </c>
    </row>
    <row r="1104" spans="1:15" ht="33" customHeight="1">
      <c r="A1104" s="218">
        <v>1100</v>
      </c>
      <c r="B1104" s="239" t="s">
        <v>3050</v>
      </c>
      <c r="C1104" s="64" t="s">
        <v>3051</v>
      </c>
      <c r="D1104" s="191" t="s">
        <v>3045</v>
      </c>
      <c r="E1104" s="204" t="s">
        <v>1648</v>
      </c>
      <c r="F1104" s="191" t="str">
        <f>VLOOKUP(MP_registro[[#This Row],[TAG]],'DB-EQUIPOS GEN'!$C$11:$H$833,2,0)</f>
        <v>Nivel de agua en domo</v>
      </c>
      <c r="G1104" s="191" t="str">
        <f>VLOOKUP(MP_registro[[#This Row],[TAG]],'DB-EQUIPOS GEN'!$C$11:$H$833,3,0)</f>
        <v>E. TERMICA</v>
      </c>
      <c r="H1104" s="191" t="str">
        <f>VLOOKUP(MP_registro[[#This Row],[TAG]],'DB-EQUIPOS GEN'!$C$11:$H$833,4,0)</f>
        <v>GENERACIÓN DE VAPOR</v>
      </c>
      <c r="I1104" s="191" t="str">
        <f>VLOOKUP(MP_registro[[#This Row],[TAG]],'DB-EQUIPOS GEN'!$C$11:$H$833,5,0)</f>
        <v>DOMO SUPERIOR</v>
      </c>
      <c r="J1104" s="191" t="str">
        <f>VLOOKUP(MP_registro[[#This Row],[TAG]],'DB-EQUIPOS GEN'!$C$11:$H$833,6,0)</f>
        <v>0405DO020</v>
      </c>
      <c r="K1104" s="192">
        <v>44839</v>
      </c>
      <c r="L1104" s="193" t="s">
        <v>245</v>
      </c>
      <c r="M110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04" s="201"/>
      <c r="O1104" s="64" t="s">
        <v>1696</v>
      </c>
    </row>
    <row r="1105" spans="1:15" ht="33" customHeight="1">
      <c r="A1105" s="218">
        <v>1101</v>
      </c>
      <c r="B1105" s="239" t="s">
        <v>3050</v>
      </c>
      <c r="C1105" s="64" t="s">
        <v>3051</v>
      </c>
      <c r="D1105" s="191" t="s">
        <v>3046</v>
      </c>
      <c r="E1105" s="204" t="s">
        <v>1650</v>
      </c>
      <c r="F1105" s="191" t="str">
        <f>VLOOKUP(MP_registro[[#This Row],[TAG]],'DB-EQUIPOS GEN'!$C$11:$H$833,2,0)</f>
        <v>Faja 1003 - Conductor distribuidor de bagazo</v>
      </c>
      <c r="G1105" s="191" t="str">
        <f>VLOOKUP(MP_registro[[#This Row],[TAG]],'DB-EQUIPOS GEN'!$C$11:$H$833,3,0)</f>
        <v>E. TERMICA</v>
      </c>
      <c r="H1105" s="191" t="str">
        <f>VLOOKUP(MP_registro[[#This Row],[TAG]],'DB-EQUIPOS GEN'!$C$11:$H$833,4,0)</f>
        <v>TRANSPORTE DE BAGAZO</v>
      </c>
      <c r="I1105" s="191" t="str">
        <f>VLOOKUP(MP_registro[[#This Row],[TAG]],'DB-EQUIPOS GEN'!$C$11:$H$833,5,0)</f>
        <v>TRANSPORTADOR DE BAGAZO 1003</v>
      </c>
      <c r="J1105" s="191" t="str">
        <f>VLOOKUP(MP_registro[[#This Row],[TAG]],'DB-EQUIPOS GEN'!$C$11:$H$833,6,0)</f>
        <v>0805CV060</v>
      </c>
      <c r="K1105" s="192">
        <v>44839</v>
      </c>
      <c r="L1105" s="193" t="s">
        <v>245</v>
      </c>
      <c r="M110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05" s="201"/>
      <c r="O1105" s="64" t="s">
        <v>1696</v>
      </c>
    </row>
    <row r="1106" spans="1:15" ht="33" customHeight="1">
      <c r="A1106" s="218">
        <v>1102</v>
      </c>
      <c r="B1106" s="239" t="s">
        <v>3050</v>
      </c>
      <c r="C1106" s="64" t="s">
        <v>3051</v>
      </c>
      <c r="D1106" s="191" t="s">
        <v>3047</v>
      </c>
      <c r="E1106" s="204" t="s">
        <v>1651</v>
      </c>
      <c r="F1106" s="191" t="str">
        <f>VLOOKUP(MP_registro[[#This Row],[TAG]],'DB-EQUIPOS GEN'!$C$11:$H$833,2,0)</f>
        <v>Faja 1008 - Tolva de retorno de bagazo</v>
      </c>
      <c r="G1106" s="191" t="str">
        <f>VLOOKUP(MP_registro[[#This Row],[TAG]],'DB-EQUIPOS GEN'!$C$11:$H$833,3,0)</f>
        <v>E. TERMICA</v>
      </c>
      <c r="H1106" s="191" t="str">
        <f>VLOOKUP(MP_registro[[#This Row],[TAG]],'DB-EQUIPOS GEN'!$C$11:$H$833,4,0)</f>
        <v>TRANSPORTE DE BAGAZO</v>
      </c>
      <c r="I1106" s="191" t="str">
        <f>VLOOKUP(MP_registro[[#This Row],[TAG]],'DB-EQUIPOS GEN'!$C$11:$H$833,5,0)</f>
        <v>FAJA TRANSPORTADORA 1008</v>
      </c>
      <c r="J1106" s="191" t="str">
        <f>VLOOKUP(MP_registro[[#This Row],[TAG]],'DB-EQUIPOS GEN'!$C$11:$H$833,6,0)</f>
        <v>0805CV100</v>
      </c>
      <c r="K1106" s="192">
        <v>44839</v>
      </c>
      <c r="L1106" s="193" t="s">
        <v>245</v>
      </c>
      <c r="M110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06" s="201"/>
      <c r="O1106" s="64" t="s">
        <v>1696</v>
      </c>
    </row>
    <row r="1107" spans="1:15" ht="33" customHeight="1">
      <c r="A1107" s="218">
        <v>1103</v>
      </c>
      <c r="B1107" s="239" t="s">
        <v>3050</v>
      </c>
      <c r="C1107" s="64" t="s">
        <v>3097</v>
      </c>
      <c r="D1107" s="191" t="s">
        <v>3052</v>
      </c>
      <c r="E1107" s="204" t="s">
        <v>601</v>
      </c>
      <c r="F1107" s="191" t="str">
        <f>VLOOKUP(MP_registro[[#This Row],[TAG]],'DB-EQUIPOS GEN'!$C$11:$H$833,2,0)</f>
        <v>Presion aire secundario al horno nivel 3</v>
      </c>
      <c r="G1107" s="191" t="str">
        <f>VLOOKUP(MP_registro[[#This Row],[TAG]],'DB-EQUIPOS GEN'!$C$11:$H$833,3,0)</f>
        <v>E. TERMICA</v>
      </c>
      <c r="H1107" s="191" t="str">
        <f>VLOOKUP(MP_registro[[#This Row],[TAG]],'DB-EQUIPOS GEN'!$C$11:$H$833,4,0)</f>
        <v>GENERACION DE VAPOR</v>
      </c>
      <c r="I1107" s="191" t="str">
        <f>VLOOKUP(MP_registro[[#This Row],[TAG]],'DB-EQUIPOS GEN'!$C$11:$H$833,5,0)</f>
        <v>DUCTOS INGRESO DE AIRE A CALDERA</v>
      </c>
      <c r="J1107" s="191" t="str">
        <f>VLOOKUP(MP_registro[[#This Row],[TAG]],'DB-EQUIPOS GEN'!$C$11:$H$833,6,0)</f>
        <v>0405DU010</v>
      </c>
      <c r="K1107" s="192">
        <v>44840</v>
      </c>
      <c r="L1107" s="193" t="s">
        <v>247</v>
      </c>
      <c r="M110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07" s="201"/>
      <c r="O1107" s="64" t="s">
        <v>1696</v>
      </c>
    </row>
    <row r="1108" spans="1:15" ht="33" customHeight="1">
      <c r="A1108" s="218">
        <v>1104</v>
      </c>
      <c r="B1108" s="239" t="s">
        <v>3050</v>
      </c>
      <c r="C1108" s="64" t="s">
        <v>3097</v>
      </c>
      <c r="D1108" s="191" t="s">
        <v>3053</v>
      </c>
      <c r="E1108" s="204" t="s">
        <v>760</v>
      </c>
      <c r="F1108" s="191" t="str">
        <f>VLOOKUP(MP_registro[[#This Row],[TAG]],'DB-EQUIPOS GEN'!$C$11:$H$833,2,0)</f>
        <v>Brix de masa B - Celda 6</v>
      </c>
      <c r="G1108" s="191" t="str">
        <f>VLOOKUP(MP_registro[[#This Row],[TAG]],'DB-EQUIPOS GEN'!$C$11:$H$833,3,0)</f>
        <v>PRODUCCION</v>
      </c>
      <c r="H1108" s="191" t="str">
        <f>VLOOKUP(MP_registro[[#This Row],[TAG]],'DB-EQUIPOS GEN'!$C$11:$H$833,4,0)</f>
        <v>CRISTALIZACION POR COCCION</v>
      </c>
      <c r="I1108" s="191" t="str">
        <f>VLOOKUP(MP_registro[[#This Row],[TAG]],'DB-EQUIPOS GEN'!$C$11:$H$833,5,0)</f>
        <v xml:space="preserve">TACHO CONTINUO B </v>
      </c>
      <c r="J1108" s="191" t="str">
        <f>VLOOKUP(MP_registro[[#This Row],[TAG]],'DB-EQUIPOS GEN'!$C$11:$H$833,6,0)</f>
        <v xml:space="preserve"> 0335HX230</v>
      </c>
      <c r="K1108" s="192">
        <v>44840</v>
      </c>
      <c r="L1108" s="193" t="s">
        <v>247</v>
      </c>
      <c r="M110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08" s="201"/>
      <c r="O1108" s="64" t="s">
        <v>1696</v>
      </c>
    </row>
    <row r="1109" spans="1:15" ht="33" customHeight="1">
      <c r="A1109" s="218">
        <v>1105</v>
      </c>
      <c r="B1109" s="239" t="s">
        <v>3050</v>
      </c>
      <c r="C1109" s="64" t="s">
        <v>3097</v>
      </c>
      <c r="D1109" s="191" t="s">
        <v>3054</v>
      </c>
      <c r="E1109" s="204" t="s">
        <v>762</v>
      </c>
      <c r="F1109" s="191" t="str">
        <f>VLOOKUP(MP_registro[[#This Row],[TAG]],'DB-EQUIPOS GEN'!$C$11:$H$833,2,0)</f>
        <v>Brix de masa B - Celda 7</v>
      </c>
      <c r="G1109" s="191" t="str">
        <f>VLOOKUP(MP_registro[[#This Row],[TAG]],'DB-EQUIPOS GEN'!$C$11:$H$833,3,0)</f>
        <v>PRODUCCION</v>
      </c>
      <c r="H1109" s="191" t="str">
        <f>VLOOKUP(MP_registro[[#This Row],[TAG]],'DB-EQUIPOS GEN'!$C$11:$H$833,4,0)</f>
        <v>CRISTALIZACION POR COCCION</v>
      </c>
      <c r="I1109" s="191" t="str">
        <f>VLOOKUP(MP_registro[[#This Row],[TAG]],'DB-EQUIPOS GEN'!$C$11:$H$833,5,0)</f>
        <v xml:space="preserve">TACHO CONTINUO B </v>
      </c>
      <c r="J1109" s="191" t="str">
        <f>VLOOKUP(MP_registro[[#This Row],[TAG]],'DB-EQUIPOS GEN'!$C$11:$H$833,6,0)</f>
        <v xml:space="preserve"> 0335HX230</v>
      </c>
      <c r="K1109" s="192">
        <v>44840</v>
      </c>
      <c r="L1109" s="193" t="s">
        <v>247</v>
      </c>
      <c r="M110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09" s="201"/>
      <c r="O1109" s="64" t="s">
        <v>1696</v>
      </c>
    </row>
    <row r="1110" spans="1:15" ht="33" customHeight="1">
      <c r="A1110" s="218">
        <v>1106</v>
      </c>
      <c r="B1110" s="239" t="s">
        <v>3050</v>
      </c>
      <c r="C1110" s="64" t="s">
        <v>3097</v>
      </c>
      <c r="D1110" s="191" t="s">
        <v>3055</v>
      </c>
      <c r="E1110" s="204" t="s">
        <v>764</v>
      </c>
      <c r="F1110" s="191" t="str">
        <f>VLOOKUP(MP_registro[[#This Row],[TAG]],'DB-EQUIPOS GEN'!$C$11:$H$833,2,0)</f>
        <v>Brix de masa B - Celda 8</v>
      </c>
      <c r="G1110" s="191" t="str">
        <f>VLOOKUP(MP_registro[[#This Row],[TAG]],'DB-EQUIPOS GEN'!$C$11:$H$833,3,0)</f>
        <v>PRODUCCION</v>
      </c>
      <c r="H1110" s="191" t="str">
        <f>VLOOKUP(MP_registro[[#This Row],[TAG]],'DB-EQUIPOS GEN'!$C$11:$H$833,4,0)</f>
        <v>CRISTALIZACION POR COCCION</v>
      </c>
      <c r="I1110" s="191" t="str">
        <f>VLOOKUP(MP_registro[[#This Row],[TAG]],'DB-EQUIPOS GEN'!$C$11:$H$833,5,0)</f>
        <v xml:space="preserve">TACHO CONTINUO B </v>
      </c>
      <c r="J1110" s="191" t="str">
        <f>VLOOKUP(MP_registro[[#This Row],[TAG]],'DB-EQUIPOS GEN'!$C$11:$H$833,6,0)</f>
        <v xml:space="preserve"> 0335HX230</v>
      </c>
      <c r="K1110" s="192">
        <v>44840</v>
      </c>
      <c r="L1110" s="193" t="s">
        <v>247</v>
      </c>
      <c r="M1110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10" s="201"/>
      <c r="O1110" s="64" t="s">
        <v>1696</v>
      </c>
    </row>
    <row r="1111" spans="1:15" ht="33" customHeight="1">
      <c r="A1111" s="218">
        <v>1107</v>
      </c>
      <c r="B1111" s="239" t="s">
        <v>3050</v>
      </c>
      <c r="C1111" s="64" t="s">
        <v>3097</v>
      </c>
      <c r="D1111" s="191" t="s">
        <v>3056</v>
      </c>
      <c r="E1111" s="204" t="s">
        <v>1653</v>
      </c>
      <c r="F1111" s="191" t="str">
        <f>VLOOKUP(MP_registro[[#This Row],[TAG]],'DB-EQUIPOS GEN'!$C$11:$H$833,2,0)</f>
        <v>Operación del desviador de bagazo</v>
      </c>
      <c r="G1111" s="191" t="str">
        <f>VLOOKUP(MP_registro[[#This Row],[TAG]],'DB-EQUIPOS GEN'!$C$11:$H$833,3,0)</f>
        <v>E. TERMICA</v>
      </c>
      <c r="H1111" s="191" t="str">
        <f>VLOOKUP(MP_registro[[#This Row],[TAG]],'DB-EQUIPOS GEN'!$C$11:$H$833,4,0)</f>
        <v>TRANSPORTE DE BAGAZO</v>
      </c>
      <c r="I1111" s="191" t="str">
        <f>VLOOKUP(MP_registro[[#This Row],[TAG]],'DB-EQUIPOS GEN'!$C$11:$H$833,5,0)</f>
        <v>FAJA TRANSPORTADORA 1004</v>
      </c>
      <c r="J1111" s="191" t="str">
        <f>VLOOKUP(MP_registro[[#This Row],[TAG]],'DB-EQUIPOS GEN'!$C$11:$H$833,6,0)</f>
        <v>0805CV070</v>
      </c>
      <c r="K1111" s="192">
        <v>44840</v>
      </c>
      <c r="L1111" s="193" t="s">
        <v>247</v>
      </c>
      <c r="M111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11" s="201"/>
      <c r="O1111" s="64" t="s">
        <v>1696</v>
      </c>
    </row>
    <row r="1112" spans="1:15" ht="33" customHeight="1">
      <c r="A1112" s="218">
        <v>1108</v>
      </c>
      <c r="B1112" s="239" t="s">
        <v>3050</v>
      </c>
      <c r="C1112" s="64" t="s">
        <v>3097</v>
      </c>
      <c r="D1112" s="191" t="s">
        <v>3057</v>
      </c>
      <c r="E1112" s="204" t="s">
        <v>1654</v>
      </c>
      <c r="F1112" s="191" t="str">
        <f>VLOOKUP(MP_registro[[#This Row],[TAG]],'DB-EQUIPOS GEN'!$C$11:$H$833,2,0)</f>
        <v>Vista global de sala turbina TGM</v>
      </c>
      <c r="G1112" s="191" t="str">
        <f>VLOOKUP(MP_registro[[#This Row],[TAG]],'DB-EQUIPOS GEN'!$C$11:$H$833,3,0)</f>
        <v>E. ELECTRICA</v>
      </c>
      <c r="H1112" s="191" t="str">
        <f>VLOOKUP(MP_registro[[#This Row],[TAG]],'DB-EQUIPOS GEN'!$C$11:$H$833,4,0)</f>
        <v>SISTEMA DE ENFRIAMIENTO</v>
      </c>
      <c r="I1112" s="191" t="str">
        <f>VLOOKUP(MP_registro[[#This Row],[TAG]],'DB-EQUIPOS GEN'!$C$11:$H$833,5,0)</f>
        <v>TORRE DE ENFRIAMIENTO MARLEY - TG TGM</v>
      </c>
      <c r="J1112" s="191" t="str">
        <f>VLOOKUP(MP_registro[[#This Row],[TAG]],'DB-EQUIPOS GEN'!$C$11:$H$833,6,0)</f>
        <v>0430CT050</v>
      </c>
      <c r="K1112" s="192">
        <v>44840</v>
      </c>
      <c r="L1112" s="193" t="s">
        <v>247</v>
      </c>
      <c r="M111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12" s="201"/>
      <c r="O1112" s="64" t="s">
        <v>1696</v>
      </c>
    </row>
    <row r="1113" spans="1:15" ht="33" customHeight="1">
      <c r="A1113" s="218">
        <v>1109</v>
      </c>
      <c r="B1113" s="239" t="s">
        <v>3050</v>
      </c>
      <c r="C1113" s="64" t="s">
        <v>3097</v>
      </c>
      <c r="D1113" s="191" t="s">
        <v>3058</v>
      </c>
      <c r="E1113" s="204" t="s">
        <v>502</v>
      </c>
      <c r="F1113" s="191" t="str">
        <f>VLOOKUP(MP_registro[[#This Row],[TAG]],'DB-EQUIPOS GEN'!$C$11:$H$833,2,0)</f>
        <v>Temperatura de jugo Evap.3</v>
      </c>
      <c r="G1113" s="191" t="str">
        <f>VLOOKUP(MP_registro[[#This Row],[TAG]],'DB-EQUIPOS GEN'!$C$11:$H$833,3,0)</f>
        <v>PRODUCCION</v>
      </c>
      <c r="H1113" s="191" t="str">
        <f>VLOOKUP(MP_registro[[#This Row],[TAG]],'DB-EQUIPOS GEN'!$C$11:$H$833,4,0)</f>
        <v>EVAPORACION DE JUGO</v>
      </c>
      <c r="I1113" s="191" t="str">
        <f>VLOOKUP(MP_registro[[#This Row],[TAG]],'DB-EQUIPOS GEN'!$C$11:$H$833,5,0)</f>
        <v>FFE 3</v>
      </c>
      <c r="J1113" s="191" t="str">
        <f>VLOOKUP(MP_registro[[#This Row],[TAG]],'DB-EQUIPOS GEN'!$C$11:$H$833,6,0)</f>
        <v xml:space="preserve"> 0320EV040</v>
      </c>
      <c r="K1113" s="192">
        <v>44841</v>
      </c>
      <c r="L1113" s="193" t="s">
        <v>247</v>
      </c>
      <c r="M1113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13" s="201"/>
      <c r="O1113" s="64" t="s">
        <v>1696</v>
      </c>
    </row>
    <row r="1114" spans="1:15" ht="33" customHeight="1">
      <c r="A1114" s="218">
        <v>1110</v>
      </c>
      <c r="B1114" s="239" t="s">
        <v>3050</v>
      </c>
      <c r="C1114" s="64" t="s">
        <v>3097</v>
      </c>
      <c r="D1114" s="191" t="s">
        <v>3059</v>
      </c>
      <c r="E1114" s="204" t="s">
        <v>506</v>
      </c>
      <c r="F1114" s="191" t="str">
        <f>VLOOKUP(MP_registro[[#This Row],[TAG]],'DB-EQUIPOS GEN'!$C$11:$H$833,2,0)</f>
        <v>Temperatura del salida de vapor</v>
      </c>
      <c r="G1114" s="191" t="str">
        <f>VLOOKUP(MP_registro[[#This Row],[TAG]],'DB-EQUIPOS GEN'!$C$11:$H$833,3,0)</f>
        <v>PRODUCCION</v>
      </c>
      <c r="H1114" s="191" t="str">
        <f>VLOOKUP(MP_registro[[#This Row],[TAG]],'DB-EQUIPOS GEN'!$C$11:$H$833,4,0)</f>
        <v>EVAPORACION DE JUGO</v>
      </c>
      <c r="I1114" s="191" t="str">
        <f>VLOOKUP(MP_registro[[#This Row],[TAG]],'DB-EQUIPOS GEN'!$C$11:$H$833,5,0)</f>
        <v>FFE 3</v>
      </c>
      <c r="J1114" s="191" t="str">
        <f>VLOOKUP(MP_registro[[#This Row],[TAG]],'DB-EQUIPOS GEN'!$C$11:$H$833,6,0)</f>
        <v xml:space="preserve"> 0320EV040</v>
      </c>
      <c r="K1114" s="192">
        <v>44841</v>
      </c>
      <c r="L1114" s="193" t="s">
        <v>247</v>
      </c>
      <c r="M111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14" s="201"/>
      <c r="O1114" s="64" t="s">
        <v>1696</v>
      </c>
    </row>
    <row r="1115" spans="1:15" ht="33" customHeight="1">
      <c r="A1115" s="218">
        <v>1111</v>
      </c>
      <c r="B1115" s="239" t="s">
        <v>3050</v>
      </c>
      <c r="C1115" s="64" t="s">
        <v>3097</v>
      </c>
      <c r="D1115" s="191" t="s">
        <v>3060</v>
      </c>
      <c r="E1115" s="204" t="s">
        <v>602</v>
      </c>
      <c r="F1115" s="191" t="str">
        <f>VLOOKUP(MP_registro[[#This Row],[TAG]],'DB-EQUIPOS GEN'!$C$11:$H$833,2,0)</f>
        <v>Presion aire de esparcimiento</v>
      </c>
      <c r="G1115" s="191" t="str">
        <f>VLOOKUP(MP_registro[[#This Row],[TAG]],'DB-EQUIPOS GEN'!$C$11:$H$833,3,0)</f>
        <v>E. TERMICA</v>
      </c>
      <c r="H1115" s="191" t="str">
        <f>VLOOKUP(MP_registro[[#This Row],[TAG]],'DB-EQUIPOS GEN'!$C$11:$H$833,4,0)</f>
        <v>GENERACION DE VAPOR</v>
      </c>
      <c r="I1115" s="191" t="str">
        <f>VLOOKUP(MP_registro[[#This Row],[TAG]],'DB-EQUIPOS GEN'!$C$11:$H$833,5,0)</f>
        <v>VENTILADOR ESPARCIDOR</v>
      </c>
      <c r="J1115" s="191" t="str">
        <f>VLOOKUP(MP_registro[[#This Row],[TAG]],'DB-EQUIPOS GEN'!$C$11:$H$833,6,0)</f>
        <v>0405FA150</v>
      </c>
      <c r="K1115" s="192">
        <v>44841</v>
      </c>
      <c r="L1115" s="193" t="s">
        <v>247</v>
      </c>
      <c r="M1115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15" s="201"/>
      <c r="O1115" s="64" t="s">
        <v>1696</v>
      </c>
    </row>
    <row r="1116" spans="1:15" ht="33" customHeight="1">
      <c r="A1116" s="218">
        <v>1112</v>
      </c>
      <c r="B1116" s="239" t="s">
        <v>3050</v>
      </c>
      <c r="C1116" s="64" t="s">
        <v>3097</v>
      </c>
      <c r="D1116" s="191" t="s">
        <v>3061</v>
      </c>
      <c r="E1116" s="204" t="s">
        <v>770</v>
      </c>
      <c r="F1116" s="191" t="str">
        <f>VLOOKUP(MP_registro[[#This Row],[TAG]],'DB-EQUIPOS GEN'!$C$11:$H$833,2,0)</f>
        <v>Brix de masa C - Celda 3</v>
      </c>
      <c r="G1116" s="191" t="str">
        <f>VLOOKUP(MP_registro[[#This Row],[TAG]],'DB-EQUIPOS GEN'!$C$11:$H$833,3,0)</f>
        <v>PRODUCCION</v>
      </c>
      <c r="H1116" s="191" t="str">
        <f>VLOOKUP(MP_registro[[#This Row],[TAG]],'DB-EQUIPOS GEN'!$C$11:$H$833,4,0)</f>
        <v>CRISTALIZACION POR COCCION</v>
      </c>
      <c r="I1116" s="191" t="str">
        <f>VLOOKUP(MP_registro[[#This Row],[TAG]],'DB-EQUIPOS GEN'!$C$11:$H$833,5,0)</f>
        <v xml:space="preserve">TACHO CONTINUO C </v>
      </c>
      <c r="J1116" s="191" t="str">
        <f>VLOOKUP(MP_registro[[#This Row],[TAG]],'DB-EQUIPOS GEN'!$C$11:$H$833,6,0)</f>
        <v xml:space="preserve"> 0335HX260</v>
      </c>
      <c r="K1116" s="192">
        <v>44841</v>
      </c>
      <c r="L1116" s="193" t="s">
        <v>247</v>
      </c>
      <c r="M111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16" s="201"/>
      <c r="O1116" s="64" t="s">
        <v>1696</v>
      </c>
    </row>
    <row r="1117" spans="1:15" ht="33" customHeight="1">
      <c r="A1117" s="218">
        <v>1113</v>
      </c>
      <c r="B1117" s="239" t="s">
        <v>3050</v>
      </c>
      <c r="C1117" s="64" t="s">
        <v>3097</v>
      </c>
      <c r="D1117" s="191" t="s">
        <v>3062</v>
      </c>
      <c r="E1117" s="204" t="s">
        <v>1644</v>
      </c>
      <c r="F1117" s="191" t="str">
        <f>VLOOKUP(MP_registro[[#This Row],[TAG]],'DB-EQUIPOS GEN'!$C$11:$H$833,2,0)</f>
        <v>Explanada de Turbina Triveni</v>
      </c>
      <c r="G1117" s="191" t="str">
        <f>VLOOKUP(MP_registro[[#This Row],[TAG]],'DB-EQUIPOS GEN'!$C$11:$H$833,3,0)</f>
        <v>E. ELECTRICA</v>
      </c>
      <c r="H1117" s="191" t="str">
        <f>VLOOKUP(MP_registro[[#This Row],[TAG]],'DB-EQUIPOS GEN'!$C$11:$H$833,4,0)</f>
        <v>GENERACIÓN ENERG. ELEC. TURBO GENERADOR</v>
      </c>
      <c r="I1117" s="191" t="str">
        <f>VLOOKUP(MP_registro[[#This Row],[TAG]],'DB-EQUIPOS GEN'!$C$11:$H$833,5,0)</f>
        <v>TURBOGENERADOR TRIVENI 23.2 MW</v>
      </c>
      <c r="J1117" s="191" t="str">
        <f>VLOOKUP(MP_registro[[#This Row],[TAG]],'DB-EQUIPOS GEN'!$C$11:$H$833,6,0)</f>
        <v>0430TG020</v>
      </c>
      <c r="K1117" s="192">
        <v>44841</v>
      </c>
      <c r="L1117" s="193" t="s">
        <v>247</v>
      </c>
      <c r="M111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17" s="201"/>
      <c r="O1117" s="64" t="s">
        <v>1696</v>
      </c>
    </row>
    <row r="1118" spans="1:15" ht="33" customHeight="1">
      <c r="A1118" s="218">
        <v>1114</v>
      </c>
      <c r="B1118" s="239" t="s">
        <v>3050</v>
      </c>
      <c r="C1118" s="64" t="s">
        <v>3097</v>
      </c>
      <c r="D1118" s="191" t="s">
        <v>3063</v>
      </c>
      <c r="E1118" s="204" t="s">
        <v>1647</v>
      </c>
      <c r="F1118" s="191" t="str">
        <f>VLOOKUP(MP_registro[[#This Row],[TAG]],'DB-EQUIPOS GEN'!$C$11:$H$833,2,0)</f>
        <v>Explanada frontal de Turbina Triveni</v>
      </c>
      <c r="G1118" s="191" t="str">
        <f>VLOOKUP(MP_registro[[#This Row],[TAG]],'DB-EQUIPOS GEN'!$C$11:$H$833,3,0)</f>
        <v>E. ELECTRICA</v>
      </c>
      <c r="H1118" s="191" t="str">
        <f>VLOOKUP(MP_registro[[#This Row],[TAG]],'DB-EQUIPOS GEN'!$C$11:$H$833,4,0)</f>
        <v>GENERACIÓN ENERG. ELEC. TURBO GENERADOR</v>
      </c>
      <c r="I1118" s="191" t="str">
        <f>VLOOKUP(MP_registro[[#This Row],[TAG]],'DB-EQUIPOS GEN'!$C$11:$H$833,5,0)</f>
        <v>TURBOGENERADOR TRIVENI 23.2 MW</v>
      </c>
      <c r="J1118" s="191" t="str">
        <f>VLOOKUP(MP_registro[[#This Row],[TAG]],'DB-EQUIPOS GEN'!$C$11:$H$833,6,0)</f>
        <v>0430TG020</v>
      </c>
      <c r="K1118" s="192">
        <v>44841</v>
      </c>
      <c r="L1118" s="193" t="s">
        <v>247</v>
      </c>
      <c r="M111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18" s="201"/>
      <c r="O1118" s="64" t="s">
        <v>1696</v>
      </c>
    </row>
    <row r="1119" spans="1:15" ht="33" customHeight="1">
      <c r="A1119" s="218">
        <v>1115</v>
      </c>
      <c r="B1119" s="239" t="s">
        <v>3050</v>
      </c>
      <c r="C1119" s="64" t="s">
        <v>3097</v>
      </c>
      <c r="D1119" s="191" t="s">
        <v>3064</v>
      </c>
      <c r="E1119" s="204" t="s">
        <v>1649</v>
      </c>
      <c r="F1119" s="191" t="str">
        <f>VLOOKUP(MP_registro[[#This Row],[TAG]],'DB-EQUIPOS GEN'!$C$11:$H$833,2,0)</f>
        <v>Chute alimentadores de bagazo</v>
      </c>
      <c r="G1119" s="191" t="str">
        <f>VLOOKUP(MP_registro[[#This Row],[TAG]],'DB-EQUIPOS GEN'!$C$11:$H$833,3,0)</f>
        <v>E. TERMICA</v>
      </c>
      <c r="H1119" s="191" t="str">
        <f>VLOOKUP(MP_registro[[#This Row],[TAG]],'DB-EQUIPOS GEN'!$C$11:$H$833,4,0)</f>
        <v>TRANSPORTE DE BAGAZO</v>
      </c>
      <c r="I1119" s="191" t="str">
        <f>VLOOKUP(MP_registro[[#This Row],[TAG]],'DB-EQUIPOS GEN'!$C$11:$H$833,5,0)</f>
        <v>ALIMENTADOR DE BAGAZO 1</v>
      </c>
      <c r="J1119" s="191" t="str">
        <f>VLOOKUP(MP_registro[[#This Row],[TAG]],'DB-EQUIPOS GEN'!$C$11:$H$833,6,0)</f>
        <v>0405RV240</v>
      </c>
      <c r="K1119" s="192">
        <v>44842</v>
      </c>
      <c r="L1119" s="193" t="s">
        <v>247</v>
      </c>
      <c r="M111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19" s="201"/>
      <c r="O1119" s="64" t="s">
        <v>1696</v>
      </c>
    </row>
    <row r="1120" spans="1:15" ht="33" customHeight="1">
      <c r="A1120" s="218">
        <v>1116</v>
      </c>
      <c r="B1120" s="239" t="s">
        <v>3050</v>
      </c>
      <c r="C1120" s="64" t="s">
        <v>3097</v>
      </c>
      <c r="D1120" s="191" t="s">
        <v>3065</v>
      </c>
      <c r="E1120" s="204" t="s">
        <v>1179</v>
      </c>
      <c r="F1120" s="191" t="str">
        <f>VLOOKUP(MP_registro[[#This Row],[TAG]],'DB-EQUIPOS GEN'!$C$11:$H$833,2,0)</f>
        <v>Valvula control de nivel FFE - 5A</v>
      </c>
      <c r="G1120" s="191" t="str">
        <f>VLOOKUP(MP_registro[[#This Row],[TAG]],'DB-EQUIPOS GEN'!$C$11:$H$833,3,0)</f>
        <v>PRODUCCION</v>
      </c>
      <c r="H1120" s="191" t="str">
        <f>VLOOKUP(MP_registro[[#This Row],[TAG]],'DB-EQUIPOS GEN'!$C$11:$H$833,4,0)</f>
        <v>EVAPORACION DE JUGO</v>
      </c>
      <c r="I1120" s="191" t="str">
        <f>VLOOKUP(MP_registro[[#This Row],[TAG]],'DB-EQUIPOS GEN'!$C$11:$H$833,5,0)</f>
        <v>EVAPORADOR FFE 5A</v>
      </c>
      <c r="J1120" s="191" t="str">
        <f>VLOOKUP(MP_registro[[#This Row],[TAG]],'DB-EQUIPOS GEN'!$C$11:$H$833,6,0)</f>
        <v>0320EV060</v>
      </c>
      <c r="K1120" s="192">
        <v>44843</v>
      </c>
      <c r="L1120" s="193" t="s">
        <v>245</v>
      </c>
      <c r="M112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20" s="201"/>
      <c r="O1120" s="64" t="s">
        <v>1696</v>
      </c>
    </row>
    <row r="1121" spans="1:15" ht="33" customHeight="1">
      <c r="A1121" s="218">
        <v>1117</v>
      </c>
      <c r="B1121" s="239" t="s">
        <v>3050</v>
      </c>
      <c r="C1121" s="64" t="s">
        <v>3097</v>
      </c>
      <c r="D1121" s="191" t="s">
        <v>3066</v>
      </c>
      <c r="E1121" s="204" t="s">
        <v>1642</v>
      </c>
      <c r="F1121" s="191" t="str">
        <f>VLOOKUP(MP_registro[[#This Row],[TAG]],'DB-EQUIPOS GEN'!$C$11:$H$833,2,0)</f>
        <v>Salida de bagazo de molino secador</v>
      </c>
      <c r="G1121" s="191" t="str">
        <f>VLOOKUP(MP_registro[[#This Row],[TAG]],'DB-EQUIPOS GEN'!$C$11:$H$833,3,0)</f>
        <v>EXTRACCION</v>
      </c>
      <c r="H1121" s="191" t="str">
        <f>VLOOKUP(MP_registro[[#This Row],[TAG]],'DB-EQUIPOS GEN'!$C$11:$H$833,4,0)</f>
        <v>MOLINOS</v>
      </c>
      <c r="I1121" s="191" t="str">
        <f>VLOOKUP(MP_registro[[#This Row],[TAG]],'DB-EQUIPOS GEN'!$C$11:$H$833,5,0)</f>
        <v>MOLINO SECADOR</v>
      </c>
      <c r="J1121" s="191" t="str">
        <f>VLOOKUP(MP_registro[[#This Row],[TAG]],'DB-EQUIPOS GEN'!$C$11:$H$833,6,0)</f>
        <v>0210MM090</v>
      </c>
      <c r="K1121" s="192">
        <v>44843</v>
      </c>
      <c r="L1121" s="193" t="s">
        <v>245</v>
      </c>
      <c r="M112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21" s="201"/>
      <c r="O1121" s="64" t="s">
        <v>1696</v>
      </c>
    </row>
    <row r="1122" spans="1:15" ht="33" customHeight="1">
      <c r="A1122" s="218">
        <v>1118</v>
      </c>
      <c r="B1122" s="239" t="s">
        <v>3050</v>
      </c>
      <c r="C1122" s="64" t="s">
        <v>3097</v>
      </c>
      <c r="D1122" s="191" t="s">
        <v>3067</v>
      </c>
      <c r="E1122" s="204" t="s">
        <v>1657</v>
      </c>
      <c r="F1122" s="191" t="str">
        <f>VLOOKUP(MP_registro[[#This Row],[TAG]],'DB-EQUIPOS GEN'!$C$11:$H$833,2,0)</f>
        <v>Pug mill B, Cabezal C de centrifugas continuas</v>
      </c>
      <c r="G1122" s="191" t="str">
        <f>VLOOKUP(MP_registro[[#This Row],[TAG]],'DB-EQUIPOS GEN'!$C$11:$H$833,3,0)</f>
        <v>PRODUCCION</v>
      </c>
      <c r="H1122" s="191" t="str">
        <f>VLOOKUP(MP_registro[[#This Row],[TAG]],'DB-EQUIPOS GEN'!$C$11:$H$833,4,0)</f>
        <v>CENTRIFUGACIÓN DE AZÚCAR</v>
      </c>
      <c r="I1122" s="191" t="str">
        <f>VLOOKUP(MP_registro[[#This Row],[TAG]],'DB-EQUIPOS GEN'!$C$11:$H$833,5,0)</f>
        <v>PUG MILL - B</v>
      </c>
      <c r="J1122" s="191" t="str">
        <f>VLOOKUP(MP_registro[[#This Row],[TAG]],'DB-EQUIPOS GEN'!$C$11:$H$833,6,0)</f>
        <v>0345MM020</v>
      </c>
      <c r="K1122" s="192">
        <v>44843</v>
      </c>
      <c r="L1122" s="193" t="s">
        <v>245</v>
      </c>
      <c r="M1122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22" s="201"/>
      <c r="O1122" s="64" t="s">
        <v>1696</v>
      </c>
    </row>
    <row r="1123" spans="1:15" ht="33" customHeight="1">
      <c r="A1123" s="218">
        <v>1119</v>
      </c>
      <c r="B1123" s="239" t="s">
        <v>3050</v>
      </c>
      <c r="C1123" s="64" t="s">
        <v>3097</v>
      </c>
      <c r="D1123" s="191" t="s">
        <v>3068</v>
      </c>
      <c r="E1123" s="204" t="s">
        <v>1661</v>
      </c>
      <c r="F1123" s="191" t="str">
        <f>VLOOKUP(MP_registro[[#This Row],[TAG]],'DB-EQUIPOS GEN'!$C$11:$H$833,2,0)</f>
        <v xml:space="preserve">Faja de azucar seca a Silo </v>
      </c>
      <c r="G1123" s="191" t="str">
        <f>VLOOKUP(MP_registro[[#This Row],[TAG]],'DB-EQUIPOS GEN'!$C$11:$H$833,3,0)</f>
        <v>PRODUCCION</v>
      </c>
      <c r="H1123" s="191" t="str">
        <f>VLOOKUP(MP_registro[[#This Row],[TAG]],'DB-EQUIPOS GEN'!$C$11:$H$833,4,0)</f>
        <v>ENVASADO DE AZÚCAR RUBIA</v>
      </c>
      <c r="I1123" s="191" t="str">
        <f>VLOOKUP(MP_registro[[#This Row],[TAG]],'DB-EQUIPOS GEN'!$C$11:$H$833,5,0)</f>
        <v>SILO DE AZUCAR 1</v>
      </c>
      <c r="J1123" s="191" t="str">
        <f>VLOOKUP(MP_registro[[#This Row],[TAG]],'DB-EQUIPOS GEN'!$C$11:$H$833,6,0)</f>
        <v>0355BI090</v>
      </c>
      <c r="K1123" s="192">
        <v>44843</v>
      </c>
      <c r="L1123" s="193" t="s">
        <v>245</v>
      </c>
      <c r="M112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23" s="201"/>
      <c r="O1123" s="64" t="s">
        <v>1696</v>
      </c>
    </row>
    <row r="1124" spans="1:15" ht="33" customHeight="1">
      <c r="A1124" s="218">
        <v>1120</v>
      </c>
      <c r="B1124" s="239" t="s">
        <v>3050</v>
      </c>
      <c r="C1124" s="64" t="s">
        <v>3097</v>
      </c>
      <c r="D1124" s="191" t="s">
        <v>3069</v>
      </c>
      <c r="E1124" s="204" t="s">
        <v>276</v>
      </c>
      <c r="F1124" s="191" t="str">
        <f>VLOOKUP(MP_registro[[#This Row],[TAG]],'DB-EQUIPOS GEN'!$C$11:$H$833,2,0)</f>
        <v>PH de jugo encalado - Principal</v>
      </c>
      <c r="G1124" s="191" t="str">
        <f>VLOOKUP(MP_registro[[#This Row],[TAG]],'DB-EQUIPOS GEN'!$C$11:$H$833,3,0)</f>
        <v>PRODUCCION</v>
      </c>
      <c r="H1124" s="191" t="str">
        <f>VLOOKUP(MP_registro[[#This Row],[TAG]],'DB-EQUIPOS GEN'!$C$11:$H$833,4,0)</f>
        <v>CLARIFICACION DE JUGO</v>
      </c>
      <c r="I1124" s="191" t="str">
        <f>VLOOKUP(MP_registro[[#This Row],[TAG]],'DB-EQUIPOS GEN'!$C$11:$H$833,5,0)</f>
        <v xml:space="preserve">TANQUE DE JUGO COLADO </v>
      </c>
      <c r="J1124" s="191" t="str">
        <f>VLOOKUP(MP_registro[[#This Row],[TAG]],'DB-EQUIPOS GEN'!$C$11:$H$833,6,0)</f>
        <v xml:space="preserve"> 0305TK040</v>
      </c>
      <c r="K1124" s="192">
        <v>44844</v>
      </c>
      <c r="L1124" s="193" t="s">
        <v>247</v>
      </c>
      <c r="M112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24" s="201"/>
      <c r="O1124" s="64" t="s">
        <v>1696</v>
      </c>
    </row>
    <row r="1125" spans="1:15" ht="33" customHeight="1">
      <c r="A1125" s="218">
        <v>1121</v>
      </c>
      <c r="B1125" s="239" t="s">
        <v>3050</v>
      </c>
      <c r="C1125" s="64" t="s">
        <v>3097</v>
      </c>
      <c r="D1125" s="191" t="s">
        <v>3070</v>
      </c>
      <c r="E1125" s="204" t="s">
        <v>508</v>
      </c>
      <c r="F1125" s="191" t="str">
        <f>VLOOKUP(MP_registro[[#This Row],[TAG]],'DB-EQUIPOS GEN'!$C$11:$H$833,2,0)</f>
        <v>Presion de vapor de salida Evap.3</v>
      </c>
      <c r="G1125" s="191" t="str">
        <f>VLOOKUP(MP_registro[[#This Row],[TAG]],'DB-EQUIPOS GEN'!$C$11:$H$833,3,0)</f>
        <v>PRODUCCION</v>
      </c>
      <c r="H1125" s="191" t="str">
        <f>VLOOKUP(MP_registro[[#This Row],[TAG]],'DB-EQUIPOS GEN'!$C$11:$H$833,4,0)</f>
        <v>EVAPORACION DE JUGO</v>
      </c>
      <c r="I1125" s="191" t="str">
        <f>VLOOKUP(MP_registro[[#This Row],[TAG]],'DB-EQUIPOS GEN'!$C$11:$H$833,5,0)</f>
        <v>FFE 3</v>
      </c>
      <c r="J1125" s="191" t="str">
        <f>VLOOKUP(MP_registro[[#This Row],[TAG]],'DB-EQUIPOS GEN'!$C$11:$H$833,6,0)</f>
        <v xml:space="preserve"> 0320EV040</v>
      </c>
      <c r="K1125" s="192">
        <v>44844</v>
      </c>
      <c r="L1125" s="193" t="s">
        <v>247</v>
      </c>
      <c r="M1125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25" s="201"/>
      <c r="O1125" s="64" t="s">
        <v>1696</v>
      </c>
    </row>
    <row r="1126" spans="1:15" ht="33" customHeight="1">
      <c r="A1126" s="218">
        <v>1122</v>
      </c>
      <c r="B1126" s="239" t="s">
        <v>3050</v>
      </c>
      <c r="C1126" s="64" t="s">
        <v>3097</v>
      </c>
      <c r="D1126" s="191" t="s">
        <v>3071</v>
      </c>
      <c r="E1126" s="204" t="s">
        <v>510</v>
      </c>
      <c r="F1126" s="191" t="str">
        <f>VLOOKUP(MP_registro[[#This Row],[TAG]],'DB-EQUIPOS GEN'!$C$11:$H$833,2,0)</f>
        <v>Temperatura de jugo Evap.4A</v>
      </c>
      <c r="G1126" s="191" t="str">
        <f>VLOOKUP(MP_registro[[#This Row],[TAG]],'DB-EQUIPOS GEN'!$C$11:$H$833,3,0)</f>
        <v>PRODUCCION</v>
      </c>
      <c r="H1126" s="191" t="str">
        <f>VLOOKUP(MP_registro[[#This Row],[TAG]],'DB-EQUIPOS GEN'!$C$11:$H$833,4,0)</f>
        <v>EVAPORACION DE JUGO</v>
      </c>
      <c r="I1126" s="191" t="str">
        <f>VLOOKUP(MP_registro[[#This Row],[TAG]],'DB-EQUIPOS GEN'!$C$11:$H$833,5,0)</f>
        <v>FFE 4A</v>
      </c>
      <c r="J1126" s="191" t="str">
        <f>VLOOKUP(MP_registro[[#This Row],[TAG]],'DB-EQUIPOS GEN'!$C$11:$H$833,6,0)</f>
        <v xml:space="preserve"> 0320EV050</v>
      </c>
      <c r="K1126" s="192">
        <v>44844</v>
      </c>
      <c r="L1126" s="193" t="s">
        <v>245</v>
      </c>
      <c r="M112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26" s="201"/>
      <c r="O1126" s="64" t="s">
        <v>1696</v>
      </c>
    </row>
    <row r="1127" spans="1:15" ht="33" customHeight="1">
      <c r="A1127" s="218">
        <v>1123</v>
      </c>
      <c r="B1127" s="239" t="s">
        <v>3050</v>
      </c>
      <c r="C1127" s="64" t="s">
        <v>3097</v>
      </c>
      <c r="D1127" s="191" t="s">
        <v>3072</v>
      </c>
      <c r="E1127" s="204" t="s">
        <v>514</v>
      </c>
      <c r="F1127" s="191" t="str">
        <f>VLOOKUP(MP_registro[[#This Row],[TAG]],'DB-EQUIPOS GEN'!$C$11:$H$833,2,0)</f>
        <v>Temperatura del salida de vapor</v>
      </c>
      <c r="G1127" s="191" t="str">
        <f>VLOOKUP(MP_registro[[#This Row],[TAG]],'DB-EQUIPOS GEN'!$C$11:$H$833,3,0)</f>
        <v>PRODUCCION</v>
      </c>
      <c r="H1127" s="191" t="str">
        <f>VLOOKUP(MP_registro[[#This Row],[TAG]],'DB-EQUIPOS GEN'!$C$11:$H$833,4,0)</f>
        <v>EVAPORACION DE JUGO</v>
      </c>
      <c r="I1127" s="191" t="str">
        <f>VLOOKUP(MP_registro[[#This Row],[TAG]],'DB-EQUIPOS GEN'!$C$11:$H$833,5,0)</f>
        <v>FFE 4A</v>
      </c>
      <c r="J1127" s="191" t="str">
        <f>VLOOKUP(MP_registro[[#This Row],[TAG]],'DB-EQUIPOS GEN'!$C$11:$H$833,6,0)</f>
        <v xml:space="preserve"> 0320EV050</v>
      </c>
      <c r="K1127" s="192">
        <v>44844</v>
      </c>
      <c r="L1127" s="193" t="s">
        <v>245</v>
      </c>
      <c r="M112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27" s="201"/>
      <c r="O1127" s="64" t="s">
        <v>1696</v>
      </c>
    </row>
    <row r="1128" spans="1:15" ht="33" customHeight="1">
      <c r="A1128" s="218">
        <v>1124</v>
      </c>
      <c r="B1128" s="239" t="s">
        <v>3050</v>
      </c>
      <c r="C1128" s="64" t="s">
        <v>3097</v>
      </c>
      <c r="D1128" s="191" t="s">
        <v>3073</v>
      </c>
      <c r="E1128" s="204" t="s">
        <v>518</v>
      </c>
      <c r="F1128" s="191" t="str">
        <f>VLOOKUP(MP_registro[[#This Row],[TAG]],'DB-EQUIPOS GEN'!$C$11:$H$833,2,0)</f>
        <v>Temperatura de jugo Evap.5A</v>
      </c>
      <c r="G1128" s="191" t="str">
        <f>VLOOKUP(MP_registro[[#This Row],[TAG]],'DB-EQUIPOS GEN'!$C$11:$H$833,3,0)</f>
        <v>PRODUCCION</v>
      </c>
      <c r="H1128" s="191" t="str">
        <f>VLOOKUP(MP_registro[[#This Row],[TAG]],'DB-EQUIPOS GEN'!$C$11:$H$833,4,0)</f>
        <v>EVAPORACION DE JUGO</v>
      </c>
      <c r="I1128" s="191" t="str">
        <f>VLOOKUP(MP_registro[[#This Row],[TAG]],'DB-EQUIPOS GEN'!$C$11:$H$833,5,0)</f>
        <v>FFE 5A</v>
      </c>
      <c r="J1128" s="191" t="str">
        <f>VLOOKUP(MP_registro[[#This Row],[TAG]],'DB-EQUIPOS GEN'!$C$11:$H$833,6,0)</f>
        <v xml:space="preserve"> 0320EV060</v>
      </c>
      <c r="K1128" s="192">
        <v>44844</v>
      </c>
      <c r="L1128" s="193" t="s">
        <v>245</v>
      </c>
      <c r="M112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28" s="201"/>
      <c r="O1128" s="64" t="s">
        <v>1696</v>
      </c>
    </row>
    <row r="1129" spans="1:15" ht="33" customHeight="1">
      <c r="A1129" s="218">
        <v>1125</v>
      </c>
      <c r="B1129" s="239" t="s">
        <v>3050</v>
      </c>
      <c r="C1129" s="64" t="s">
        <v>3097</v>
      </c>
      <c r="D1129" s="191" t="s">
        <v>3074</v>
      </c>
      <c r="E1129" s="204" t="s">
        <v>2406</v>
      </c>
      <c r="F1129" s="191" t="str">
        <f>VLOOKUP(MP_registro[[#This Row],[TAG]],'DB-EQUIPOS GEN'!$C$11:$H$833,2,0)</f>
        <v>Vista Mesa de Caña - Descarga de Tetras</v>
      </c>
      <c r="G1129" s="191" t="str">
        <f>VLOOKUP(MP_registro[[#This Row],[TAG]],'DB-EQUIPOS GEN'!$C$11:$H$833,3,0)</f>
        <v>EXTRACCION</v>
      </c>
      <c r="H1129" s="191" t="str">
        <f>VLOOKUP(MP_registro[[#This Row],[TAG]],'DB-EQUIPOS GEN'!$C$11:$H$833,4,0)</f>
        <v>RECEPCIÓN DE CAÑA</v>
      </c>
      <c r="I1129" s="191" t="str">
        <f>VLOOKUP(MP_registro[[#This Row],[TAG]],'DB-EQUIPOS GEN'!$C$11:$H$833,5,0)</f>
        <v>MESA DE CAÑA</v>
      </c>
      <c r="J1129" s="191" t="str">
        <f>VLOOKUP(MP_registro[[#This Row],[TAG]],'DB-EQUIPOS GEN'!$C$11:$H$833,6,0)</f>
        <v>0110FE019</v>
      </c>
      <c r="K1129" s="192">
        <v>44844</v>
      </c>
      <c r="L1129" s="193" t="s">
        <v>245</v>
      </c>
      <c r="M112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29" s="201"/>
      <c r="O1129" s="64" t="s">
        <v>1696</v>
      </c>
    </row>
    <row r="1130" spans="1:15" ht="33" customHeight="1">
      <c r="A1130" s="218">
        <v>1126</v>
      </c>
      <c r="B1130" s="239" t="s">
        <v>3050</v>
      </c>
      <c r="C1130" s="64" t="s">
        <v>3097</v>
      </c>
      <c r="D1130" s="191" t="s">
        <v>3075</v>
      </c>
      <c r="E1130" s="204" t="s">
        <v>1640</v>
      </c>
      <c r="F1130" s="191" t="str">
        <f>VLOOKUP(MP_registro[[#This Row],[TAG]],'DB-EQUIPOS GEN'!$C$11:$H$833,2,0)</f>
        <v>Conductor de alimentación a difusor y retorno</v>
      </c>
      <c r="G1130" s="191" t="str">
        <f>VLOOKUP(MP_registro[[#This Row],[TAG]],'DB-EQUIPOS GEN'!$C$11:$H$833,3,0)</f>
        <v>EXTRACCION</v>
      </c>
      <c r="H1130" s="191" t="str">
        <f>VLOOKUP(MP_registro[[#This Row],[TAG]],'DB-EQUIPOS GEN'!$C$11:$H$833,4,0)</f>
        <v>PREPARACIÓN DE CAÑA</v>
      </c>
      <c r="I1130" s="191" t="str">
        <f>VLOOKUP(MP_registro[[#This Row],[TAG]],'DB-EQUIPOS GEN'!$C$11:$H$833,5,0)</f>
        <v>CONDUCTOR DE RETORNO</v>
      </c>
      <c r="J1130" s="191" t="str">
        <f>VLOOKUP(MP_registro[[#This Row],[TAG]],'DB-EQUIPOS GEN'!$C$11:$H$833,6,0)</f>
        <v>0115CV090</v>
      </c>
      <c r="K1130" s="192">
        <v>44844</v>
      </c>
      <c r="L1130" s="193" t="s">
        <v>245</v>
      </c>
      <c r="M113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30" s="201"/>
      <c r="O1130" s="64" t="s">
        <v>1696</v>
      </c>
    </row>
    <row r="1131" spans="1:15" ht="33" customHeight="1">
      <c r="A1131" s="218">
        <v>1127</v>
      </c>
      <c r="B1131" s="239" t="s">
        <v>3050</v>
      </c>
      <c r="C1131" s="64" t="s">
        <v>3097</v>
      </c>
      <c r="D1131" s="191" t="s">
        <v>3076</v>
      </c>
      <c r="E1131" s="204" t="s">
        <v>1645</v>
      </c>
      <c r="F1131" s="191" t="str">
        <f>VLOOKUP(MP_registro[[#This Row],[TAG]],'DB-EQUIPOS GEN'!$C$11:$H$833,2,0)</f>
        <v>Tamiz rotativo</v>
      </c>
      <c r="G1131" s="191" t="str">
        <f>VLOOKUP(MP_registro[[#This Row],[TAG]],'DB-EQUIPOS GEN'!$C$11:$H$833,3,0)</f>
        <v>EXTRACCION</v>
      </c>
      <c r="H1131" s="191" t="str">
        <f>VLOOKUP(MP_registro[[#This Row],[TAG]],'DB-EQUIPOS GEN'!$C$11:$H$833,4,0)</f>
        <v>DIFUSOR</v>
      </c>
      <c r="I1131" s="191" t="str">
        <f>VLOOKUP(MP_registro[[#This Row],[TAG]],'DB-EQUIPOS GEN'!$C$11:$H$833,5,0)</f>
        <v>TAMIZ ROTATIVO</v>
      </c>
      <c r="J1131" s="191" t="str">
        <f>VLOOKUP(MP_registro[[#This Row],[TAG]],'DB-EQUIPOS GEN'!$C$11:$H$833,6,0)</f>
        <v>0305FL010</v>
      </c>
      <c r="K1131" s="192">
        <v>44844</v>
      </c>
      <c r="L1131" s="193" t="s">
        <v>245</v>
      </c>
      <c r="M113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31" s="201"/>
      <c r="O1131" s="64" t="s">
        <v>1696</v>
      </c>
    </row>
    <row r="1132" spans="1:15" ht="33" customHeight="1">
      <c r="A1132" s="218">
        <v>1128</v>
      </c>
      <c r="B1132" s="239" t="s">
        <v>3050</v>
      </c>
      <c r="C1132" s="64" t="s">
        <v>3097</v>
      </c>
      <c r="D1132" s="191" t="s">
        <v>3077</v>
      </c>
      <c r="E1132" s="204" t="s">
        <v>1050</v>
      </c>
      <c r="F1132" s="191" t="str">
        <f>VLOOKUP(MP_registro[[#This Row],[TAG]],'DB-EQUIPOS GEN'!$C$11:$H$833,2,0)</f>
        <v>Condentracion de lechada de cal en tanque de mezclado</v>
      </c>
      <c r="G1132" s="191" t="str">
        <f>VLOOKUP(MP_registro[[#This Row],[TAG]],'DB-EQUIPOS GEN'!$C$11:$H$833,3,0)</f>
        <v>PRODUCCION</v>
      </c>
      <c r="H1132" s="191" t="str">
        <f>VLOOKUP(MP_registro[[#This Row],[TAG]],'DB-EQUIPOS GEN'!$C$11:$H$833,4,0)</f>
        <v>PLANTA DE CAL</v>
      </c>
      <c r="I1132" s="191" t="str">
        <f>VLOOKUP(MP_registro[[#This Row],[TAG]],'DB-EQUIPOS GEN'!$C$11:$H$833,5,0)</f>
        <v>TANQUE DE PREPARACION DE LECHADA DE CAL</v>
      </c>
      <c r="J1132" s="191" t="str">
        <f>VLOOKUP(MP_registro[[#This Row],[TAG]],'DB-EQUIPOS GEN'!$C$11:$H$833,6,0)</f>
        <v xml:space="preserve"> 0315TK040</v>
      </c>
      <c r="K1132" s="192">
        <v>44844</v>
      </c>
      <c r="L1132" s="193" t="s">
        <v>245</v>
      </c>
      <c r="M1132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32" s="201"/>
      <c r="O1132" s="64" t="s">
        <v>1696</v>
      </c>
    </row>
    <row r="1133" spans="1:15" ht="33" customHeight="1">
      <c r="A1133" s="218">
        <v>1129</v>
      </c>
      <c r="B1133" s="239" t="s">
        <v>3050</v>
      </c>
      <c r="C1133" s="64" t="s">
        <v>3097</v>
      </c>
      <c r="D1133" s="191" t="s">
        <v>3078</v>
      </c>
      <c r="E1133" s="204" t="s">
        <v>2416</v>
      </c>
      <c r="F1133" s="191" t="str">
        <f>VLOOKUP(MP_registro[[#This Row],[TAG]],'DB-EQUIPOS GEN'!$C$11:$H$833,2,0)</f>
        <v>Vista Conductor Auxiliar - Superior</v>
      </c>
      <c r="G1133" s="191" t="str">
        <f>VLOOKUP(MP_registro[[#This Row],[TAG]],'DB-EQUIPOS GEN'!$C$11:$H$833,3,0)</f>
        <v>EXTRACCION</v>
      </c>
      <c r="H1133" s="191" t="str">
        <f>VLOOKUP(MP_registro[[#This Row],[TAG]],'DB-EQUIPOS GEN'!$C$11:$H$833,4,0)</f>
        <v>PREPARACIÓN DE CAÑA</v>
      </c>
      <c r="I1133" s="191" t="str">
        <f>VLOOKUP(MP_registro[[#This Row],[TAG]],'DB-EQUIPOS GEN'!$C$11:$H$833,5,0)</f>
        <v>CONDUCTOR AUXILIAR DE CAÑA</v>
      </c>
      <c r="J1133" s="191" t="str">
        <f>VLOOKUP(MP_registro[[#This Row],[TAG]],'DB-EQUIPOS GEN'!$C$11:$H$833,6,0)</f>
        <v>0115CV010</v>
      </c>
      <c r="K1133" s="192">
        <v>44845</v>
      </c>
      <c r="L1133" s="193" t="s">
        <v>245</v>
      </c>
      <c r="M113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33" s="201"/>
      <c r="O1133" s="64" t="s">
        <v>1696</v>
      </c>
    </row>
    <row r="1134" spans="1:15" ht="33" customHeight="1">
      <c r="A1134" s="218">
        <v>1130</v>
      </c>
      <c r="B1134" s="239" t="s">
        <v>3050</v>
      </c>
      <c r="C1134" s="64" t="s">
        <v>3097</v>
      </c>
      <c r="D1134" s="191" t="s">
        <v>3079</v>
      </c>
      <c r="E1134" s="204" t="s">
        <v>2407</v>
      </c>
      <c r="F1134" s="191" t="str">
        <f>VLOOKUP(MP_registro[[#This Row],[TAG]],'DB-EQUIPOS GEN'!$C$11:$H$833,2,0)</f>
        <v>Vista Molino Secador - Conductor Intermedio</v>
      </c>
      <c r="G1134" s="191" t="str">
        <f>VLOOKUP(MP_registro[[#This Row],[TAG]],'DB-EQUIPOS GEN'!$C$11:$H$833,3,0)</f>
        <v>EXTRACCION</v>
      </c>
      <c r="H1134" s="191" t="str">
        <f>VLOOKUP(MP_registro[[#This Row],[TAG]],'DB-EQUIPOS GEN'!$C$11:$H$833,4,0)</f>
        <v>MOLINOS</v>
      </c>
      <c r="I1134" s="191" t="str">
        <f>VLOOKUP(MP_registro[[#This Row],[TAG]],'DB-EQUIPOS GEN'!$C$11:$H$833,5,0)</f>
        <v>CONDUCTOR INTERMEDIO - MOLINO SECADOR</v>
      </c>
      <c r="J1134" s="191" t="str">
        <f>VLOOKUP(MP_registro[[#This Row],[TAG]],'DB-EQUIPOS GEN'!$C$11:$H$833,6,0)</f>
        <v>0210CV070</v>
      </c>
      <c r="K1134" s="192">
        <v>44845</v>
      </c>
      <c r="L1134" s="193" t="s">
        <v>245</v>
      </c>
      <c r="M113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34" s="201"/>
      <c r="O1134" s="64" t="s">
        <v>1696</v>
      </c>
    </row>
    <row r="1135" spans="1:15" ht="33" customHeight="1">
      <c r="A1135" s="218">
        <v>1131</v>
      </c>
      <c r="B1135" s="239" t="s">
        <v>3050</v>
      </c>
      <c r="C1135" s="64" t="s">
        <v>3097</v>
      </c>
      <c r="D1135" s="191" t="s">
        <v>3080</v>
      </c>
      <c r="E1135" s="204" t="s">
        <v>1641</v>
      </c>
      <c r="F1135" s="191" t="str">
        <f>VLOOKUP(MP_registro[[#This Row],[TAG]],'DB-EQUIPOS GEN'!$C$11:$H$833,2,0)</f>
        <v>Mesa de caña</v>
      </c>
      <c r="G1135" s="191" t="str">
        <f>VLOOKUP(MP_registro[[#This Row],[TAG]],'DB-EQUIPOS GEN'!$C$11:$H$833,3,0)</f>
        <v>EXTRACCION</v>
      </c>
      <c r="H1135" s="191" t="str">
        <f>VLOOKUP(MP_registro[[#This Row],[TAG]],'DB-EQUIPOS GEN'!$C$11:$H$833,4,0)</f>
        <v>RECEPCIÓN DE CAÑA</v>
      </c>
      <c r="I1135" s="191" t="str">
        <f>VLOOKUP(MP_registro[[#This Row],[TAG]],'DB-EQUIPOS GEN'!$C$11:$H$833,5,0)</f>
        <v>MESA DE CAÑA</v>
      </c>
      <c r="J1135" s="191" t="str">
        <f>VLOOKUP(MP_registro[[#This Row],[TAG]],'DB-EQUIPOS GEN'!$C$11:$H$833,6,0)</f>
        <v>0110FE019</v>
      </c>
      <c r="K1135" s="192">
        <v>44845</v>
      </c>
      <c r="L1135" s="193" t="s">
        <v>245</v>
      </c>
      <c r="M113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35" s="201"/>
      <c r="O1135" s="64" t="s">
        <v>1696</v>
      </c>
    </row>
    <row r="1136" spans="1:15" ht="33" customHeight="1">
      <c r="A1136" s="218">
        <v>1132</v>
      </c>
      <c r="B1136" s="239" t="s">
        <v>3050</v>
      </c>
      <c r="C1136" s="64" t="s">
        <v>3097</v>
      </c>
      <c r="D1136" s="191" t="s">
        <v>3081</v>
      </c>
      <c r="E1136" s="204" t="s">
        <v>1646</v>
      </c>
      <c r="F1136" s="191" t="str">
        <f>VLOOKUP(MP_registro[[#This Row],[TAG]],'DB-EQUIPOS GEN'!$C$11:$H$833,2,0)</f>
        <v>Segundo nivel de Turbina TGM</v>
      </c>
      <c r="G1136" s="191" t="str">
        <f>VLOOKUP(MP_registro[[#This Row],[TAG]],'DB-EQUIPOS GEN'!$C$11:$H$833,3,0)</f>
        <v>E. ELECTRICA</v>
      </c>
      <c r="H1136" s="191" t="str">
        <f>VLOOKUP(MP_registro[[#This Row],[TAG]],'DB-EQUIPOS GEN'!$C$11:$H$833,4,0)</f>
        <v>SISTEMA DE ENFRIAMIENTO</v>
      </c>
      <c r="I1136" s="191" t="str">
        <f>VLOOKUP(MP_registro[[#This Row],[TAG]],'DB-EQUIPOS GEN'!$C$11:$H$833,5,0)</f>
        <v>TORRE DE ENFRIAMIENTO MARLEY - TG TGM</v>
      </c>
      <c r="J1136" s="191" t="str">
        <f>VLOOKUP(MP_registro[[#This Row],[TAG]],'DB-EQUIPOS GEN'!$C$11:$H$833,6,0)</f>
        <v>0430CT050</v>
      </c>
      <c r="K1136" s="192">
        <v>44845</v>
      </c>
      <c r="L1136" s="193" t="s">
        <v>247</v>
      </c>
      <c r="M113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36" s="201"/>
      <c r="O1136" s="64" t="s">
        <v>1696</v>
      </c>
    </row>
    <row r="1137" spans="1:15" ht="33" customHeight="1">
      <c r="A1137" s="218">
        <v>1133</v>
      </c>
      <c r="B1137" s="239" t="s">
        <v>3050</v>
      </c>
      <c r="C1137" s="64" t="s">
        <v>3097</v>
      </c>
      <c r="D1137" s="191" t="s">
        <v>3082</v>
      </c>
      <c r="E1137" s="204" t="s">
        <v>1656</v>
      </c>
      <c r="F1137" s="191" t="str">
        <f>VLOOKUP(MP_registro[[#This Row],[TAG]],'DB-EQUIPOS GEN'!$C$11:$H$833,2,0)</f>
        <v>Descarga de centrifugas continuas</v>
      </c>
      <c r="G1137" s="191" t="str">
        <f>VLOOKUP(MP_registro[[#This Row],[TAG]],'DB-EQUIPOS GEN'!$C$11:$H$833,3,0)</f>
        <v>PRODUCCION</v>
      </c>
      <c r="H1137" s="191" t="str">
        <f>VLOOKUP(MP_registro[[#This Row],[TAG]],'DB-EQUIPOS GEN'!$C$11:$H$833,4,0)</f>
        <v>CENTRIFUGACIÓN DE AZÚCAR</v>
      </c>
      <c r="I1137" s="191" t="str">
        <f>VLOOKUP(MP_registro[[#This Row],[TAG]],'DB-EQUIPOS GEN'!$C$11:$H$833,5,0)</f>
        <v>CENTRIFUGA CONTINUA 1 - C (FRANCIA)</v>
      </c>
      <c r="J1137" s="191" t="str">
        <f>VLOOKUP(MP_registro[[#This Row],[TAG]],'DB-EQUIPOS GEN'!$C$11:$H$833,6,0)</f>
        <v>0345SQ160</v>
      </c>
      <c r="K1137" s="192">
        <v>44845</v>
      </c>
      <c r="L1137" s="193" t="s">
        <v>245</v>
      </c>
      <c r="M113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37" s="201"/>
      <c r="O1137" s="64" t="s">
        <v>1696</v>
      </c>
    </row>
    <row r="1138" spans="1:15" ht="33" customHeight="1">
      <c r="A1138" s="218">
        <v>1134</v>
      </c>
      <c r="B1138" s="239" t="s">
        <v>3050</v>
      </c>
      <c r="C1138" s="64" t="s">
        <v>3097</v>
      </c>
      <c r="D1138" s="191" t="s">
        <v>3083</v>
      </c>
      <c r="E1138" s="204" t="s">
        <v>1658</v>
      </c>
      <c r="F1138" s="191" t="str">
        <f>VLOOKUP(MP_registro[[#This Row],[TAG]],'DB-EQUIPOS GEN'!$C$11:$H$833,2,0)</f>
        <v>Pug mill A - Centrifugas batch</v>
      </c>
      <c r="G1138" s="191" t="str">
        <f>VLOOKUP(MP_registro[[#This Row],[TAG]],'DB-EQUIPOS GEN'!$C$11:$H$833,3,0)</f>
        <v>PRODUCCION</v>
      </c>
      <c r="H1138" s="191" t="str">
        <f>VLOOKUP(MP_registro[[#This Row],[TAG]],'DB-EQUIPOS GEN'!$C$11:$H$833,4,0)</f>
        <v>CENTRIFUGACIÓN DE AZÚCAR</v>
      </c>
      <c r="I1138" s="191" t="str">
        <f>VLOOKUP(MP_registro[[#This Row],[TAG]],'DB-EQUIPOS GEN'!$C$11:$H$833,5,0)</f>
        <v>PUG MILL - A</v>
      </c>
      <c r="J1138" s="191" t="str">
        <f>VLOOKUP(MP_registro[[#This Row],[TAG]],'DB-EQUIPOS GEN'!$C$11:$H$833,6,0)</f>
        <v>0345MM010</v>
      </c>
      <c r="K1138" s="192">
        <v>44845</v>
      </c>
      <c r="L1138" s="193" t="s">
        <v>245</v>
      </c>
      <c r="M113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38" s="201"/>
      <c r="O1138" s="64" t="s">
        <v>1696</v>
      </c>
    </row>
    <row r="1139" spans="1:15" ht="33" customHeight="1">
      <c r="A1139" s="218">
        <v>1135</v>
      </c>
      <c r="B1139" s="239" t="s">
        <v>3050</v>
      </c>
      <c r="C1139" s="64" t="s">
        <v>3097</v>
      </c>
      <c r="D1139" s="191" t="s">
        <v>3084</v>
      </c>
      <c r="E1139" s="204" t="s">
        <v>1659</v>
      </c>
      <c r="F1139" s="191" t="str">
        <f>VLOOKUP(MP_registro[[#This Row],[TAG]],'DB-EQUIPOS GEN'!$C$11:$H$833,2,0)</f>
        <v>Vista global de tanques de jarabe 1,2 y 3</v>
      </c>
      <c r="G1139" s="191" t="str">
        <f>VLOOKUP(MP_registro[[#This Row],[TAG]],'DB-EQUIPOS GEN'!$C$11:$H$833,3,0)</f>
        <v>PRODUCCION</v>
      </c>
      <c r="H1139" s="191" t="str">
        <f>VLOOKUP(MP_registro[[#This Row],[TAG]],'DB-EQUIPOS GEN'!$C$11:$H$833,4,0)</f>
        <v>CRISTALIZACIÓN POR COCCIÓN</v>
      </c>
      <c r="I1139" s="191" t="str">
        <f>VLOOKUP(MP_registro[[#This Row],[TAG]],'DB-EQUIPOS GEN'!$C$11:$H$833,5,0)</f>
        <v>TANQUE DE JARABE 1</v>
      </c>
      <c r="J1139" s="191" t="str">
        <f>VLOOKUP(MP_registro[[#This Row],[TAG]],'DB-EQUIPOS GEN'!$C$11:$H$833,6,0)</f>
        <v>0335TK010</v>
      </c>
      <c r="K1139" s="192">
        <v>44845</v>
      </c>
      <c r="L1139" s="193" t="s">
        <v>245</v>
      </c>
      <c r="M113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39" s="201"/>
      <c r="O1139" s="64" t="s">
        <v>1696</v>
      </c>
    </row>
    <row r="1140" spans="1:15" ht="33" customHeight="1">
      <c r="A1140" s="218">
        <v>1136</v>
      </c>
      <c r="B1140" s="239" t="s">
        <v>3050</v>
      </c>
      <c r="C1140" s="64" t="s">
        <v>3097</v>
      </c>
      <c r="D1140" s="191" t="s">
        <v>3085</v>
      </c>
      <c r="E1140" s="204" t="s">
        <v>1660</v>
      </c>
      <c r="F1140" s="191" t="str">
        <f>VLOOKUP(MP_registro[[#This Row],[TAG]],'DB-EQUIPOS GEN'!$C$11:$H$833,2,0)</f>
        <v>Vista global de tacho continuo A.</v>
      </c>
      <c r="G1140" s="191" t="str">
        <f>VLOOKUP(MP_registro[[#This Row],[TAG]],'DB-EQUIPOS GEN'!$C$11:$H$833,3,0)</f>
        <v>PRODUCCION</v>
      </c>
      <c r="H1140" s="191" t="str">
        <f>VLOOKUP(MP_registro[[#This Row],[TAG]],'DB-EQUIPOS GEN'!$C$11:$H$833,4,0)</f>
        <v>CRISTALIZACIÓN POR COCCIÓN</v>
      </c>
      <c r="I1140" s="191" t="str">
        <f>VLOOKUP(MP_registro[[#This Row],[TAG]],'DB-EQUIPOS GEN'!$C$11:$H$833,5,0)</f>
        <v>TACHO CONTINUO - A</v>
      </c>
      <c r="J1140" s="191" t="str">
        <f>VLOOKUP(MP_registro[[#This Row],[TAG]],'DB-EQUIPOS GEN'!$C$11:$H$833,6,0)</f>
        <v>0335HX200</v>
      </c>
      <c r="K1140" s="192">
        <v>44845</v>
      </c>
      <c r="L1140" s="193" t="s">
        <v>247</v>
      </c>
      <c r="M1140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40" s="201"/>
      <c r="O1140" s="64" t="s">
        <v>1696</v>
      </c>
    </row>
    <row r="1141" spans="1:15" ht="33" customHeight="1">
      <c r="A1141" s="218">
        <v>1137</v>
      </c>
      <c r="B1141" s="239" t="s">
        <v>3050</v>
      </c>
      <c r="C1141" s="64" t="s">
        <v>3097</v>
      </c>
      <c r="D1141" s="191" t="s">
        <v>3086</v>
      </c>
      <c r="E1141" s="204" t="s">
        <v>1652</v>
      </c>
      <c r="F1141" s="191" t="str">
        <f>VLOOKUP(MP_registro[[#This Row],[TAG]],'DB-EQUIPOS GEN'!$C$11:$H$833,2,0)</f>
        <v>Faja 1006A - Patio de Bagazo</v>
      </c>
      <c r="G1141" s="191" t="str">
        <f>VLOOKUP(MP_registro[[#This Row],[TAG]],'DB-EQUIPOS GEN'!$C$11:$H$833,3,0)</f>
        <v>E. TERMICA</v>
      </c>
      <c r="H1141" s="191" t="str">
        <f>VLOOKUP(MP_registro[[#This Row],[TAG]],'DB-EQUIPOS GEN'!$C$11:$H$833,4,0)</f>
        <v>TRANSPORTE DE BAGAZO</v>
      </c>
      <c r="I1141" s="191" t="str">
        <f>VLOOKUP(MP_registro[[#This Row],[TAG]],'DB-EQUIPOS GEN'!$C$11:$H$833,5,0)</f>
        <v>FAJA TRANSPORTADORA 1006 A</v>
      </c>
      <c r="J1141" s="191" t="str">
        <f>VLOOKUP(MP_registro[[#This Row],[TAG]],'DB-EQUIPOS GEN'!$C$11:$H$833,6,0)</f>
        <v>0805CV080</v>
      </c>
      <c r="K1141" s="192">
        <v>44845</v>
      </c>
      <c r="L1141" s="193" t="s">
        <v>247</v>
      </c>
      <c r="M114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41" s="201"/>
      <c r="O1141" s="64" t="s">
        <v>1696</v>
      </c>
    </row>
    <row r="1142" spans="1:15" ht="33" customHeight="1">
      <c r="A1142" s="218">
        <v>1138</v>
      </c>
      <c r="B1142" s="239" t="s">
        <v>3050</v>
      </c>
      <c r="C1142" s="64" t="s">
        <v>3097</v>
      </c>
      <c r="D1142" s="191" t="s">
        <v>3087</v>
      </c>
      <c r="E1142" s="204" t="s">
        <v>1655</v>
      </c>
      <c r="F1142" s="191" t="str">
        <f>VLOOKUP(MP_registro[[#This Row],[TAG]],'DB-EQUIPOS GEN'!$C$11:$H$833,2,0)</f>
        <v>Vista global de planta de osmosis</v>
      </c>
      <c r="G1142" s="191" t="str">
        <f>VLOOKUP(MP_registro[[#This Row],[TAG]],'DB-EQUIPOS GEN'!$C$11:$H$833,3,0)</f>
        <v>E. TERMICA</v>
      </c>
      <c r="H1142" s="191" t="str">
        <f>VLOOKUP(MP_registro[[#This Row],[TAG]],'DB-EQUIPOS GEN'!$C$11:$H$833,4,0)</f>
        <v>PLANTA TRATAMIENTO OSMOSIS INVERSA</v>
      </c>
      <c r="I1142" s="191" t="str">
        <f>VLOOKUP(MP_registro[[#This Row],[TAG]],'DB-EQUIPOS GEN'!$C$11:$H$833,5,0)</f>
        <v>PLANTA DE OSMOSIS INVERSA</v>
      </c>
      <c r="J1142" s="191" t="str">
        <f>VLOOKUP(MP_registro[[#This Row],[TAG]],'DB-EQUIPOS GEN'!$C$11:$H$833,6,0)</f>
        <v>0425OI101</v>
      </c>
      <c r="K1142" s="192">
        <v>44845</v>
      </c>
      <c r="L1142" s="193" t="s">
        <v>247</v>
      </c>
      <c r="M114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42" s="201"/>
      <c r="O1142" s="64" t="s">
        <v>1696</v>
      </c>
    </row>
    <row r="1143" spans="1:15" ht="33" customHeight="1">
      <c r="A1143" s="218">
        <v>1139</v>
      </c>
      <c r="B1143" s="239" t="s">
        <v>3050</v>
      </c>
      <c r="C1143" s="64" t="s">
        <v>3097</v>
      </c>
      <c r="D1143" s="191" t="s">
        <v>3088</v>
      </c>
      <c r="E1143" s="204" t="s">
        <v>1052</v>
      </c>
      <c r="F1143" s="191" t="str">
        <f>VLOOKUP(MP_registro[[#This Row],[TAG]],'DB-EQUIPOS GEN'!$C$11:$H$833,2,0)</f>
        <v>Condentracion de lechada de cal en tanque de almacenamiento #1</v>
      </c>
      <c r="G1143" s="191" t="str">
        <f>VLOOKUP(MP_registro[[#This Row],[TAG]],'DB-EQUIPOS GEN'!$C$11:$H$833,3,0)</f>
        <v>PRODUCCION</v>
      </c>
      <c r="H1143" s="191" t="str">
        <f>VLOOKUP(MP_registro[[#This Row],[TAG]],'DB-EQUIPOS GEN'!$C$11:$H$833,4,0)</f>
        <v>PLANTA DE CAL</v>
      </c>
      <c r="I1143" s="191" t="str">
        <f>VLOOKUP(MP_registro[[#This Row],[TAG]],'DB-EQUIPOS GEN'!$C$11:$H$833,5,0)</f>
        <v>TANQUE DE PREPARACION DE LECHADA DE CAL</v>
      </c>
      <c r="J1143" s="191" t="str">
        <f>VLOOKUP(MP_registro[[#This Row],[TAG]],'DB-EQUIPOS GEN'!$C$11:$H$833,6,0)</f>
        <v xml:space="preserve"> 0315TK040</v>
      </c>
      <c r="K1143" s="192">
        <v>44845</v>
      </c>
      <c r="L1143" s="193" t="s">
        <v>245</v>
      </c>
      <c r="M114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43" s="201"/>
      <c r="O1143" s="64" t="s">
        <v>1696</v>
      </c>
    </row>
    <row r="1144" spans="1:15" ht="33" customHeight="1">
      <c r="A1144" s="218">
        <v>1140</v>
      </c>
      <c r="B1144" s="239" t="s">
        <v>3050</v>
      </c>
      <c r="C1144" s="64" t="s">
        <v>3097</v>
      </c>
      <c r="D1144" s="191" t="s">
        <v>3089</v>
      </c>
      <c r="E1144" s="204" t="s">
        <v>516</v>
      </c>
      <c r="F1144" s="191" t="str">
        <f>VLOOKUP(MP_registro[[#This Row],[TAG]],'DB-EQUIPOS GEN'!$C$11:$H$833,2,0)</f>
        <v>Presion de vapor de salida Evap.4A</v>
      </c>
      <c r="G1144" s="191" t="str">
        <f>VLOOKUP(MP_registro[[#This Row],[TAG]],'DB-EQUIPOS GEN'!$C$11:$H$833,3,0)</f>
        <v>PRODUCCION</v>
      </c>
      <c r="H1144" s="191" t="str">
        <f>VLOOKUP(MP_registro[[#This Row],[TAG]],'DB-EQUIPOS GEN'!$C$11:$H$833,4,0)</f>
        <v>EVAPORACION DE JUGO</v>
      </c>
      <c r="I1144" s="191" t="str">
        <f>VLOOKUP(MP_registro[[#This Row],[TAG]],'DB-EQUIPOS GEN'!$C$11:$H$833,5,0)</f>
        <v>FFE 4A</v>
      </c>
      <c r="J1144" s="191" t="str">
        <f>VLOOKUP(MP_registro[[#This Row],[TAG]],'DB-EQUIPOS GEN'!$C$11:$H$833,6,0)</f>
        <v xml:space="preserve"> 0320EV050</v>
      </c>
      <c r="K1144" s="192">
        <v>44846</v>
      </c>
      <c r="L1144" s="193" t="s">
        <v>245</v>
      </c>
      <c r="M114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44" s="201"/>
      <c r="O1144" s="64" t="s">
        <v>1696</v>
      </c>
    </row>
    <row r="1145" spans="1:15" ht="33" customHeight="1">
      <c r="A1145" s="218">
        <v>1141</v>
      </c>
      <c r="B1145" s="239" t="s">
        <v>3050</v>
      </c>
      <c r="C1145" s="64" t="s">
        <v>3097</v>
      </c>
      <c r="D1145" s="191" t="s">
        <v>3090</v>
      </c>
      <c r="E1145" s="204" t="s">
        <v>524</v>
      </c>
      <c r="F1145" s="191" t="str">
        <f>VLOOKUP(MP_registro[[#This Row],[TAG]],'DB-EQUIPOS GEN'!$C$11:$H$833,2,0)</f>
        <v>Presion de vapor de salida Evap.5A</v>
      </c>
      <c r="G1145" s="191" t="str">
        <f>VLOOKUP(MP_registro[[#This Row],[TAG]],'DB-EQUIPOS GEN'!$C$11:$H$833,3,0)</f>
        <v>PRODUCCION</v>
      </c>
      <c r="H1145" s="191" t="str">
        <f>VLOOKUP(MP_registro[[#This Row],[TAG]],'DB-EQUIPOS GEN'!$C$11:$H$833,4,0)</f>
        <v>EVAPORACION DE JUGO</v>
      </c>
      <c r="I1145" s="191" t="str">
        <f>VLOOKUP(MP_registro[[#This Row],[TAG]],'DB-EQUIPOS GEN'!$C$11:$H$833,5,0)</f>
        <v>FFE 5A</v>
      </c>
      <c r="J1145" s="191" t="str">
        <f>VLOOKUP(MP_registro[[#This Row],[TAG]],'DB-EQUIPOS GEN'!$C$11:$H$833,6,0)</f>
        <v xml:space="preserve"> 0320EV060</v>
      </c>
      <c r="K1145" s="192">
        <v>44846</v>
      </c>
      <c r="L1145" s="193" t="s">
        <v>245</v>
      </c>
      <c r="M114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45" s="201"/>
      <c r="O1145" s="64" t="s">
        <v>1696</v>
      </c>
    </row>
    <row r="1146" spans="1:15" ht="33" customHeight="1">
      <c r="A1146" s="218">
        <v>1142</v>
      </c>
      <c r="B1146" s="239" t="s">
        <v>3050</v>
      </c>
      <c r="C1146" s="64" t="s">
        <v>3097</v>
      </c>
      <c r="D1146" s="191" t="s">
        <v>3091</v>
      </c>
      <c r="E1146" s="204" t="s">
        <v>803</v>
      </c>
      <c r="F1146" s="191" t="str">
        <f>VLOOKUP(MP_registro[[#This Row],[TAG]],'DB-EQUIPOS GEN'!$C$11:$H$833,2,0)</f>
        <v>Peso de azucar balanza B - Silo 2</v>
      </c>
      <c r="G1146" s="191" t="str">
        <f>VLOOKUP(MP_registro[[#This Row],[TAG]],'DB-EQUIPOS GEN'!$C$11:$H$833,3,0)</f>
        <v>PRODUCCION</v>
      </c>
      <c r="H1146" s="191" t="str">
        <f>VLOOKUP(MP_registro[[#This Row],[TAG]],'DB-EQUIPOS GEN'!$C$11:$H$833,4,0)</f>
        <v>ENVASADO DE AZUCAR RUBIA</v>
      </c>
      <c r="I1146" s="191" t="str">
        <f>VLOOKUP(MP_registro[[#This Row],[TAG]],'DB-EQUIPOS GEN'!$C$11:$H$833,5,0)</f>
        <v>SILO 2</v>
      </c>
      <c r="J1146" s="191" t="str">
        <f>VLOOKUP(MP_registro[[#This Row],[TAG]],'DB-EQUIPOS GEN'!$C$11:$H$833,6,0)</f>
        <v>0355BI100</v>
      </c>
      <c r="K1146" s="192">
        <v>44846</v>
      </c>
      <c r="L1146" s="193" t="s">
        <v>245</v>
      </c>
      <c r="M114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46" s="201"/>
      <c r="O1146" s="64" t="s">
        <v>1696</v>
      </c>
    </row>
    <row r="1147" spans="1:15" ht="33" customHeight="1">
      <c r="A1147" s="218">
        <v>1143</v>
      </c>
      <c r="B1147" s="239" t="s">
        <v>3050</v>
      </c>
      <c r="C1147" s="64" t="s">
        <v>3097</v>
      </c>
      <c r="D1147" s="191" t="s">
        <v>3092</v>
      </c>
      <c r="E1147" s="204" t="s">
        <v>254</v>
      </c>
      <c r="F1147" s="191" t="str">
        <f>VLOOKUP(MP_registro[[#This Row],[TAG]],'DB-EQUIPOS GEN'!$C$11:$H$833,2,0)</f>
        <v>Tablero de periferia en Asset Caldera</v>
      </c>
      <c r="G1147" s="191" t="str">
        <f>VLOOKUP(MP_registro[[#This Row],[TAG]],'DB-EQUIPOS GEN'!$C$11:$H$833,3,0)</f>
        <v>E. TERMICA</v>
      </c>
      <c r="H1147" s="191" t="str">
        <f>VLOOKUP(MP_registro[[#This Row],[TAG]],'DB-EQUIPOS GEN'!$C$11:$H$833,4,0)</f>
        <v>GENERACION DE VAPOR</v>
      </c>
      <c r="I1147" s="191" t="str">
        <f>VLOOKUP(MP_registro[[#This Row],[TAG]],'DB-EQUIPOS GEN'!$C$11:$H$833,5,0)</f>
        <v>CALDERA</v>
      </c>
      <c r="J1147" s="191" t="str">
        <f>VLOOKUP(MP_registro[[#This Row],[TAG]],'DB-EQUIPOS GEN'!$C$11:$H$833,6,0)</f>
        <v>0405BR010</v>
      </c>
      <c r="K1147" s="192">
        <v>44846</v>
      </c>
      <c r="L1147" s="193" t="s">
        <v>248</v>
      </c>
      <c r="M1147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147" s="201"/>
      <c r="O1147" s="64" t="s">
        <v>1696</v>
      </c>
    </row>
    <row r="1148" spans="1:15" ht="33" customHeight="1">
      <c r="A1148" s="218">
        <v>1144</v>
      </c>
      <c r="B1148" s="239" t="s">
        <v>3050</v>
      </c>
      <c r="C1148" s="64" t="s">
        <v>3097</v>
      </c>
      <c r="D1148" s="191" t="s">
        <v>3093</v>
      </c>
      <c r="E1148" s="204" t="s">
        <v>1643</v>
      </c>
      <c r="F1148" s="191" t="str">
        <f>VLOOKUP(MP_registro[[#This Row],[TAG]],'DB-EQUIPOS GEN'!$C$11:$H$833,2,0)</f>
        <v>Nivelador de cama de bagazo en difusor</v>
      </c>
      <c r="G1148" s="191" t="str">
        <f>VLOOKUP(MP_registro[[#This Row],[TAG]],'DB-EQUIPOS GEN'!$C$11:$H$833,3,0)</f>
        <v>EXTRACCION</v>
      </c>
      <c r="H1148" s="191" t="str">
        <f>VLOOKUP(MP_registro[[#This Row],[TAG]],'DB-EQUIPOS GEN'!$C$11:$H$833,4,0)</f>
        <v>DIFUSOR</v>
      </c>
      <c r="I1148" s="191" t="str">
        <f>VLOOKUP(MP_registro[[#This Row],[TAG]],'DB-EQUIPOS GEN'!$C$11:$H$833,5,0)</f>
        <v>CONDUCTOR TRANSVERSAL</v>
      </c>
      <c r="J1148" s="191" t="str">
        <f>VLOOKUP(MP_registro[[#This Row],[TAG]],'DB-EQUIPOS GEN'!$C$11:$H$833,6,0)</f>
        <v>0205CV190</v>
      </c>
      <c r="K1148" s="192">
        <v>44846</v>
      </c>
      <c r="L1148" s="193" t="s">
        <v>245</v>
      </c>
      <c r="M114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148" s="201"/>
      <c r="O1148" s="64" t="s">
        <v>1696</v>
      </c>
    </row>
    <row r="1149" spans="1:15" ht="33" customHeight="1">
      <c r="A1149" s="218">
        <v>1145</v>
      </c>
      <c r="B1149" s="239" t="s">
        <v>3050</v>
      </c>
      <c r="C1149" s="64" t="s">
        <v>3097</v>
      </c>
      <c r="D1149" s="191" t="s">
        <v>3094</v>
      </c>
      <c r="E1149" s="204" t="s">
        <v>1648</v>
      </c>
      <c r="F1149" s="191" t="str">
        <f>VLOOKUP(MP_registro[[#This Row],[TAG]],'DB-EQUIPOS GEN'!$C$11:$H$833,2,0)</f>
        <v>Nivel de agua en domo</v>
      </c>
      <c r="G1149" s="191" t="str">
        <f>VLOOKUP(MP_registro[[#This Row],[TAG]],'DB-EQUIPOS GEN'!$C$11:$H$833,3,0)</f>
        <v>E. TERMICA</v>
      </c>
      <c r="H1149" s="191" t="str">
        <f>VLOOKUP(MP_registro[[#This Row],[TAG]],'DB-EQUIPOS GEN'!$C$11:$H$833,4,0)</f>
        <v>GENERACIÓN DE VAPOR</v>
      </c>
      <c r="I1149" s="191" t="str">
        <f>VLOOKUP(MP_registro[[#This Row],[TAG]],'DB-EQUIPOS GEN'!$C$11:$H$833,5,0)</f>
        <v>DOMO SUPERIOR</v>
      </c>
      <c r="J1149" s="191" t="str">
        <f>VLOOKUP(MP_registro[[#This Row],[TAG]],'DB-EQUIPOS GEN'!$C$11:$H$833,6,0)</f>
        <v>0405DO020</v>
      </c>
      <c r="K1149" s="192">
        <v>44846</v>
      </c>
      <c r="L1149" s="193" t="s">
        <v>247</v>
      </c>
      <c r="M114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49" s="201"/>
      <c r="O1149" s="64" t="s">
        <v>1696</v>
      </c>
    </row>
    <row r="1150" spans="1:15" ht="33" customHeight="1">
      <c r="A1150" s="218">
        <v>1146</v>
      </c>
      <c r="B1150" s="239" t="s">
        <v>3050</v>
      </c>
      <c r="C1150" s="64" t="s">
        <v>3097</v>
      </c>
      <c r="D1150" s="191" t="s">
        <v>3095</v>
      </c>
      <c r="E1150" s="204" t="s">
        <v>1650</v>
      </c>
      <c r="F1150" s="191" t="str">
        <f>VLOOKUP(MP_registro[[#This Row],[TAG]],'DB-EQUIPOS GEN'!$C$11:$H$833,2,0)</f>
        <v>Faja 1003 - Conductor distribuidor de bagazo</v>
      </c>
      <c r="G1150" s="191" t="str">
        <f>VLOOKUP(MP_registro[[#This Row],[TAG]],'DB-EQUIPOS GEN'!$C$11:$H$833,3,0)</f>
        <v>E. TERMICA</v>
      </c>
      <c r="H1150" s="191" t="str">
        <f>VLOOKUP(MP_registro[[#This Row],[TAG]],'DB-EQUIPOS GEN'!$C$11:$H$833,4,0)</f>
        <v>TRANSPORTE DE BAGAZO</v>
      </c>
      <c r="I1150" s="191" t="str">
        <f>VLOOKUP(MP_registro[[#This Row],[TAG]],'DB-EQUIPOS GEN'!$C$11:$H$833,5,0)</f>
        <v>TRANSPORTADOR DE BAGAZO 1003</v>
      </c>
      <c r="J1150" s="191" t="str">
        <f>VLOOKUP(MP_registro[[#This Row],[TAG]],'DB-EQUIPOS GEN'!$C$11:$H$833,6,0)</f>
        <v>0805CV060</v>
      </c>
      <c r="K1150" s="192">
        <v>44846</v>
      </c>
      <c r="L1150" s="193" t="s">
        <v>247</v>
      </c>
      <c r="M1150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50" s="201"/>
      <c r="O1150" s="64" t="s">
        <v>1696</v>
      </c>
    </row>
    <row r="1151" spans="1:15" ht="33" customHeight="1">
      <c r="A1151" s="218">
        <v>1147</v>
      </c>
      <c r="B1151" s="239" t="s">
        <v>3050</v>
      </c>
      <c r="C1151" s="64" t="s">
        <v>3097</v>
      </c>
      <c r="D1151" s="191" t="s">
        <v>3096</v>
      </c>
      <c r="E1151" s="204" t="s">
        <v>1651</v>
      </c>
      <c r="F1151" s="191" t="str">
        <f>VLOOKUP(MP_registro[[#This Row],[TAG]],'DB-EQUIPOS GEN'!$C$11:$H$833,2,0)</f>
        <v>Faja 1008 - Tolva de retorno de bagazo</v>
      </c>
      <c r="G1151" s="191" t="str">
        <f>VLOOKUP(MP_registro[[#This Row],[TAG]],'DB-EQUIPOS GEN'!$C$11:$H$833,3,0)</f>
        <v>E. TERMICA</v>
      </c>
      <c r="H1151" s="191" t="str">
        <f>VLOOKUP(MP_registro[[#This Row],[TAG]],'DB-EQUIPOS GEN'!$C$11:$H$833,4,0)</f>
        <v>TRANSPORTE DE BAGAZO</v>
      </c>
      <c r="I1151" s="191" t="str">
        <f>VLOOKUP(MP_registro[[#This Row],[TAG]],'DB-EQUIPOS GEN'!$C$11:$H$833,5,0)</f>
        <v>FAJA TRANSPORTADORA 1008</v>
      </c>
      <c r="J1151" s="191" t="str">
        <f>VLOOKUP(MP_registro[[#This Row],[TAG]],'DB-EQUIPOS GEN'!$C$11:$H$833,6,0)</f>
        <v>0805CV100</v>
      </c>
      <c r="K1151" s="192">
        <v>44846</v>
      </c>
      <c r="L1151" s="193" t="s">
        <v>247</v>
      </c>
      <c r="M115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51" s="201"/>
      <c r="O1151" s="64" t="s">
        <v>1696</v>
      </c>
    </row>
    <row r="1152" spans="1:15" ht="33" customHeight="1">
      <c r="A1152" s="218">
        <v>1148</v>
      </c>
      <c r="B1152" s="239" t="s">
        <v>3050</v>
      </c>
      <c r="C1152" s="64" t="s">
        <v>3158</v>
      </c>
      <c r="D1152" s="191" t="s">
        <v>3098</v>
      </c>
      <c r="E1152" s="204" t="s">
        <v>526</v>
      </c>
      <c r="F1152" s="191" t="str">
        <f>VLOOKUP(MP_registro[[#This Row],[TAG]],'DB-EQUIPOS GEN'!$C$11:$H$833,2,0)</f>
        <v>Temperatura de jugo Evap.4B</v>
      </c>
      <c r="G1152" s="191" t="str">
        <f>VLOOKUP(MP_registro[[#This Row],[TAG]],'DB-EQUIPOS GEN'!$C$11:$H$833,3,0)</f>
        <v>PRODUCCION</v>
      </c>
      <c r="H1152" s="191" t="str">
        <f>VLOOKUP(MP_registro[[#This Row],[TAG]],'DB-EQUIPOS GEN'!$C$11:$H$833,4,0)</f>
        <v>EVAPORACION DE JUGO</v>
      </c>
      <c r="I1152" s="191" t="str">
        <f>VLOOKUP(MP_registro[[#This Row],[TAG]],'DB-EQUIPOS GEN'!$C$11:$H$833,5,0)</f>
        <v>FFE 4B</v>
      </c>
      <c r="J1152" s="191" t="str">
        <f>VLOOKUP(MP_registro[[#This Row],[TAG]],'DB-EQUIPOS GEN'!$C$11:$H$833,6,0)</f>
        <v xml:space="preserve"> 0320EV070</v>
      </c>
      <c r="K1152" s="192">
        <v>44847</v>
      </c>
      <c r="L1152" s="193" t="s">
        <v>247</v>
      </c>
      <c r="M115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52" s="201"/>
      <c r="O1152" s="64" t="s">
        <v>1696</v>
      </c>
    </row>
    <row r="1153" spans="1:15" ht="33" customHeight="1">
      <c r="A1153" s="218">
        <v>1149</v>
      </c>
      <c r="B1153" s="239" t="s">
        <v>3050</v>
      </c>
      <c r="C1153" s="64" t="s">
        <v>3158</v>
      </c>
      <c r="D1153" s="191" t="s">
        <v>3099</v>
      </c>
      <c r="E1153" s="204" t="s">
        <v>780</v>
      </c>
      <c r="F1153" s="191" t="str">
        <f>VLOOKUP(MP_registro[[#This Row],[TAG]],'DB-EQUIPOS GEN'!$C$11:$H$833,2,0)</f>
        <v>Brix de masa C - Celda 8</v>
      </c>
      <c r="G1153" s="191" t="str">
        <f>VLOOKUP(MP_registro[[#This Row],[TAG]],'DB-EQUIPOS GEN'!$C$11:$H$833,3,0)</f>
        <v>PRODUCCION</v>
      </c>
      <c r="H1153" s="191" t="str">
        <f>VLOOKUP(MP_registro[[#This Row],[TAG]],'DB-EQUIPOS GEN'!$C$11:$H$833,4,0)</f>
        <v>CRISTALIZACION POR COCCION</v>
      </c>
      <c r="I1153" s="191" t="str">
        <f>VLOOKUP(MP_registro[[#This Row],[TAG]],'DB-EQUIPOS GEN'!$C$11:$H$833,5,0)</f>
        <v xml:space="preserve">TACHO CONTINUO C </v>
      </c>
      <c r="J1153" s="191" t="str">
        <f>VLOOKUP(MP_registro[[#This Row],[TAG]],'DB-EQUIPOS GEN'!$C$11:$H$833,6,0)</f>
        <v xml:space="preserve"> 0335HX260</v>
      </c>
      <c r="K1153" s="192">
        <v>44847</v>
      </c>
      <c r="L1153" s="193" t="s">
        <v>249</v>
      </c>
      <c r="M115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53" s="201"/>
      <c r="O1153" s="64" t="s">
        <v>1696</v>
      </c>
    </row>
    <row r="1154" spans="1:15" ht="33" customHeight="1">
      <c r="A1154" s="218">
        <v>1150</v>
      </c>
      <c r="B1154" s="239" t="s">
        <v>3050</v>
      </c>
      <c r="C1154" s="64" t="s">
        <v>3158</v>
      </c>
      <c r="D1154" s="191" t="s">
        <v>3100</v>
      </c>
      <c r="E1154" s="204" t="s">
        <v>1750</v>
      </c>
      <c r="F1154" s="191" t="str">
        <f>VLOOKUP(MP_registro[[#This Row],[TAG]],'DB-EQUIPOS GEN'!$C$11:$H$833,2,0)</f>
        <v>Aire Instrumentacion p/ Caldera</v>
      </c>
      <c r="G1154" s="191" t="str">
        <f>VLOOKUP(MP_registro[[#This Row],[TAG]],'DB-EQUIPOS GEN'!$C$11:$H$833,3,0)</f>
        <v>E. ELECTRICA</v>
      </c>
      <c r="H1154" s="191" t="str">
        <f>VLOOKUP(MP_registro[[#This Row],[TAG]],'DB-EQUIPOS GEN'!$C$11:$H$833,4,0)</f>
        <v>GENERACION ENERG. ELEC. TURBO GENERADOR</v>
      </c>
      <c r="I1154" s="191" t="str">
        <f>VLOOKUP(MP_registro[[#This Row],[TAG]],'DB-EQUIPOS GEN'!$C$11:$H$833,5,0)</f>
        <v/>
      </c>
      <c r="J1154" s="191" t="str">
        <f>VLOOKUP(MP_registro[[#This Row],[TAG]],'DB-EQUIPOS GEN'!$C$11:$H$833,6,0)</f>
        <v/>
      </c>
      <c r="K1154" s="192">
        <v>44847</v>
      </c>
      <c r="L1154" s="193" t="s">
        <v>249</v>
      </c>
      <c r="M115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54" s="201"/>
      <c r="O1154" s="64" t="s">
        <v>1696</v>
      </c>
    </row>
    <row r="1155" spans="1:15" ht="33" customHeight="1">
      <c r="A1155" s="218">
        <v>1151</v>
      </c>
      <c r="B1155" s="239" t="s">
        <v>3050</v>
      </c>
      <c r="C1155" s="64" t="s">
        <v>3158</v>
      </c>
      <c r="D1155" s="191" t="s">
        <v>3101</v>
      </c>
      <c r="E1155" s="204" t="s">
        <v>256</v>
      </c>
      <c r="F1155" s="191" t="str">
        <f>VLOOKUP(MP_registro[[#This Row],[TAG]],'DB-EQUIPOS GEN'!$C$11:$H$833,2,0)</f>
        <v>Tablero de periferia en Asset Difusor</v>
      </c>
      <c r="G1155" s="191" t="str">
        <f>VLOOKUP(MP_registro[[#This Row],[TAG]],'DB-EQUIPOS GEN'!$C$11:$H$833,3,0)</f>
        <v>EXTRACCION</v>
      </c>
      <c r="H1155" s="191" t="str">
        <f>VLOOKUP(MP_registro[[#This Row],[TAG]],'DB-EQUIPOS GEN'!$C$11:$H$833,4,0)</f>
        <v>DIFUSOR</v>
      </c>
      <c r="I1155" s="191" t="str">
        <f>VLOOKUP(MP_registro[[#This Row],[TAG]],'DB-EQUIPOS GEN'!$C$11:$H$833,5,0)</f>
        <v>DIFUSOR</v>
      </c>
      <c r="J1155" s="191" t="str">
        <f>VLOOKUP(MP_registro[[#This Row],[TAG]],'DB-EQUIPOS GEN'!$C$11:$H$833,6,0)</f>
        <v>0205DF180</v>
      </c>
      <c r="K1155" s="192">
        <v>44847</v>
      </c>
      <c r="L1155" s="193" t="s">
        <v>248</v>
      </c>
      <c r="M1155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155" s="201"/>
      <c r="O1155" s="64" t="s">
        <v>1696</v>
      </c>
    </row>
    <row r="1156" spans="1:15" ht="33" customHeight="1">
      <c r="A1156" s="218">
        <v>1152</v>
      </c>
      <c r="B1156" s="239" t="s">
        <v>3050</v>
      </c>
      <c r="C1156" s="64" t="s">
        <v>3158</v>
      </c>
      <c r="D1156" s="191" t="s">
        <v>3102</v>
      </c>
      <c r="E1156" s="204" t="s">
        <v>1653</v>
      </c>
      <c r="F1156" s="191" t="str">
        <f>VLOOKUP(MP_registro[[#This Row],[TAG]],'DB-EQUIPOS GEN'!$C$11:$H$833,2,0)</f>
        <v>Operación del desviador de bagazo</v>
      </c>
      <c r="G1156" s="191" t="str">
        <f>VLOOKUP(MP_registro[[#This Row],[TAG]],'DB-EQUIPOS GEN'!$C$11:$H$833,3,0)</f>
        <v>E. TERMICA</v>
      </c>
      <c r="H1156" s="191" t="str">
        <f>VLOOKUP(MP_registro[[#This Row],[TAG]],'DB-EQUIPOS GEN'!$C$11:$H$833,4,0)</f>
        <v>TRANSPORTE DE BAGAZO</v>
      </c>
      <c r="I1156" s="191" t="str">
        <f>VLOOKUP(MP_registro[[#This Row],[TAG]],'DB-EQUIPOS GEN'!$C$11:$H$833,5,0)</f>
        <v>FAJA TRANSPORTADORA 1004</v>
      </c>
      <c r="J1156" s="191" t="str">
        <f>VLOOKUP(MP_registro[[#This Row],[TAG]],'DB-EQUIPOS GEN'!$C$11:$H$833,6,0)</f>
        <v>0805CV070</v>
      </c>
      <c r="K1156" s="192">
        <v>44847</v>
      </c>
      <c r="L1156" s="193" t="s">
        <v>249</v>
      </c>
      <c r="M115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56" s="201"/>
      <c r="O1156" s="64" t="s">
        <v>1696</v>
      </c>
    </row>
    <row r="1157" spans="1:15" ht="33" customHeight="1">
      <c r="A1157" s="218">
        <v>1153</v>
      </c>
      <c r="B1157" s="239" t="s">
        <v>3050</v>
      </c>
      <c r="C1157" s="64" t="s">
        <v>3158</v>
      </c>
      <c r="D1157" s="191" t="s">
        <v>3103</v>
      </c>
      <c r="E1157" s="204" t="s">
        <v>1654</v>
      </c>
      <c r="F1157" s="191" t="str">
        <f>VLOOKUP(MP_registro[[#This Row],[TAG]],'DB-EQUIPOS GEN'!$C$11:$H$833,2,0)</f>
        <v>Vista global de sala turbina TGM</v>
      </c>
      <c r="G1157" s="191" t="str">
        <f>VLOOKUP(MP_registro[[#This Row],[TAG]],'DB-EQUIPOS GEN'!$C$11:$H$833,3,0)</f>
        <v>E. ELECTRICA</v>
      </c>
      <c r="H1157" s="191" t="str">
        <f>VLOOKUP(MP_registro[[#This Row],[TAG]],'DB-EQUIPOS GEN'!$C$11:$H$833,4,0)</f>
        <v>SISTEMA DE ENFRIAMIENTO</v>
      </c>
      <c r="I1157" s="191" t="str">
        <f>VLOOKUP(MP_registro[[#This Row],[TAG]],'DB-EQUIPOS GEN'!$C$11:$H$833,5,0)</f>
        <v>TORRE DE ENFRIAMIENTO MARLEY - TG TGM</v>
      </c>
      <c r="J1157" s="191" t="str">
        <f>VLOOKUP(MP_registro[[#This Row],[TAG]],'DB-EQUIPOS GEN'!$C$11:$H$833,6,0)</f>
        <v>0430CT050</v>
      </c>
      <c r="K1157" s="192">
        <v>44847</v>
      </c>
      <c r="L1157" s="193" t="s">
        <v>249</v>
      </c>
      <c r="M1157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57" s="201"/>
      <c r="O1157" s="64" t="s">
        <v>1696</v>
      </c>
    </row>
    <row r="1158" spans="1:15" ht="33" customHeight="1">
      <c r="A1158" s="218">
        <v>1154</v>
      </c>
      <c r="B1158" s="239" t="s">
        <v>3050</v>
      </c>
      <c r="C1158" s="64" t="s">
        <v>3158</v>
      </c>
      <c r="D1158" s="191" t="s">
        <v>3104</v>
      </c>
      <c r="E1158" s="204" t="s">
        <v>344</v>
      </c>
      <c r="F1158" s="191" t="str">
        <f>VLOOKUP(MP_registro[[#This Row],[TAG]],'DB-EQUIPOS GEN'!$C$11:$H$833,2,0)</f>
        <v>Nivel de bagazo de chute donelly de molino secador</v>
      </c>
      <c r="G1158" s="191" t="str">
        <f>VLOOKUP(MP_registro[[#This Row],[TAG]],'DB-EQUIPOS GEN'!$C$11:$H$833,3,0)</f>
        <v>EXTRACCION</v>
      </c>
      <c r="H1158" s="191" t="str">
        <f>VLOOKUP(MP_registro[[#This Row],[TAG]],'DB-EQUIPOS GEN'!$C$11:$H$833,4,0)</f>
        <v>MOLINOS</v>
      </c>
      <c r="I1158" s="191" t="str">
        <f>VLOOKUP(MP_registro[[#This Row],[TAG]],'DB-EQUIPOS GEN'!$C$11:$H$833,5,0)</f>
        <v xml:space="preserve">MOLINO SECADOR </v>
      </c>
      <c r="J1158" s="191" t="str">
        <f>VLOOKUP(MP_registro[[#This Row],[TAG]],'DB-EQUIPOS GEN'!$C$11:$H$833,6,0)</f>
        <v>0210MM090</v>
      </c>
      <c r="K1158" s="192">
        <v>44848</v>
      </c>
      <c r="L1158" s="193" t="s">
        <v>249</v>
      </c>
      <c r="M115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58" s="201"/>
      <c r="O1158" s="64" t="s">
        <v>1696</v>
      </c>
    </row>
    <row r="1159" spans="1:15" ht="33" customHeight="1">
      <c r="A1159" s="218">
        <v>1155</v>
      </c>
      <c r="B1159" s="239" t="s">
        <v>3050</v>
      </c>
      <c r="C1159" s="64" t="s">
        <v>3158</v>
      </c>
      <c r="D1159" s="191" t="s">
        <v>3105</v>
      </c>
      <c r="E1159" s="204" t="s">
        <v>532</v>
      </c>
      <c r="F1159" s="191" t="str">
        <f>VLOOKUP(MP_registro[[#This Row],[TAG]],'DB-EQUIPOS GEN'!$C$11:$H$833,2,0)</f>
        <v>Presion de vapor de salida Evap.4B</v>
      </c>
      <c r="G1159" s="191" t="str">
        <f>VLOOKUP(MP_registro[[#This Row],[TAG]],'DB-EQUIPOS GEN'!$C$11:$H$833,3,0)</f>
        <v>PRODUCCION</v>
      </c>
      <c r="H1159" s="191" t="str">
        <f>VLOOKUP(MP_registro[[#This Row],[TAG]],'DB-EQUIPOS GEN'!$C$11:$H$833,4,0)</f>
        <v>EVAPORACION DE JUGO</v>
      </c>
      <c r="I1159" s="191" t="str">
        <f>VLOOKUP(MP_registro[[#This Row],[TAG]],'DB-EQUIPOS GEN'!$C$11:$H$833,5,0)</f>
        <v>FFE 4B</v>
      </c>
      <c r="J1159" s="191" t="str">
        <f>VLOOKUP(MP_registro[[#This Row],[TAG]],'DB-EQUIPOS GEN'!$C$11:$H$833,6,0)</f>
        <v xml:space="preserve"> 0320EV070</v>
      </c>
      <c r="K1159" s="192">
        <v>44848</v>
      </c>
      <c r="L1159" s="193" t="s">
        <v>247</v>
      </c>
      <c r="M115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59" s="201"/>
      <c r="O1159" s="64" t="s">
        <v>1696</v>
      </c>
    </row>
    <row r="1160" spans="1:15" ht="33" customHeight="1">
      <c r="A1160" s="218">
        <v>1156</v>
      </c>
      <c r="B1160" s="239" t="s">
        <v>3050</v>
      </c>
      <c r="C1160" s="64" t="s">
        <v>3158</v>
      </c>
      <c r="D1160" s="191" t="s">
        <v>3106</v>
      </c>
      <c r="E1160" s="204" t="s">
        <v>252</v>
      </c>
      <c r="F1160" s="191" t="str">
        <f>VLOOKUP(MP_registro[[#This Row],[TAG]],'DB-EQUIPOS GEN'!$C$11:$H$833,2,0)</f>
        <v>Valvula reductora 2</v>
      </c>
      <c r="G1160" s="191" t="str">
        <f>VLOOKUP(MP_registro[[#This Row],[TAG]],'DB-EQUIPOS GEN'!$C$11:$H$833,3,0)</f>
        <v>E. TERMICA</v>
      </c>
      <c r="H1160" s="191" t="str">
        <f>VLOOKUP(MP_registro[[#This Row],[TAG]],'DB-EQUIPOS GEN'!$C$11:$H$833,4,0)</f>
        <v>DISTRIBUCION DE VAPOR</v>
      </c>
      <c r="I1160" s="191" t="str">
        <f>VLOOKUP(MP_registro[[#This Row],[TAG]],'DB-EQUIPOS GEN'!$C$11:$H$833,5,0)</f>
        <v>REDUCTOR DE DESPACHO DE VAPOR 2</v>
      </c>
      <c r="J1160" s="191" t="str">
        <f>VLOOKUP(MP_registro[[#This Row],[TAG]],'DB-EQUIPOS GEN'!$C$11:$H$833,6,0)</f>
        <v>0405RE020</v>
      </c>
      <c r="K1160" s="192">
        <v>44848</v>
      </c>
      <c r="L1160" s="193" t="s">
        <v>249</v>
      </c>
      <c r="M116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60" s="201"/>
      <c r="O1160" s="64" t="s">
        <v>1696</v>
      </c>
    </row>
    <row r="1161" spans="1:15" ht="33" customHeight="1">
      <c r="A1161" s="218">
        <v>1157</v>
      </c>
      <c r="B1161" s="239" t="s">
        <v>3050</v>
      </c>
      <c r="C1161" s="64" t="s">
        <v>3158</v>
      </c>
      <c r="D1161" s="191" t="s">
        <v>3107</v>
      </c>
      <c r="E1161" s="204" t="s">
        <v>1694</v>
      </c>
      <c r="F1161" s="191" t="str">
        <f>VLOOKUP(MP_registro[[#This Row],[TAG]],'DB-EQUIPOS GEN'!$C$11:$H$833,2,0)</f>
        <v>Aire Instrumentacion p/ Caldera</v>
      </c>
      <c r="G1161" s="191" t="str">
        <f>VLOOKUP(MP_registro[[#This Row],[TAG]],'DB-EQUIPOS GEN'!$C$11:$H$833,3,0)</f>
        <v>E. ELECTRICA</v>
      </c>
      <c r="H1161" s="191" t="str">
        <f>VLOOKUP(MP_registro[[#This Row],[TAG]],'DB-EQUIPOS GEN'!$C$11:$H$833,4,0)</f>
        <v>GENERACION ENERG. ELEC. TURBO GENERADOR</v>
      </c>
      <c r="I1161" s="191" t="str">
        <f>VLOOKUP(MP_registro[[#This Row],[TAG]],'DB-EQUIPOS GEN'!$C$11:$H$833,5,0)</f>
        <v/>
      </c>
      <c r="J1161" s="191" t="str">
        <f>VLOOKUP(MP_registro[[#This Row],[TAG]],'DB-EQUIPOS GEN'!$C$11:$H$833,6,0)</f>
        <v/>
      </c>
      <c r="K1161" s="192">
        <v>44848</v>
      </c>
      <c r="L1161" s="193" t="s">
        <v>247</v>
      </c>
      <c r="M116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61" s="201"/>
      <c r="O1161" s="64" t="s">
        <v>1696</v>
      </c>
    </row>
    <row r="1162" spans="1:15" ht="33" customHeight="1">
      <c r="A1162" s="218">
        <v>1158</v>
      </c>
      <c r="B1162" s="239" t="s">
        <v>3050</v>
      </c>
      <c r="C1162" s="64" t="s">
        <v>3158</v>
      </c>
      <c r="D1162" s="191" t="s">
        <v>3108</v>
      </c>
      <c r="E1162" s="204" t="s">
        <v>257</v>
      </c>
      <c r="F1162" s="191" t="str">
        <f>VLOOKUP(MP_registro[[#This Row],[TAG]],'DB-EQUIPOS GEN'!$C$11:$H$833,2,0)</f>
        <v>Tablero de periferia en Asset Process House</v>
      </c>
      <c r="G1162" s="191" t="str">
        <f>VLOOKUP(MP_registro[[#This Row],[TAG]],'DB-EQUIPOS GEN'!$C$11:$H$833,3,0)</f>
        <v>PRODUCCION</v>
      </c>
      <c r="H1162" s="191" t="str">
        <f>VLOOKUP(MP_registro[[#This Row],[TAG]],'DB-EQUIPOS GEN'!$C$11:$H$833,4,0)</f>
        <v>EVAPORACION DE JUGO</v>
      </c>
      <c r="I1162" s="191" t="str">
        <f>VLOOKUP(MP_registro[[#This Row],[TAG]],'DB-EQUIPOS GEN'!$C$11:$H$833,5,0)</f>
        <v>EVAPORADOR FFE 1</v>
      </c>
      <c r="J1162" s="191" t="str">
        <f>VLOOKUP(MP_registro[[#This Row],[TAG]],'DB-EQUIPOS GEN'!$C$11:$H$833,6,0)</f>
        <v>0320EV010</v>
      </c>
      <c r="K1162" s="192">
        <v>44848</v>
      </c>
      <c r="L1162" s="193" t="s">
        <v>248</v>
      </c>
      <c r="M1162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162" s="201"/>
      <c r="O1162" s="64" t="s">
        <v>1696</v>
      </c>
    </row>
    <row r="1163" spans="1:15" ht="33" customHeight="1">
      <c r="A1163" s="218">
        <v>1159</v>
      </c>
      <c r="B1163" s="239" t="s">
        <v>3050</v>
      </c>
      <c r="C1163" s="64" t="s">
        <v>3158</v>
      </c>
      <c r="D1163" s="191" t="s">
        <v>3109</v>
      </c>
      <c r="E1163" s="204" t="s">
        <v>1644</v>
      </c>
      <c r="F1163" s="191" t="str">
        <f>VLOOKUP(MP_registro[[#This Row],[TAG]],'DB-EQUIPOS GEN'!$C$11:$H$833,2,0)</f>
        <v>Explanada de Turbina Triveni</v>
      </c>
      <c r="G1163" s="191" t="str">
        <f>VLOOKUP(MP_registro[[#This Row],[TAG]],'DB-EQUIPOS GEN'!$C$11:$H$833,3,0)</f>
        <v>E. ELECTRICA</v>
      </c>
      <c r="H1163" s="191" t="str">
        <f>VLOOKUP(MP_registro[[#This Row],[TAG]],'DB-EQUIPOS GEN'!$C$11:$H$833,4,0)</f>
        <v>GENERACIÓN ENERG. ELEC. TURBO GENERADOR</v>
      </c>
      <c r="I1163" s="191" t="str">
        <f>VLOOKUP(MP_registro[[#This Row],[TAG]],'DB-EQUIPOS GEN'!$C$11:$H$833,5,0)</f>
        <v>TURBOGENERADOR TRIVENI 23.2 MW</v>
      </c>
      <c r="J1163" s="191" t="str">
        <f>VLOOKUP(MP_registro[[#This Row],[TAG]],'DB-EQUIPOS GEN'!$C$11:$H$833,6,0)</f>
        <v>0430TG020</v>
      </c>
      <c r="K1163" s="192">
        <v>44848</v>
      </c>
      <c r="L1163" s="193" t="s">
        <v>249</v>
      </c>
      <c r="M116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63" s="201"/>
      <c r="O1163" s="64" t="s">
        <v>1696</v>
      </c>
    </row>
    <row r="1164" spans="1:15" ht="33" customHeight="1">
      <c r="A1164" s="218">
        <v>1160</v>
      </c>
      <c r="B1164" s="239" t="s">
        <v>3050</v>
      </c>
      <c r="C1164" s="64" t="s">
        <v>3158</v>
      </c>
      <c r="D1164" s="191" t="s">
        <v>3110</v>
      </c>
      <c r="E1164" s="204" t="s">
        <v>1647</v>
      </c>
      <c r="F1164" s="191" t="str">
        <f>VLOOKUP(MP_registro[[#This Row],[TAG]],'DB-EQUIPOS GEN'!$C$11:$H$833,2,0)</f>
        <v>Explanada frontal de Turbina Triveni</v>
      </c>
      <c r="G1164" s="191" t="str">
        <f>VLOOKUP(MP_registro[[#This Row],[TAG]],'DB-EQUIPOS GEN'!$C$11:$H$833,3,0)</f>
        <v>E. ELECTRICA</v>
      </c>
      <c r="H1164" s="191" t="str">
        <f>VLOOKUP(MP_registro[[#This Row],[TAG]],'DB-EQUIPOS GEN'!$C$11:$H$833,4,0)</f>
        <v>GENERACIÓN ENERG. ELEC. TURBO GENERADOR</v>
      </c>
      <c r="I1164" s="191" t="str">
        <f>VLOOKUP(MP_registro[[#This Row],[TAG]],'DB-EQUIPOS GEN'!$C$11:$H$833,5,0)</f>
        <v>TURBOGENERADOR TRIVENI 23.2 MW</v>
      </c>
      <c r="J1164" s="191" t="str">
        <f>VLOOKUP(MP_registro[[#This Row],[TAG]],'DB-EQUIPOS GEN'!$C$11:$H$833,6,0)</f>
        <v>0430TG020</v>
      </c>
      <c r="K1164" s="192">
        <v>44848</v>
      </c>
      <c r="L1164" s="193" t="s">
        <v>249</v>
      </c>
      <c r="M116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64" s="201"/>
      <c r="O1164" s="64" t="s">
        <v>1696</v>
      </c>
    </row>
    <row r="1165" spans="1:15" ht="33" customHeight="1">
      <c r="A1165" s="218">
        <v>1161</v>
      </c>
      <c r="B1165" s="239" t="s">
        <v>3050</v>
      </c>
      <c r="C1165" s="64" t="s">
        <v>3158</v>
      </c>
      <c r="D1165" s="191" t="s">
        <v>3111</v>
      </c>
      <c r="E1165" s="204" t="s">
        <v>338</v>
      </c>
      <c r="F1165" s="191" t="str">
        <f>VLOOKUP(MP_registro[[#This Row],[TAG]],'DB-EQUIPOS GEN'!$C$11:$H$833,2,0)</f>
        <v>Flotacion de masa lado motor</v>
      </c>
      <c r="G1165" s="191" t="str">
        <f>VLOOKUP(MP_registro[[#This Row],[TAG]],'DB-EQUIPOS GEN'!$C$11:$H$833,3,0)</f>
        <v>EXTRACCION</v>
      </c>
      <c r="H1165" s="191" t="str">
        <f>VLOOKUP(MP_registro[[#This Row],[TAG]],'DB-EQUIPOS GEN'!$C$11:$H$833,4,0)</f>
        <v>MOLINOS</v>
      </c>
      <c r="I1165" s="191" t="str">
        <f>VLOOKUP(MP_registro[[#This Row],[TAG]],'DB-EQUIPOS GEN'!$C$11:$H$833,5,0)</f>
        <v xml:space="preserve">MOLINO SECADOR </v>
      </c>
      <c r="J1165" s="191" t="str">
        <f>VLOOKUP(MP_registro[[#This Row],[TAG]],'DB-EQUIPOS GEN'!$C$11:$H$833,6,0)</f>
        <v>0210MM090</v>
      </c>
      <c r="K1165" s="192">
        <v>44849</v>
      </c>
      <c r="L1165" s="193" t="s">
        <v>249</v>
      </c>
      <c r="M1165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65" s="201"/>
      <c r="O1165" s="64" t="s">
        <v>1696</v>
      </c>
    </row>
    <row r="1166" spans="1:15" ht="33" customHeight="1">
      <c r="A1166" s="218">
        <v>1162</v>
      </c>
      <c r="B1166" s="239" t="s">
        <v>3050</v>
      </c>
      <c r="C1166" s="64" t="s">
        <v>3158</v>
      </c>
      <c r="D1166" s="191" t="s">
        <v>3112</v>
      </c>
      <c r="E1166" s="204" t="s">
        <v>339</v>
      </c>
      <c r="F1166" s="191" t="str">
        <f>VLOOKUP(MP_registro[[#This Row],[TAG]],'DB-EQUIPOS GEN'!$C$11:$H$833,2,0)</f>
        <v>Flotacion de masa lado libre</v>
      </c>
      <c r="G1166" s="191" t="str">
        <f>VLOOKUP(MP_registro[[#This Row],[TAG]],'DB-EQUIPOS GEN'!$C$11:$H$833,3,0)</f>
        <v>EXTRACCION</v>
      </c>
      <c r="H1166" s="191" t="str">
        <f>VLOOKUP(MP_registro[[#This Row],[TAG]],'DB-EQUIPOS GEN'!$C$11:$H$833,4,0)</f>
        <v>MOLINOS</v>
      </c>
      <c r="I1166" s="191" t="str">
        <f>VLOOKUP(MP_registro[[#This Row],[TAG]],'DB-EQUIPOS GEN'!$C$11:$H$833,5,0)</f>
        <v xml:space="preserve">MOLINO SECADOR </v>
      </c>
      <c r="J1166" s="191" t="str">
        <f>VLOOKUP(MP_registro[[#This Row],[TAG]],'DB-EQUIPOS GEN'!$C$11:$H$833,6,0)</f>
        <v>0210MM090</v>
      </c>
      <c r="K1166" s="192">
        <v>44849</v>
      </c>
      <c r="L1166" s="193" t="s">
        <v>249</v>
      </c>
      <c r="M116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66" s="201"/>
      <c r="O1166" s="64" t="s">
        <v>1696</v>
      </c>
    </row>
    <row r="1167" spans="1:15" ht="33" customHeight="1">
      <c r="A1167" s="218">
        <v>1163</v>
      </c>
      <c r="B1167" s="239" t="s">
        <v>3050</v>
      </c>
      <c r="C1167" s="64" t="s">
        <v>3158</v>
      </c>
      <c r="D1167" s="191" t="s">
        <v>3113</v>
      </c>
      <c r="E1167" s="204" t="s">
        <v>530</v>
      </c>
      <c r="F1167" s="191" t="str">
        <f>VLOOKUP(MP_registro[[#This Row],[TAG]],'DB-EQUIPOS GEN'!$C$11:$H$833,2,0)</f>
        <v>Temperatura del salida de vapor</v>
      </c>
      <c r="G1167" s="191" t="str">
        <f>VLOOKUP(MP_registro[[#This Row],[TAG]],'DB-EQUIPOS GEN'!$C$11:$H$833,3,0)</f>
        <v>PRODUCCION</v>
      </c>
      <c r="H1167" s="191" t="str">
        <f>VLOOKUP(MP_registro[[#This Row],[TAG]],'DB-EQUIPOS GEN'!$C$11:$H$833,4,0)</f>
        <v>EVAPORACION DE JUGO</v>
      </c>
      <c r="I1167" s="191" t="str">
        <f>VLOOKUP(MP_registro[[#This Row],[TAG]],'DB-EQUIPOS GEN'!$C$11:$H$833,5,0)</f>
        <v>FFE 4B</v>
      </c>
      <c r="J1167" s="191" t="str">
        <f>VLOOKUP(MP_registro[[#This Row],[TAG]],'DB-EQUIPOS GEN'!$C$11:$H$833,6,0)</f>
        <v xml:space="preserve"> 0320EV070</v>
      </c>
      <c r="K1167" s="192">
        <v>44849</v>
      </c>
      <c r="L1167" s="193" t="s">
        <v>247</v>
      </c>
      <c r="M116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67" s="201"/>
      <c r="O1167" s="64" t="s">
        <v>1696</v>
      </c>
    </row>
    <row r="1168" spans="1:15" ht="33" customHeight="1">
      <c r="A1168" s="218">
        <v>1164</v>
      </c>
      <c r="B1168" s="239" t="s">
        <v>3050</v>
      </c>
      <c r="C1168" s="64" t="s">
        <v>3158</v>
      </c>
      <c r="D1168" s="191" t="s">
        <v>3114</v>
      </c>
      <c r="E1168" s="204" t="s">
        <v>772</v>
      </c>
      <c r="F1168" s="191" t="str">
        <f>VLOOKUP(MP_registro[[#This Row],[TAG]],'DB-EQUIPOS GEN'!$C$11:$H$833,2,0)</f>
        <v>Brix de masa C - Celda 4</v>
      </c>
      <c r="G1168" s="191" t="str">
        <f>VLOOKUP(MP_registro[[#This Row],[TAG]],'DB-EQUIPOS GEN'!$C$11:$H$833,3,0)</f>
        <v>PRODUCCION</v>
      </c>
      <c r="H1168" s="191" t="str">
        <f>VLOOKUP(MP_registro[[#This Row],[TAG]],'DB-EQUIPOS GEN'!$C$11:$H$833,4,0)</f>
        <v>CRISTALIZACION POR COCCION</v>
      </c>
      <c r="I1168" s="191" t="str">
        <f>VLOOKUP(MP_registro[[#This Row],[TAG]],'DB-EQUIPOS GEN'!$C$11:$H$833,5,0)</f>
        <v xml:space="preserve">TACHO CONTINUO C </v>
      </c>
      <c r="J1168" s="191" t="str">
        <f>VLOOKUP(MP_registro[[#This Row],[TAG]],'DB-EQUIPOS GEN'!$C$11:$H$833,6,0)</f>
        <v xml:space="preserve"> 0335HX260</v>
      </c>
      <c r="K1168" s="192">
        <v>44849</v>
      </c>
      <c r="L1168" s="193" t="s">
        <v>249</v>
      </c>
      <c r="M116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68" s="201"/>
      <c r="O1168" s="64" t="s">
        <v>1696</v>
      </c>
    </row>
    <row r="1169" spans="1:15" ht="33" customHeight="1">
      <c r="A1169" s="218">
        <v>1165</v>
      </c>
      <c r="B1169" s="239" t="s">
        <v>3050</v>
      </c>
      <c r="C1169" s="64" t="s">
        <v>3158</v>
      </c>
      <c r="D1169" s="191" t="s">
        <v>3115</v>
      </c>
      <c r="E1169" s="204" t="s">
        <v>776</v>
      </c>
      <c r="F1169" s="191" t="str">
        <f>VLOOKUP(MP_registro[[#This Row],[TAG]],'DB-EQUIPOS GEN'!$C$11:$H$833,2,0)</f>
        <v>Brix de masa C - Celda 6</v>
      </c>
      <c r="G1169" s="191" t="str">
        <f>VLOOKUP(MP_registro[[#This Row],[TAG]],'DB-EQUIPOS GEN'!$C$11:$H$833,3,0)</f>
        <v>PRODUCCION</v>
      </c>
      <c r="H1169" s="191" t="str">
        <f>VLOOKUP(MP_registro[[#This Row],[TAG]],'DB-EQUIPOS GEN'!$C$11:$H$833,4,0)</f>
        <v>CRISTALIZACION POR COCCION</v>
      </c>
      <c r="I1169" s="191" t="str">
        <f>VLOOKUP(MP_registro[[#This Row],[TAG]],'DB-EQUIPOS GEN'!$C$11:$H$833,5,0)</f>
        <v xml:space="preserve">TACHO CONTINUO C </v>
      </c>
      <c r="J1169" s="191" t="str">
        <f>VLOOKUP(MP_registro[[#This Row],[TAG]],'DB-EQUIPOS GEN'!$C$11:$H$833,6,0)</f>
        <v xml:space="preserve"> 0335HX260</v>
      </c>
      <c r="K1169" s="192">
        <v>44849</v>
      </c>
      <c r="L1169" s="193" t="s">
        <v>249</v>
      </c>
      <c r="M116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69" s="201"/>
      <c r="O1169" s="64" t="s">
        <v>1696</v>
      </c>
    </row>
    <row r="1170" spans="1:15" ht="33" customHeight="1">
      <c r="A1170" s="218">
        <v>1166</v>
      </c>
      <c r="B1170" s="239" t="s">
        <v>3050</v>
      </c>
      <c r="C1170" s="64" t="s">
        <v>3158</v>
      </c>
      <c r="D1170" s="191" t="s">
        <v>3116</v>
      </c>
      <c r="E1170" s="204" t="s">
        <v>1649</v>
      </c>
      <c r="F1170" s="191" t="str">
        <f>VLOOKUP(MP_registro[[#This Row],[TAG]],'DB-EQUIPOS GEN'!$C$11:$H$833,2,0)</f>
        <v>Chute alimentadores de bagazo</v>
      </c>
      <c r="G1170" s="191" t="str">
        <f>VLOOKUP(MP_registro[[#This Row],[TAG]],'DB-EQUIPOS GEN'!$C$11:$H$833,3,0)</f>
        <v>E. TERMICA</v>
      </c>
      <c r="H1170" s="191" t="str">
        <f>VLOOKUP(MP_registro[[#This Row],[TAG]],'DB-EQUIPOS GEN'!$C$11:$H$833,4,0)</f>
        <v>TRANSPORTE DE BAGAZO</v>
      </c>
      <c r="I1170" s="191" t="str">
        <f>VLOOKUP(MP_registro[[#This Row],[TAG]],'DB-EQUIPOS GEN'!$C$11:$H$833,5,0)</f>
        <v>ALIMENTADOR DE BAGAZO 1</v>
      </c>
      <c r="J1170" s="191" t="str">
        <f>VLOOKUP(MP_registro[[#This Row],[TAG]],'DB-EQUIPOS GEN'!$C$11:$H$833,6,0)</f>
        <v>0405RV240</v>
      </c>
      <c r="K1170" s="192">
        <v>44849</v>
      </c>
      <c r="L1170" s="193" t="s">
        <v>249</v>
      </c>
      <c r="M117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70" s="201"/>
      <c r="O1170" s="64" t="s">
        <v>1696</v>
      </c>
    </row>
    <row r="1171" spans="1:15" ht="33" customHeight="1">
      <c r="A1171" s="218">
        <v>1167</v>
      </c>
      <c r="B1171" s="239" t="s">
        <v>3050</v>
      </c>
      <c r="C1171" s="64" t="s">
        <v>3158</v>
      </c>
      <c r="D1171" s="191" t="s">
        <v>3117</v>
      </c>
      <c r="E1171" s="204" t="s">
        <v>534</v>
      </c>
      <c r="F1171" s="191" t="str">
        <f>VLOOKUP(MP_registro[[#This Row],[TAG]],'DB-EQUIPOS GEN'!$C$11:$H$833,2,0)</f>
        <v>Temperatura de jugo Evap.5B</v>
      </c>
      <c r="G1171" s="191" t="str">
        <f>VLOOKUP(MP_registro[[#This Row],[TAG]],'DB-EQUIPOS GEN'!$C$11:$H$833,3,0)</f>
        <v>PRODUCCION</v>
      </c>
      <c r="H1171" s="191" t="str">
        <f>VLOOKUP(MP_registro[[#This Row],[TAG]],'DB-EQUIPOS GEN'!$C$11:$H$833,4,0)</f>
        <v>EVAPORACION DE JUGO</v>
      </c>
      <c r="I1171" s="191" t="str">
        <f>VLOOKUP(MP_registro[[#This Row],[TAG]],'DB-EQUIPOS GEN'!$C$11:$H$833,5,0)</f>
        <v>FFE 5B</v>
      </c>
      <c r="J1171" s="191" t="str">
        <f>VLOOKUP(MP_registro[[#This Row],[TAG]],'DB-EQUIPOS GEN'!$C$11:$H$833,6,0)</f>
        <v xml:space="preserve"> 0320EV080</v>
      </c>
      <c r="K1171" s="192">
        <v>44850</v>
      </c>
      <c r="L1171" s="193" t="s">
        <v>247</v>
      </c>
      <c r="M117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71" s="201"/>
      <c r="O1171" s="64" t="s">
        <v>1696</v>
      </c>
    </row>
    <row r="1172" spans="1:15" ht="33" customHeight="1">
      <c r="A1172" s="218">
        <v>1168</v>
      </c>
      <c r="B1172" s="239" t="s">
        <v>3050</v>
      </c>
      <c r="C1172" s="64" t="s">
        <v>3158</v>
      </c>
      <c r="D1172" s="191" t="s">
        <v>3118</v>
      </c>
      <c r="E1172" s="204" t="s">
        <v>258</v>
      </c>
      <c r="F1172" s="191" t="str">
        <f>VLOOKUP(MP_registro[[#This Row],[TAG]],'DB-EQUIPOS GEN'!$C$11:$H$833,2,0)</f>
        <v>Tablero de periferia en Asset Cocimiento</v>
      </c>
      <c r="G1172" s="191" t="str">
        <f>VLOOKUP(MP_registro[[#This Row],[TAG]],'DB-EQUIPOS GEN'!$C$11:$H$833,3,0)</f>
        <v>PRODUCCION</v>
      </c>
      <c r="H1172" s="191" t="str">
        <f>VLOOKUP(MP_registro[[#This Row],[TAG]],'DB-EQUIPOS GEN'!$C$11:$H$833,4,0)</f>
        <v>CRISTALIZACION POR COCCION</v>
      </c>
      <c r="I1172" s="191" t="str">
        <f>VLOOKUP(MP_registro[[#This Row],[TAG]],'DB-EQUIPOS GEN'!$C$11:$H$833,5,0)</f>
        <v>TACHO CONTINUO - A</v>
      </c>
      <c r="J1172" s="191" t="str">
        <f>VLOOKUP(MP_registro[[#This Row],[TAG]],'DB-EQUIPOS GEN'!$C$11:$H$833,6,0)</f>
        <v>0335HX200</v>
      </c>
      <c r="K1172" s="192">
        <v>44850</v>
      </c>
      <c r="L1172" s="193" t="s">
        <v>248</v>
      </c>
      <c r="M1172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172" s="201"/>
      <c r="O1172" s="64" t="s">
        <v>1696</v>
      </c>
    </row>
    <row r="1173" spans="1:15" ht="33" customHeight="1">
      <c r="A1173" s="218">
        <v>1169</v>
      </c>
      <c r="B1173" s="239" t="s">
        <v>3050</v>
      </c>
      <c r="C1173" s="64" t="s">
        <v>3158</v>
      </c>
      <c r="D1173" s="191" t="s">
        <v>3119</v>
      </c>
      <c r="E1173" s="204" t="s">
        <v>259</v>
      </c>
      <c r="F1173" s="191" t="str">
        <f>VLOOKUP(MP_registro[[#This Row],[TAG]],'DB-EQUIPOS GEN'!$C$11:$H$833,2,0)</f>
        <v>Tablero de periferia en Asset PH &amp; Cpan</v>
      </c>
      <c r="G1173" s="191" t="str">
        <f>VLOOKUP(MP_registro[[#This Row],[TAG]],'DB-EQUIPOS GEN'!$C$11:$H$833,3,0)</f>
        <v>PRODUCCION</v>
      </c>
      <c r="H1173" s="191" t="str">
        <f>VLOOKUP(MP_registro[[#This Row],[TAG]],'DB-EQUIPOS GEN'!$C$11:$H$833,4,0)</f>
        <v>CRISTALIZACION POR COCCION</v>
      </c>
      <c r="I1173" s="191" t="str">
        <f>VLOOKUP(MP_registro[[#This Row],[TAG]],'DB-EQUIPOS GEN'!$C$11:$H$833,5,0)</f>
        <v>TACHO CONTINUO - A</v>
      </c>
      <c r="J1173" s="191" t="str">
        <f>VLOOKUP(MP_registro[[#This Row],[TAG]],'DB-EQUIPOS GEN'!$C$11:$H$833,6,0)</f>
        <v>0335HX200</v>
      </c>
      <c r="K1173" s="192">
        <v>44850</v>
      </c>
      <c r="L1173" s="193" t="s">
        <v>248</v>
      </c>
      <c r="M1173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173" s="201"/>
      <c r="O1173" s="64" t="s">
        <v>1696</v>
      </c>
    </row>
    <row r="1174" spans="1:15" ht="33" customHeight="1">
      <c r="A1174" s="218">
        <v>1170</v>
      </c>
      <c r="B1174" s="239" t="s">
        <v>3050</v>
      </c>
      <c r="C1174" s="64" t="s">
        <v>3158</v>
      </c>
      <c r="D1174" s="191" t="s">
        <v>3120</v>
      </c>
      <c r="E1174" s="204" t="s">
        <v>1642</v>
      </c>
      <c r="F1174" s="191" t="str">
        <f>VLOOKUP(MP_registro[[#This Row],[TAG]],'DB-EQUIPOS GEN'!$C$11:$H$833,2,0)</f>
        <v>Salida de bagazo de molino secador</v>
      </c>
      <c r="G1174" s="191" t="str">
        <f>VLOOKUP(MP_registro[[#This Row],[TAG]],'DB-EQUIPOS GEN'!$C$11:$H$833,3,0)</f>
        <v>EXTRACCION</v>
      </c>
      <c r="H1174" s="191" t="str">
        <f>VLOOKUP(MP_registro[[#This Row],[TAG]],'DB-EQUIPOS GEN'!$C$11:$H$833,4,0)</f>
        <v>MOLINOS</v>
      </c>
      <c r="I1174" s="191" t="str">
        <f>VLOOKUP(MP_registro[[#This Row],[TAG]],'DB-EQUIPOS GEN'!$C$11:$H$833,5,0)</f>
        <v>MOLINO SECADOR</v>
      </c>
      <c r="J1174" s="191" t="str">
        <f>VLOOKUP(MP_registro[[#This Row],[TAG]],'DB-EQUIPOS GEN'!$C$11:$H$833,6,0)</f>
        <v>0210MM090</v>
      </c>
      <c r="K1174" s="192">
        <v>44850</v>
      </c>
      <c r="L1174" s="193" t="s">
        <v>247</v>
      </c>
      <c r="M1174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74" s="201"/>
      <c r="O1174" s="64" t="s">
        <v>1696</v>
      </c>
    </row>
    <row r="1175" spans="1:15" ht="33" customHeight="1">
      <c r="A1175" s="218">
        <v>1171</v>
      </c>
      <c r="B1175" s="239" t="s">
        <v>3050</v>
      </c>
      <c r="C1175" s="64" t="s">
        <v>3158</v>
      </c>
      <c r="D1175" s="191" t="s">
        <v>3121</v>
      </c>
      <c r="E1175" s="204" t="s">
        <v>1657</v>
      </c>
      <c r="F1175" s="191" t="str">
        <f>VLOOKUP(MP_registro[[#This Row],[TAG]],'DB-EQUIPOS GEN'!$C$11:$H$833,2,0)</f>
        <v>Pug mill B, Cabezal C de centrifugas continuas</v>
      </c>
      <c r="G1175" s="191" t="str">
        <f>VLOOKUP(MP_registro[[#This Row],[TAG]],'DB-EQUIPOS GEN'!$C$11:$H$833,3,0)</f>
        <v>PRODUCCION</v>
      </c>
      <c r="H1175" s="191" t="str">
        <f>VLOOKUP(MP_registro[[#This Row],[TAG]],'DB-EQUIPOS GEN'!$C$11:$H$833,4,0)</f>
        <v>CENTRIFUGACIÓN DE AZÚCAR</v>
      </c>
      <c r="I1175" s="191" t="str">
        <f>VLOOKUP(MP_registro[[#This Row],[TAG]],'DB-EQUIPOS GEN'!$C$11:$H$833,5,0)</f>
        <v>PUG MILL - B</v>
      </c>
      <c r="J1175" s="191" t="str">
        <f>VLOOKUP(MP_registro[[#This Row],[TAG]],'DB-EQUIPOS GEN'!$C$11:$H$833,6,0)</f>
        <v>0345MM020</v>
      </c>
      <c r="K1175" s="192">
        <v>44850</v>
      </c>
      <c r="L1175" s="193" t="s">
        <v>247</v>
      </c>
      <c r="M1175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75" s="201"/>
      <c r="O1175" s="64" t="s">
        <v>1696</v>
      </c>
    </row>
    <row r="1176" spans="1:15" ht="33" customHeight="1">
      <c r="A1176" s="218">
        <v>1172</v>
      </c>
      <c r="B1176" s="239" t="s">
        <v>3050</v>
      </c>
      <c r="C1176" s="64" t="s">
        <v>3158</v>
      </c>
      <c r="D1176" s="191" t="s">
        <v>3122</v>
      </c>
      <c r="E1176" s="204" t="s">
        <v>1661</v>
      </c>
      <c r="F1176" s="191" t="str">
        <f>VLOOKUP(MP_registro[[#This Row],[TAG]],'DB-EQUIPOS GEN'!$C$11:$H$833,2,0)</f>
        <v xml:space="preserve">Faja de azucar seca a Silo </v>
      </c>
      <c r="G1176" s="191" t="str">
        <f>VLOOKUP(MP_registro[[#This Row],[TAG]],'DB-EQUIPOS GEN'!$C$11:$H$833,3,0)</f>
        <v>PRODUCCION</v>
      </c>
      <c r="H1176" s="191" t="str">
        <f>VLOOKUP(MP_registro[[#This Row],[TAG]],'DB-EQUIPOS GEN'!$C$11:$H$833,4,0)</f>
        <v>ENVASADO DE AZÚCAR RUBIA</v>
      </c>
      <c r="I1176" s="191" t="str">
        <f>VLOOKUP(MP_registro[[#This Row],[TAG]],'DB-EQUIPOS GEN'!$C$11:$H$833,5,0)</f>
        <v>SILO DE AZUCAR 1</v>
      </c>
      <c r="J1176" s="191" t="str">
        <f>VLOOKUP(MP_registro[[#This Row],[TAG]],'DB-EQUIPOS GEN'!$C$11:$H$833,6,0)</f>
        <v>0355BI090</v>
      </c>
      <c r="K1176" s="192">
        <v>44850</v>
      </c>
      <c r="L1176" s="193" t="s">
        <v>249</v>
      </c>
      <c r="M117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76" s="201"/>
      <c r="O1176" s="64" t="s">
        <v>1696</v>
      </c>
    </row>
    <row r="1177" spans="1:15" ht="33" customHeight="1">
      <c r="A1177" s="218">
        <v>1173</v>
      </c>
      <c r="B1177" s="239" t="s">
        <v>3050</v>
      </c>
      <c r="C1177" s="64" t="s">
        <v>3158</v>
      </c>
      <c r="D1177" s="191" t="s">
        <v>3123</v>
      </c>
      <c r="E1177" s="204" t="s">
        <v>2605</v>
      </c>
      <c r="F1177" s="191" t="e">
        <f>VLOOKUP(MP_registro[[#This Row],[TAG]],'DB-EQUIPOS GEN'!$C$11:$H$833,2,0)</f>
        <v>#N/A</v>
      </c>
      <c r="G1177" s="191" t="e">
        <f>VLOOKUP(MP_registro[[#This Row],[TAG]],'DB-EQUIPOS GEN'!$C$11:$H$833,3,0)</f>
        <v>#N/A</v>
      </c>
      <c r="H1177" s="191" t="e">
        <f>VLOOKUP(MP_registro[[#This Row],[TAG]],'DB-EQUIPOS GEN'!$C$11:$H$833,4,0)</f>
        <v>#N/A</v>
      </c>
      <c r="I1177" s="191" t="e">
        <f>VLOOKUP(MP_registro[[#This Row],[TAG]],'DB-EQUIPOS GEN'!$C$11:$H$833,5,0)</f>
        <v>#N/A</v>
      </c>
      <c r="J1177" s="191" t="e">
        <f>VLOOKUP(MP_registro[[#This Row],[TAG]],'DB-EQUIPOS GEN'!$C$11:$H$833,6,0)</f>
        <v>#N/A</v>
      </c>
      <c r="K1177" s="192">
        <v>44850</v>
      </c>
      <c r="L1177" s="193" t="s">
        <v>247</v>
      </c>
      <c r="M117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77" s="201"/>
      <c r="O1177" s="64" t="s">
        <v>1696</v>
      </c>
    </row>
    <row r="1178" spans="1:15" ht="33" customHeight="1">
      <c r="A1178" s="218">
        <v>1174</v>
      </c>
      <c r="B1178" s="239" t="s">
        <v>3050</v>
      </c>
      <c r="C1178" s="64" t="s">
        <v>3158</v>
      </c>
      <c r="D1178" s="191" t="s">
        <v>3124</v>
      </c>
      <c r="E1178" s="204" t="s">
        <v>3048</v>
      </c>
      <c r="F1178" s="191" t="e">
        <f>VLOOKUP(MP_registro[[#This Row],[TAG]],'DB-EQUIPOS GEN'!$C$11:$H$833,2,0)</f>
        <v>#N/A</v>
      </c>
      <c r="G1178" s="191" t="e">
        <f>VLOOKUP(MP_registro[[#This Row],[TAG]],'DB-EQUIPOS GEN'!$C$11:$H$833,3,0)</f>
        <v>#N/A</v>
      </c>
      <c r="H1178" s="191" t="e">
        <f>VLOOKUP(MP_registro[[#This Row],[TAG]],'DB-EQUIPOS GEN'!$C$11:$H$833,4,0)</f>
        <v>#N/A</v>
      </c>
      <c r="I1178" s="191" t="e">
        <f>VLOOKUP(MP_registro[[#This Row],[TAG]],'DB-EQUIPOS GEN'!$C$11:$H$833,5,0)</f>
        <v>#N/A</v>
      </c>
      <c r="J1178" s="191" t="e">
        <f>VLOOKUP(MP_registro[[#This Row],[TAG]],'DB-EQUIPOS GEN'!$C$11:$H$833,6,0)</f>
        <v>#N/A</v>
      </c>
      <c r="K1178" s="192">
        <v>44850</v>
      </c>
      <c r="L1178" s="193" t="s">
        <v>249</v>
      </c>
      <c r="M117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78" s="201"/>
      <c r="O1178" s="64" t="s">
        <v>1696</v>
      </c>
    </row>
    <row r="1179" spans="1:15" ht="33" customHeight="1">
      <c r="A1179" s="218">
        <v>1175</v>
      </c>
      <c r="B1179" s="239" t="s">
        <v>3050</v>
      </c>
      <c r="C1179" s="64" t="s">
        <v>3158</v>
      </c>
      <c r="D1179" s="191" t="s">
        <v>3125</v>
      </c>
      <c r="E1179" s="204" t="s">
        <v>522</v>
      </c>
      <c r="F1179" s="191" t="str">
        <f>VLOOKUP(MP_registro[[#This Row],[TAG]],'DB-EQUIPOS GEN'!$C$11:$H$833,2,0)</f>
        <v>Temperatura del salida de vapor</v>
      </c>
      <c r="G1179" s="191" t="str">
        <f>VLOOKUP(MP_registro[[#This Row],[TAG]],'DB-EQUIPOS GEN'!$C$11:$H$833,3,0)</f>
        <v>PRODUCCION</v>
      </c>
      <c r="H1179" s="191" t="str">
        <f>VLOOKUP(MP_registro[[#This Row],[TAG]],'DB-EQUIPOS GEN'!$C$11:$H$833,4,0)</f>
        <v>EVAPORACION DE JUGO</v>
      </c>
      <c r="I1179" s="191" t="str">
        <f>VLOOKUP(MP_registro[[#This Row],[TAG]],'DB-EQUIPOS GEN'!$C$11:$H$833,5,0)</f>
        <v>FFE 5A</v>
      </c>
      <c r="J1179" s="191" t="str">
        <f>VLOOKUP(MP_registro[[#This Row],[TAG]],'DB-EQUIPOS GEN'!$C$11:$H$833,6,0)</f>
        <v xml:space="preserve"> 0320EV060</v>
      </c>
      <c r="K1179" s="192">
        <v>44851</v>
      </c>
      <c r="L1179" s="193" t="s">
        <v>247</v>
      </c>
      <c r="M117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79" s="201"/>
      <c r="O1179" s="64" t="s">
        <v>1696</v>
      </c>
    </row>
    <row r="1180" spans="1:15" ht="33" customHeight="1">
      <c r="A1180" s="218">
        <v>1176</v>
      </c>
      <c r="B1180" s="239" t="s">
        <v>3050</v>
      </c>
      <c r="C1180" s="64" t="s">
        <v>3158</v>
      </c>
      <c r="D1180" s="191" t="s">
        <v>3126</v>
      </c>
      <c r="E1180" s="204" t="s">
        <v>540</v>
      </c>
      <c r="F1180" s="191" t="str">
        <f>VLOOKUP(MP_registro[[#This Row],[TAG]],'DB-EQUIPOS GEN'!$C$11:$H$833,2,0)</f>
        <v>Presion de vapor de salida Evap.5B</v>
      </c>
      <c r="G1180" s="191" t="str">
        <f>VLOOKUP(MP_registro[[#This Row],[TAG]],'DB-EQUIPOS GEN'!$C$11:$H$833,3,0)</f>
        <v>PRODUCCION</v>
      </c>
      <c r="H1180" s="191" t="str">
        <f>VLOOKUP(MP_registro[[#This Row],[TAG]],'DB-EQUIPOS GEN'!$C$11:$H$833,4,0)</f>
        <v>EVAPORACION DE JUGO</v>
      </c>
      <c r="I1180" s="191" t="str">
        <f>VLOOKUP(MP_registro[[#This Row],[TAG]],'DB-EQUIPOS GEN'!$C$11:$H$833,5,0)</f>
        <v>FFE 5B</v>
      </c>
      <c r="J1180" s="191" t="str">
        <f>VLOOKUP(MP_registro[[#This Row],[TAG]],'DB-EQUIPOS GEN'!$C$11:$H$833,6,0)</f>
        <v xml:space="preserve"> 0320EV080</v>
      </c>
      <c r="K1180" s="192">
        <v>44851</v>
      </c>
      <c r="L1180" s="193" t="s">
        <v>247</v>
      </c>
      <c r="M1180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80" s="201"/>
      <c r="O1180" s="64" t="s">
        <v>1696</v>
      </c>
    </row>
    <row r="1181" spans="1:15" ht="33" customHeight="1">
      <c r="A1181" s="218">
        <v>1177</v>
      </c>
      <c r="B1181" s="239" t="s">
        <v>3050</v>
      </c>
      <c r="C1181" s="64" t="s">
        <v>3158</v>
      </c>
      <c r="D1181" s="191" t="s">
        <v>3127</v>
      </c>
      <c r="E1181" s="204" t="s">
        <v>778</v>
      </c>
      <c r="F1181" s="191" t="str">
        <f>VLOOKUP(MP_registro[[#This Row],[TAG]],'DB-EQUIPOS GEN'!$C$11:$H$833,2,0)</f>
        <v>Brix de masa C - Celda 7</v>
      </c>
      <c r="G1181" s="191" t="str">
        <f>VLOOKUP(MP_registro[[#This Row],[TAG]],'DB-EQUIPOS GEN'!$C$11:$H$833,3,0)</f>
        <v>PRODUCCION</v>
      </c>
      <c r="H1181" s="191" t="str">
        <f>VLOOKUP(MP_registro[[#This Row],[TAG]],'DB-EQUIPOS GEN'!$C$11:$H$833,4,0)</f>
        <v>CRISTALIZACION POR COCCION</v>
      </c>
      <c r="I1181" s="191" t="str">
        <f>VLOOKUP(MP_registro[[#This Row],[TAG]],'DB-EQUIPOS GEN'!$C$11:$H$833,5,0)</f>
        <v xml:space="preserve">TACHO CONTINUO C </v>
      </c>
      <c r="J1181" s="191" t="str">
        <f>VLOOKUP(MP_registro[[#This Row],[TAG]],'DB-EQUIPOS GEN'!$C$11:$H$833,6,0)</f>
        <v xml:space="preserve"> 0335HX260</v>
      </c>
      <c r="K1181" s="192">
        <v>44851</v>
      </c>
      <c r="L1181" s="193" t="s">
        <v>249</v>
      </c>
      <c r="M118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81" s="201"/>
      <c r="O1181" s="64" t="s">
        <v>1696</v>
      </c>
    </row>
    <row r="1182" spans="1:15" ht="33" customHeight="1">
      <c r="A1182" s="218">
        <v>1178</v>
      </c>
      <c r="B1182" s="239" t="s">
        <v>3050</v>
      </c>
      <c r="C1182" s="64" t="s">
        <v>3158</v>
      </c>
      <c r="D1182" s="191" t="s">
        <v>3128</v>
      </c>
      <c r="E1182" s="204" t="s">
        <v>1314</v>
      </c>
      <c r="F1182" s="191" t="str">
        <f>VLOOKUP(MP_registro[[#This Row],[TAG]],'DB-EQUIPOS GEN'!$C$11:$H$833,2,0)</f>
        <v>Tablero de periferia en Asset Turbina</v>
      </c>
      <c r="G1182" s="191" t="str">
        <f>VLOOKUP(MP_registro[[#This Row],[TAG]],'DB-EQUIPOS GEN'!$C$11:$H$833,3,0)</f>
        <v>E. ELECTRICA</v>
      </c>
      <c r="H1182" s="191" t="str">
        <f>VLOOKUP(MP_registro[[#This Row],[TAG]],'DB-EQUIPOS GEN'!$C$11:$H$833,4,0)</f>
        <v>GENERACION ENERG. ELEC. TURBO GENERADOR</v>
      </c>
      <c r="I1182" s="191" t="str">
        <f>VLOOKUP(MP_registro[[#This Row],[TAG]],'DB-EQUIPOS GEN'!$C$11:$H$833,5,0)</f>
        <v>TURBOGENERADOR 7.5 MW</v>
      </c>
      <c r="J1182" s="191" t="str">
        <f>VLOOKUP(MP_registro[[#This Row],[TAG]],'DB-EQUIPOS GEN'!$C$11:$H$833,6,0)</f>
        <v>0430TG010</v>
      </c>
      <c r="K1182" s="192">
        <v>44851</v>
      </c>
      <c r="L1182" s="193" t="s">
        <v>248</v>
      </c>
      <c r="M1182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182" s="201"/>
      <c r="O1182" s="64" t="s">
        <v>1696</v>
      </c>
    </row>
    <row r="1183" spans="1:15" ht="33" customHeight="1">
      <c r="A1183" s="218">
        <v>1179</v>
      </c>
      <c r="B1183" s="239" t="s">
        <v>3050</v>
      </c>
      <c r="C1183" s="64" t="s">
        <v>3158</v>
      </c>
      <c r="D1183" s="191" t="s">
        <v>3129</v>
      </c>
      <c r="E1183" s="204" t="s">
        <v>1316</v>
      </c>
      <c r="F1183" s="191" t="str">
        <f>VLOOKUP(MP_registro[[#This Row],[TAG]],'DB-EQUIPOS GEN'!$C$11:$H$833,2,0)</f>
        <v>Tablero de periferia en Asset Turbina</v>
      </c>
      <c r="G1183" s="191" t="str">
        <f>VLOOKUP(MP_registro[[#This Row],[TAG]],'DB-EQUIPOS GEN'!$C$11:$H$833,3,0)</f>
        <v>E. ELECTRICA</v>
      </c>
      <c r="H1183" s="191" t="str">
        <f>VLOOKUP(MP_registro[[#This Row],[TAG]],'DB-EQUIPOS GEN'!$C$11:$H$833,4,0)</f>
        <v>GENERACION ENERG. ELEC. TURBO GENERADOR</v>
      </c>
      <c r="I1183" s="191" t="str">
        <f>VLOOKUP(MP_registro[[#This Row],[TAG]],'DB-EQUIPOS GEN'!$C$11:$H$833,5,0)</f>
        <v>TURBOGENERADOR 7.5 MW</v>
      </c>
      <c r="J1183" s="191" t="str">
        <f>VLOOKUP(MP_registro[[#This Row],[TAG]],'DB-EQUIPOS GEN'!$C$11:$H$833,6,0)</f>
        <v>0430TG010</v>
      </c>
      <c r="K1183" s="192">
        <v>44851</v>
      </c>
      <c r="L1183" s="193" t="s">
        <v>248</v>
      </c>
      <c r="M1183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183" s="201"/>
      <c r="O1183" s="64" t="s">
        <v>1696</v>
      </c>
    </row>
    <row r="1184" spans="1:15" ht="33" customHeight="1">
      <c r="A1184" s="218">
        <v>1180</v>
      </c>
      <c r="B1184" s="239" t="s">
        <v>3050</v>
      </c>
      <c r="C1184" s="64" t="s">
        <v>3158</v>
      </c>
      <c r="D1184" s="191" t="s">
        <v>3130</v>
      </c>
      <c r="E1184" s="204" t="s">
        <v>1317</v>
      </c>
      <c r="F1184" s="191" t="str">
        <f>VLOOKUP(MP_registro[[#This Row],[TAG]],'DB-EQUIPOS GEN'!$C$11:$H$833,2,0)</f>
        <v>Tablero de periferia en Asset Caldera</v>
      </c>
      <c r="G1184" s="191" t="str">
        <f>VLOOKUP(MP_registro[[#This Row],[TAG]],'DB-EQUIPOS GEN'!$C$11:$H$833,3,0)</f>
        <v>E. TERMICA</v>
      </c>
      <c r="H1184" s="191" t="str">
        <f>VLOOKUP(MP_registro[[#This Row],[TAG]],'DB-EQUIPOS GEN'!$C$11:$H$833,4,0)</f>
        <v>GENERACION DE VAPOR</v>
      </c>
      <c r="I1184" s="191" t="str">
        <f>VLOOKUP(MP_registro[[#This Row],[TAG]],'DB-EQUIPOS GEN'!$C$11:$H$833,5,0)</f>
        <v>CALDERA</v>
      </c>
      <c r="J1184" s="191" t="str">
        <f>VLOOKUP(MP_registro[[#This Row],[TAG]],'DB-EQUIPOS GEN'!$C$11:$H$833,6,0)</f>
        <v>0405BR010</v>
      </c>
      <c r="K1184" s="192">
        <v>44851</v>
      </c>
      <c r="L1184" s="193" t="s">
        <v>248</v>
      </c>
      <c r="M1184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184" s="201"/>
      <c r="O1184" s="64" t="s">
        <v>1696</v>
      </c>
    </row>
    <row r="1185" spans="1:15" ht="33" customHeight="1">
      <c r="A1185" s="218">
        <v>1181</v>
      </c>
      <c r="B1185" s="239" t="s">
        <v>3050</v>
      </c>
      <c r="C1185" s="64" t="s">
        <v>3158</v>
      </c>
      <c r="D1185" s="191" t="s">
        <v>3131</v>
      </c>
      <c r="E1185" s="204" t="s">
        <v>2406</v>
      </c>
      <c r="F1185" s="191" t="str">
        <f>VLOOKUP(MP_registro[[#This Row],[TAG]],'DB-EQUIPOS GEN'!$C$11:$H$833,2,0)</f>
        <v>Vista Mesa de Caña - Descarga de Tetras</v>
      </c>
      <c r="G1185" s="191" t="str">
        <f>VLOOKUP(MP_registro[[#This Row],[TAG]],'DB-EQUIPOS GEN'!$C$11:$H$833,3,0)</f>
        <v>EXTRACCION</v>
      </c>
      <c r="H1185" s="191" t="str">
        <f>VLOOKUP(MP_registro[[#This Row],[TAG]],'DB-EQUIPOS GEN'!$C$11:$H$833,4,0)</f>
        <v>RECEPCIÓN DE CAÑA</v>
      </c>
      <c r="I1185" s="191" t="str">
        <f>VLOOKUP(MP_registro[[#This Row],[TAG]],'DB-EQUIPOS GEN'!$C$11:$H$833,5,0)</f>
        <v>MESA DE CAÑA</v>
      </c>
      <c r="J1185" s="191" t="str">
        <f>VLOOKUP(MP_registro[[#This Row],[TAG]],'DB-EQUIPOS GEN'!$C$11:$H$833,6,0)</f>
        <v>0110FE019</v>
      </c>
      <c r="K1185" s="192">
        <v>44851</v>
      </c>
      <c r="L1185" s="193" t="s">
        <v>247</v>
      </c>
      <c r="M1185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85" s="201"/>
      <c r="O1185" s="64" t="s">
        <v>1696</v>
      </c>
    </row>
    <row r="1186" spans="1:15" ht="33" customHeight="1">
      <c r="A1186" s="218">
        <v>1182</v>
      </c>
      <c r="B1186" s="239" t="s">
        <v>3050</v>
      </c>
      <c r="C1186" s="64" t="s">
        <v>3158</v>
      </c>
      <c r="D1186" s="191" t="s">
        <v>3132</v>
      </c>
      <c r="E1186" s="204" t="s">
        <v>1640</v>
      </c>
      <c r="F1186" s="191" t="str">
        <f>VLOOKUP(MP_registro[[#This Row],[TAG]],'DB-EQUIPOS GEN'!$C$11:$H$833,2,0)</f>
        <v>Conductor de alimentación a difusor y retorno</v>
      </c>
      <c r="G1186" s="191" t="str">
        <f>VLOOKUP(MP_registro[[#This Row],[TAG]],'DB-EQUIPOS GEN'!$C$11:$H$833,3,0)</f>
        <v>EXTRACCION</v>
      </c>
      <c r="H1186" s="191" t="str">
        <f>VLOOKUP(MP_registro[[#This Row],[TAG]],'DB-EQUIPOS GEN'!$C$11:$H$833,4,0)</f>
        <v>PREPARACIÓN DE CAÑA</v>
      </c>
      <c r="I1186" s="191" t="str">
        <f>VLOOKUP(MP_registro[[#This Row],[TAG]],'DB-EQUIPOS GEN'!$C$11:$H$833,5,0)</f>
        <v>CONDUCTOR DE RETORNO</v>
      </c>
      <c r="J1186" s="191" t="str">
        <f>VLOOKUP(MP_registro[[#This Row],[TAG]],'DB-EQUIPOS GEN'!$C$11:$H$833,6,0)</f>
        <v>0115CV090</v>
      </c>
      <c r="K1186" s="192">
        <v>44851</v>
      </c>
      <c r="L1186" s="193" t="s">
        <v>247</v>
      </c>
      <c r="M118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86" s="201"/>
      <c r="O1186" s="64" t="s">
        <v>1696</v>
      </c>
    </row>
    <row r="1187" spans="1:15" ht="33" customHeight="1">
      <c r="A1187" s="218">
        <v>1183</v>
      </c>
      <c r="B1187" s="239" t="s">
        <v>3050</v>
      </c>
      <c r="C1187" s="64" t="s">
        <v>3158</v>
      </c>
      <c r="D1187" s="191" t="s">
        <v>3133</v>
      </c>
      <c r="E1187" s="204" t="s">
        <v>1645</v>
      </c>
      <c r="F1187" s="191" t="str">
        <f>VLOOKUP(MP_registro[[#This Row],[TAG]],'DB-EQUIPOS GEN'!$C$11:$H$833,2,0)</f>
        <v>Tamiz rotativo</v>
      </c>
      <c r="G1187" s="191" t="str">
        <f>VLOOKUP(MP_registro[[#This Row],[TAG]],'DB-EQUIPOS GEN'!$C$11:$H$833,3,0)</f>
        <v>EXTRACCION</v>
      </c>
      <c r="H1187" s="191" t="str">
        <f>VLOOKUP(MP_registro[[#This Row],[TAG]],'DB-EQUIPOS GEN'!$C$11:$H$833,4,0)</f>
        <v>DIFUSOR</v>
      </c>
      <c r="I1187" s="191" t="str">
        <f>VLOOKUP(MP_registro[[#This Row],[TAG]],'DB-EQUIPOS GEN'!$C$11:$H$833,5,0)</f>
        <v>TAMIZ ROTATIVO</v>
      </c>
      <c r="J1187" s="191" t="str">
        <f>VLOOKUP(MP_registro[[#This Row],[TAG]],'DB-EQUIPOS GEN'!$C$11:$H$833,6,0)</f>
        <v>0305FL010</v>
      </c>
      <c r="K1187" s="192">
        <v>44851</v>
      </c>
      <c r="L1187" s="193" t="s">
        <v>247</v>
      </c>
      <c r="M118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87" s="201"/>
      <c r="O1187" s="64" t="s">
        <v>1696</v>
      </c>
    </row>
    <row r="1188" spans="1:15" ht="33" customHeight="1">
      <c r="A1188" s="218">
        <v>1184</v>
      </c>
      <c r="B1188" s="239" t="s">
        <v>3050</v>
      </c>
      <c r="C1188" s="64" t="s">
        <v>3158</v>
      </c>
      <c r="D1188" s="191" t="s">
        <v>3134</v>
      </c>
      <c r="E1188" s="204" t="s">
        <v>3049</v>
      </c>
      <c r="F1188" s="191" t="e">
        <f>VLOOKUP(MP_registro[[#This Row],[TAG]],'DB-EQUIPOS GEN'!$C$11:$H$833,2,0)</f>
        <v>#N/A</v>
      </c>
      <c r="G1188" s="191" t="e">
        <f>VLOOKUP(MP_registro[[#This Row],[TAG]],'DB-EQUIPOS GEN'!$C$11:$H$833,3,0)</f>
        <v>#N/A</v>
      </c>
      <c r="H1188" s="191" t="e">
        <f>VLOOKUP(MP_registro[[#This Row],[TAG]],'DB-EQUIPOS GEN'!$C$11:$H$833,4,0)</f>
        <v>#N/A</v>
      </c>
      <c r="I1188" s="191" t="e">
        <f>VLOOKUP(MP_registro[[#This Row],[TAG]],'DB-EQUIPOS GEN'!$C$11:$H$833,5,0)</f>
        <v>#N/A</v>
      </c>
      <c r="J1188" s="191" t="e">
        <f>VLOOKUP(MP_registro[[#This Row],[TAG]],'DB-EQUIPOS GEN'!$C$11:$H$833,6,0)</f>
        <v>#N/A</v>
      </c>
      <c r="K1188" s="192">
        <v>44851</v>
      </c>
      <c r="L1188" s="193" t="s">
        <v>247</v>
      </c>
      <c r="M118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88" s="201"/>
      <c r="O1188" s="64" t="s">
        <v>1696</v>
      </c>
    </row>
    <row r="1189" spans="1:15" ht="33" customHeight="1">
      <c r="A1189" s="218">
        <v>1185</v>
      </c>
      <c r="B1189" s="239" t="s">
        <v>3050</v>
      </c>
      <c r="C1189" s="64" t="s">
        <v>3158</v>
      </c>
      <c r="D1189" s="191" t="s">
        <v>3135</v>
      </c>
      <c r="E1189" s="204" t="s">
        <v>1050</v>
      </c>
      <c r="F1189" s="191" t="str">
        <f>VLOOKUP(MP_registro[[#This Row],[TAG]],'DB-EQUIPOS GEN'!$C$11:$H$833,2,0)</f>
        <v>Condentracion de lechada de cal en tanque de mezclado</v>
      </c>
      <c r="G1189" s="191" t="str">
        <f>VLOOKUP(MP_registro[[#This Row],[TAG]],'DB-EQUIPOS GEN'!$C$11:$H$833,3,0)</f>
        <v>PRODUCCION</v>
      </c>
      <c r="H1189" s="191" t="str">
        <f>VLOOKUP(MP_registro[[#This Row],[TAG]],'DB-EQUIPOS GEN'!$C$11:$H$833,4,0)</f>
        <v>PLANTA DE CAL</v>
      </c>
      <c r="I1189" s="191" t="str">
        <f>VLOOKUP(MP_registro[[#This Row],[TAG]],'DB-EQUIPOS GEN'!$C$11:$H$833,5,0)</f>
        <v>TANQUE DE PREPARACION DE LECHADA DE CAL</v>
      </c>
      <c r="J1189" s="191" t="str">
        <f>VLOOKUP(MP_registro[[#This Row],[TAG]],'DB-EQUIPOS GEN'!$C$11:$H$833,6,0)</f>
        <v xml:space="preserve"> 0315TK040</v>
      </c>
      <c r="K1189" s="192">
        <v>44851</v>
      </c>
      <c r="L1189" s="193" t="s">
        <v>249</v>
      </c>
      <c r="M118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89" s="201"/>
      <c r="O1189" s="64" t="s">
        <v>1696</v>
      </c>
    </row>
    <row r="1190" spans="1:15" ht="33" customHeight="1">
      <c r="A1190" s="218">
        <v>1186</v>
      </c>
      <c r="B1190" s="239" t="s">
        <v>3050</v>
      </c>
      <c r="C1190" s="64" t="s">
        <v>3158</v>
      </c>
      <c r="D1190" s="191" t="s">
        <v>3136</v>
      </c>
      <c r="E1190" s="204" t="s">
        <v>1174</v>
      </c>
      <c r="F1190" s="191" t="str">
        <f>VLOOKUP(MP_registro[[#This Row],[TAG]],'DB-EQUIPOS GEN'!$C$11:$H$833,2,0)</f>
        <v>Valvula control de nivel FFE - 1/2</v>
      </c>
      <c r="G1190" s="191" t="str">
        <f>VLOOKUP(MP_registro[[#This Row],[TAG]],'DB-EQUIPOS GEN'!$C$11:$H$833,3,0)</f>
        <v>PRODUCCION</v>
      </c>
      <c r="H1190" s="191" t="str">
        <f>VLOOKUP(MP_registro[[#This Row],[TAG]],'DB-EQUIPOS GEN'!$C$11:$H$833,4,0)</f>
        <v>EVAPORACION DE JUGO</v>
      </c>
      <c r="I1190" s="191" t="str">
        <f>VLOOKUP(MP_registro[[#This Row],[TAG]],'DB-EQUIPOS GEN'!$C$11:$H$833,5,0)</f>
        <v>EVAPORADOR FFE 1/2</v>
      </c>
      <c r="J1190" s="191" t="str">
        <f>VLOOKUP(MP_registro[[#This Row],[TAG]],'DB-EQUIPOS GEN'!$C$11:$H$833,6,0)</f>
        <v>0320EV020</v>
      </c>
      <c r="K1190" s="192">
        <v>44852</v>
      </c>
      <c r="L1190" s="193" t="s">
        <v>247</v>
      </c>
      <c r="M1190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90" s="201"/>
      <c r="O1190" s="64" t="s">
        <v>1696</v>
      </c>
    </row>
    <row r="1191" spans="1:15" ht="33" customHeight="1">
      <c r="A1191" s="218">
        <v>1187</v>
      </c>
      <c r="B1191" s="239" t="s">
        <v>3050</v>
      </c>
      <c r="C1191" s="64" t="s">
        <v>3158</v>
      </c>
      <c r="D1191" s="191" t="s">
        <v>3137</v>
      </c>
      <c r="E1191" s="204" t="s">
        <v>1178</v>
      </c>
      <c r="F1191" s="191" t="str">
        <f>VLOOKUP(MP_registro[[#This Row],[TAG]],'DB-EQUIPOS GEN'!$C$11:$H$833,2,0)</f>
        <v>Valvula control de nivel FFE - 4B</v>
      </c>
      <c r="G1191" s="191" t="str">
        <f>VLOOKUP(MP_registro[[#This Row],[TAG]],'DB-EQUIPOS GEN'!$C$11:$H$833,3,0)</f>
        <v>PRODUCCION</v>
      </c>
      <c r="H1191" s="191" t="str">
        <f>VLOOKUP(MP_registro[[#This Row],[TAG]],'DB-EQUIPOS GEN'!$C$11:$H$833,4,0)</f>
        <v>EVAPORACION DE JUGO</v>
      </c>
      <c r="I1191" s="191" t="str">
        <f>VLOOKUP(MP_registro[[#This Row],[TAG]],'DB-EQUIPOS GEN'!$C$11:$H$833,5,0)</f>
        <v>EVAPORADOR FFE 4B</v>
      </c>
      <c r="J1191" s="191" t="str">
        <f>VLOOKUP(MP_registro[[#This Row],[TAG]],'DB-EQUIPOS GEN'!$C$11:$H$833,6,0)</f>
        <v>0320EV070</v>
      </c>
      <c r="K1191" s="192">
        <v>44852</v>
      </c>
      <c r="L1191" s="193" t="s">
        <v>247</v>
      </c>
      <c r="M119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91" s="201"/>
      <c r="O1191" s="64" t="s">
        <v>1696</v>
      </c>
    </row>
    <row r="1192" spans="1:15" ht="33" customHeight="1">
      <c r="A1192" s="218">
        <v>1188</v>
      </c>
      <c r="B1192" s="239" t="s">
        <v>3050</v>
      </c>
      <c r="C1192" s="64" t="s">
        <v>3158</v>
      </c>
      <c r="D1192" s="191" t="s">
        <v>3138</v>
      </c>
      <c r="E1192" s="204" t="s">
        <v>538</v>
      </c>
      <c r="F1192" s="191" t="str">
        <f>VLOOKUP(MP_registro[[#This Row],[TAG]],'DB-EQUIPOS GEN'!$C$11:$H$833,2,0)</f>
        <v>Temperatura del salida de vapor</v>
      </c>
      <c r="G1192" s="191" t="str">
        <f>VLOOKUP(MP_registro[[#This Row],[TAG]],'DB-EQUIPOS GEN'!$C$11:$H$833,3,0)</f>
        <v>PRODUCCION</v>
      </c>
      <c r="H1192" s="191" t="str">
        <f>VLOOKUP(MP_registro[[#This Row],[TAG]],'DB-EQUIPOS GEN'!$C$11:$H$833,4,0)</f>
        <v>EVAPORACION DE JUGO</v>
      </c>
      <c r="I1192" s="191" t="str">
        <f>VLOOKUP(MP_registro[[#This Row],[TAG]],'DB-EQUIPOS GEN'!$C$11:$H$833,5,0)</f>
        <v>FFE 5B</v>
      </c>
      <c r="J1192" s="191" t="str">
        <f>VLOOKUP(MP_registro[[#This Row],[TAG]],'DB-EQUIPOS GEN'!$C$11:$H$833,6,0)</f>
        <v xml:space="preserve"> 0320EV080</v>
      </c>
      <c r="K1192" s="192">
        <v>44852</v>
      </c>
      <c r="L1192" s="193" t="s">
        <v>247</v>
      </c>
      <c r="M119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92" s="201"/>
      <c r="O1192" s="64" t="s">
        <v>1696</v>
      </c>
    </row>
    <row r="1193" spans="1:15" ht="33" customHeight="1">
      <c r="A1193" s="218">
        <v>1189</v>
      </c>
      <c r="B1193" s="239" t="s">
        <v>3050</v>
      </c>
      <c r="C1193" s="64" t="s">
        <v>3158</v>
      </c>
      <c r="D1193" s="191" t="s">
        <v>3139</v>
      </c>
      <c r="E1193" s="204" t="s">
        <v>1061</v>
      </c>
      <c r="F1193" s="191" t="str">
        <f>VLOOKUP(MP_registro[[#This Row],[TAG]],'DB-EQUIPOS GEN'!$C$11:$H$833,2,0)</f>
        <v>Valvula reductora 1</v>
      </c>
      <c r="G1193" s="191" t="str">
        <f>VLOOKUP(MP_registro[[#This Row],[TAG]],'DB-EQUIPOS GEN'!$C$11:$H$833,3,0)</f>
        <v>E. TERMICA</v>
      </c>
      <c r="H1193" s="191" t="str">
        <f>VLOOKUP(MP_registro[[#This Row],[TAG]],'DB-EQUIPOS GEN'!$C$11:$H$833,4,0)</f>
        <v>DISTRIBUCION DE VAPOR</v>
      </c>
      <c r="I1193" s="191" t="str">
        <f>VLOOKUP(MP_registro[[#This Row],[TAG]],'DB-EQUIPOS GEN'!$C$11:$H$833,5,0)</f>
        <v>REDUCTOR DE DESPACHO DE VAPOR 1</v>
      </c>
      <c r="J1193" s="191" t="str">
        <f>VLOOKUP(MP_registro[[#This Row],[TAG]],'DB-EQUIPOS GEN'!$C$11:$H$833,6,0)</f>
        <v>0405RE010</v>
      </c>
      <c r="K1193" s="192">
        <v>44852</v>
      </c>
      <c r="L1193" s="193" t="s">
        <v>249</v>
      </c>
      <c r="M119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93" s="201"/>
      <c r="O1193" s="64" t="s">
        <v>1696</v>
      </c>
    </row>
    <row r="1194" spans="1:15" ht="33" customHeight="1">
      <c r="A1194" s="218">
        <v>1190</v>
      </c>
      <c r="B1194" s="239" t="s">
        <v>3050</v>
      </c>
      <c r="C1194" s="64" t="s">
        <v>3158</v>
      </c>
      <c r="D1194" s="191" t="s">
        <v>3140</v>
      </c>
      <c r="E1194" s="204" t="s">
        <v>1319</v>
      </c>
      <c r="F1194" s="191" t="str">
        <f>VLOOKUP(MP_registro[[#This Row],[TAG]],'DB-EQUIPOS GEN'!$C$11:$H$833,2,0)</f>
        <v>Tablero de periferia en Asset Caldera</v>
      </c>
      <c r="G1194" s="191" t="str">
        <f>VLOOKUP(MP_registro[[#This Row],[TAG]],'DB-EQUIPOS GEN'!$C$11:$H$833,3,0)</f>
        <v>E. TERMICA</v>
      </c>
      <c r="H1194" s="191" t="str">
        <f>VLOOKUP(MP_registro[[#This Row],[TAG]],'DB-EQUIPOS GEN'!$C$11:$H$833,4,0)</f>
        <v>GENERACION DE VAPOR</v>
      </c>
      <c r="I1194" s="191" t="str">
        <f>VLOOKUP(MP_registro[[#This Row],[TAG]],'DB-EQUIPOS GEN'!$C$11:$H$833,5,0)</f>
        <v>CALDERA</v>
      </c>
      <c r="J1194" s="191" t="str">
        <f>VLOOKUP(MP_registro[[#This Row],[TAG]],'DB-EQUIPOS GEN'!$C$11:$H$833,6,0)</f>
        <v>0405BR010</v>
      </c>
      <c r="K1194" s="192">
        <v>44852</v>
      </c>
      <c r="L1194" s="193" t="s">
        <v>248</v>
      </c>
      <c r="M1194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194" s="201"/>
      <c r="O1194" s="64" t="s">
        <v>1696</v>
      </c>
    </row>
    <row r="1195" spans="1:15" ht="33" customHeight="1">
      <c r="A1195" s="218">
        <v>1191</v>
      </c>
      <c r="B1195" s="239" t="s">
        <v>3050</v>
      </c>
      <c r="C1195" s="64" t="s">
        <v>3158</v>
      </c>
      <c r="D1195" s="191" t="s">
        <v>3141</v>
      </c>
      <c r="E1195" s="204" t="s">
        <v>2416</v>
      </c>
      <c r="F1195" s="191" t="str">
        <f>VLOOKUP(MP_registro[[#This Row],[TAG]],'DB-EQUIPOS GEN'!$C$11:$H$833,2,0)</f>
        <v>Vista Conductor Auxiliar - Superior</v>
      </c>
      <c r="G1195" s="191" t="str">
        <f>VLOOKUP(MP_registro[[#This Row],[TAG]],'DB-EQUIPOS GEN'!$C$11:$H$833,3,0)</f>
        <v>EXTRACCION</v>
      </c>
      <c r="H1195" s="191" t="str">
        <f>VLOOKUP(MP_registro[[#This Row],[TAG]],'DB-EQUIPOS GEN'!$C$11:$H$833,4,0)</f>
        <v>PREPARACIÓN DE CAÑA</v>
      </c>
      <c r="I1195" s="191" t="str">
        <f>VLOOKUP(MP_registro[[#This Row],[TAG]],'DB-EQUIPOS GEN'!$C$11:$H$833,5,0)</f>
        <v>CONDUCTOR AUXILIAR DE CAÑA</v>
      </c>
      <c r="J1195" s="191" t="str">
        <f>VLOOKUP(MP_registro[[#This Row],[TAG]],'DB-EQUIPOS GEN'!$C$11:$H$833,6,0)</f>
        <v>0115CV010</v>
      </c>
      <c r="K1195" s="192">
        <v>44852</v>
      </c>
      <c r="L1195" s="193" t="s">
        <v>247</v>
      </c>
      <c r="M1195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95" s="201"/>
      <c r="O1195" s="64" t="s">
        <v>1696</v>
      </c>
    </row>
    <row r="1196" spans="1:15" ht="33" customHeight="1">
      <c r="A1196" s="218">
        <v>1192</v>
      </c>
      <c r="B1196" s="239" t="s">
        <v>3050</v>
      </c>
      <c r="C1196" s="64" t="s">
        <v>3158</v>
      </c>
      <c r="D1196" s="191" t="s">
        <v>3142</v>
      </c>
      <c r="E1196" s="204" t="s">
        <v>2407</v>
      </c>
      <c r="F1196" s="191" t="str">
        <f>VLOOKUP(MP_registro[[#This Row],[TAG]],'DB-EQUIPOS GEN'!$C$11:$H$833,2,0)</f>
        <v>Vista Molino Secador - Conductor Intermedio</v>
      </c>
      <c r="G1196" s="191" t="str">
        <f>VLOOKUP(MP_registro[[#This Row],[TAG]],'DB-EQUIPOS GEN'!$C$11:$H$833,3,0)</f>
        <v>EXTRACCION</v>
      </c>
      <c r="H1196" s="191" t="str">
        <f>VLOOKUP(MP_registro[[#This Row],[TAG]],'DB-EQUIPOS GEN'!$C$11:$H$833,4,0)</f>
        <v>MOLINOS</v>
      </c>
      <c r="I1196" s="191" t="str">
        <f>VLOOKUP(MP_registro[[#This Row],[TAG]],'DB-EQUIPOS GEN'!$C$11:$H$833,5,0)</f>
        <v>CONDUCTOR INTERMEDIO - MOLINO SECADOR</v>
      </c>
      <c r="J1196" s="191" t="str">
        <f>VLOOKUP(MP_registro[[#This Row],[TAG]],'DB-EQUIPOS GEN'!$C$11:$H$833,6,0)</f>
        <v>0210CV070</v>
      </c>
      <c r="K1196" s="192">
        <v>44852</v>
      </c>
      <c r="L1196" s="193" t="s">
        <v>247</v>
      </c>
      <c r="M119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96" s="201"/>
      <c r="O1196" s="64" t="s">
        <v>1696</v>
      </c>
    </row>
    <row r="1197" spans="1:15" ht="33" customHeight="1">
      <c r="A1197" s="218">
        <v>1193</v>
      </c>
      <c r="B1197" s="239" t="s">
        <v>3050</v>
      </c>
      <c r="C1197" s="64" t="s">
        <v>3158</v>
      </c>
      <c r="D1197" s="191" t="s">
        <v>3143</v>
      </c>
      <c r="E1197" s="204" t="s">
        <v>1641</v>
      </c>
      <c r="F1197" s="191" t="str">
        <f>VLOOKUP(MP_registro[[#This Row],[TAG]],'DB-EQUIPOS GEN'!$C$11:$H$833,2,0)</f>
        <v>Mesa de caña</v>
      </c>
      <c r="G1197" s="191" t="str">
        <f>VLOOKUP(MP_registro[[#This Row],[TAG]],'DB-EQUIPOS GEN'!$C$11:$H$833,3,0)</f>
        <v>EXTRACCION</v>
      </c>
      <c r="H1197" s="191" t="str">
        <f>VLOOKUP(MP_registro[[#This Row],[TAG]],'DB-EQUIPOS GEN'!$C$11:$H$833,4,0)</f>
        <v>RECEPCIÓN DE CAÑA</v>
      </c>
      <c r="I1197" s="191" t="str">
        <f>VLOOKUP(MP_registro[[#This Row],[TAG]],'DB-EQUIPOS GEN'!$C$11:$H$833,5,0)</f>
        <v>MESA DE CAÑA</v>
      </c>
      <c r="J1197" s="191" t="str">
        <f>VLOOKUP(MP_registro[[#This Row],[TAG]],'DB-EQUIPOS GEN'!$C$11:$H$833,6,0)</f>
        <v>0110FE019</v>
      </c>
      <c r="K1197" s="192">
        <v>44852</v>
      </c>
      <c r="L1197" s="193" t="s">
        <v>247</v>
      </c>
      <c r="M1197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97" s="201"/>
      <c r="O1197" s="64" t="s">
        <v>1696</v>
      </c>
    </row>
    <row r="1198" spans="1:15" ht="33" customHeight="1">
      <c r="A1198" s="218">
        <v>1194</v>
      </c>
      <c r="B1198" s="239" t="s">
        <v>3050</v>
      </c>
      <c r="C1198" s="64" t="s">
        <v>3158</v>
      </c>
      <c r="D1198" s="191" t="s">
        <v>3144</v>
      </c>
      <c r="E1198" s="204" t="s">
        <v>1646</v>
      </c>
      <c r="F1198" s="191" t="str">
        <f>VLOOKUP(MP_registro[[#This Row],[TAG]],'DB-EQUIPOS GEN'!$C$11:$H$833,2,0)</f>
        <v>Segundo nivel de Turbina TGM</v>
      </c>
      <c r="G1198" s="191" t="str">
        <f>VLOOKUP(MP_registro[[#This Row],[TAG]],'DB-EQUIPOS GEN'!$C$11:$H$833,3,0)</f>
        <v>E. ELECTRICA</v>
      </c>
      <c r="H1198" s="191" t="str">
        <f>VLOOKUP(MP_registro[[#This Row],[TAG]],'DB-EQUIPOS GEN'!$C$11:$H$833,4,0)</f>
        <v>SISTEMA DE ENFRIAMIENTO</v>
      </c>
      <c r="I1198" s="191" t="str">
        <f>VLOOKUP(MP_registro[[#This Row],[TAG]],'DB-EQUIPOS GEN'!$C$11:$H$833,5,0)</f>
        <v>TORRE DE ENFRIAMIENTO MARLEY - TG TGM</v>
      </c>
      <c r="J1198" s="191" t="str">
        <f>VLOOKUP(MP_registro[[#This Row],[TAG]],'DB-EQUIPOS GEN'!$C$11:$H$833,6,0)</f>
        <v>0430CT050</v>
      </c>
      <c r="K1198" s="192">
        <v>44852</v>
      </c>
      <c r="L1198" s="193" t="s">
        <v>249</v>
      </c>
      <c r="M119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198" s="201"/>
      <c r="O1198" s="64" t="s">
        <v>1696</v>
      </c>
    </row>
    <row r="1199" spans="1:15" ht="33" customHeight="1">
      <c r="A1199" s="218">
        <v>1195</v>
      </c>
      <c r="B1199" s="239" t="s">
        <v>3050</v>
      </c>
      <c r="C1199" s="64" t="s">
        <v>3158</v>
      </c>
      <c r="D1199" s="191" t="s">
        <v>3145</v>
      </c>
      <c r="E1199" s="204" t="s">
        <v>1656</v>
      </c>
      <c r="F1199" s="191" t="str">
        <f>VLOOKUP(MP_registro[[#This Row],[TAG]],'DB-EQUIPOS GEN'!$C$11:$H$833,2,0)</f>
        <v>Descarga de centrifugas continuas</v>
      </c>
      <c r="G1199" s="191" t="str">
        <f>VLOOKUP(MP_registro[[#This Row],[TAG]],'DB-EQUIPOS GEN'!$C$11:$H$833,3,0)</f>
        <v>PRODUCCION</v>
      </c>
      <c r="H1199" s="191" t="str">
        <f>VLOOKUP(MP_registro[[#This Row],[TAG]],'DB-EQUIPOS GEN'!$C$11:$H$833,4,0)</f>
        <v>CENTRIFUGACIÓN DE AZÚCAR</v>
      </c>
      <c r="I1199" s="191" t="str">
        <f>VLOOKUP(MP_registro[[#This Row],[TAG]],'DB-EQUIPOS GEN'!$C$11:$H$833,5,0)</f>
        <v>CENTRIFUGA CONTINUA 1 - C (FRANCIA)</v>
      </c>
      <c r="J1199" s="191" t="str">
        <f>VLOOKUP(MP_registro[[#This Row],[TAG]],'DB-EQUIPOS GEN'!$C$11:$H$833,6,0)</f>
        <v>0345SQ160</v>
      </c>
      <c r="K1199" s="192">
        <v>44852</v>
      </c>
      <c r="L1199" s="193" t="s">
        <v>247</v>
      </c>
      <c r="M1199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199" s="201"/>
      <c r="O1199" s="64" t="s">
        <v>1696</v>
      </c>
    </row>
    <row r="1200" spans="1:15" ht="33" customHeight="1">
      <c r="A1200" s="218">
        <v>1196</v>
      </c>
      <c r="B1200" s="239" t="s">
        <v>3050</v>
      </c>
      <c r="C1200" s="64" t="s">
        <v>3158</v>
      </c>
      <c r="D1200" s="191" t="s">
        <v>3146</v>
      </c>
      <c r="E1200" s="204" t="s">
        <v>1658</v>
      </c>
      <c r="F1200" s="191" t="str">
        <f>VLOOKUP(MP_registro[[#This Row],[TAG]],'DB-EQUIPOS GEN'!$C$11:$H$833,2,0)</f>
        <v>Pug mill A - Centrifugas batch</v>
      </c>
      <c r="G1200" s="191" t="str">
        <f>VLOOKUP(MP_registro[[#This Row],[TAG]],'DB-EQUIPOS GEN'!$C$11:$H$833,3,0)</f>
        <v>PRODUCCION</v>
      </c>
      <c r="H1200" s="191" t="str">
        <f>VLOOKUP(MP_registro[[#This Row],[TAG]],'DB-EQUIPOS GEN'!$C$11:$H$833,4,0)</f>
        <v>CENTRIFUGACIÓN DE AZÚCAR</v>
      </c>
      <c r="I1200" s="191" t="str">
        <f>VLOOKUP(MP_registro[[#This Row],[TAG]],'DB-EQUIPOS GEN'!$C$11:$H$833,5,0)</f>
        <v>PUG MILL - A</v>
      </c>
      <c r="J1200" s="191" t="str">
        <f>VLOOKUP(MP_registro[[#This Row],[TAG]],'DB-EQUIPOS GEN'!$C$11:$H$833,6,0)</f>
        <v>0345MM010</v>
      </c>
      <c r="K1200" s="192">
        <v>44852</v>
      </c>
      <c r="L1200" s="193" t="s">
        <v>247</v>
      </c>
      <c r="M1200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200" s="201"/>
      <c r="O1200" s="64" t="s">
        <v>1696</v>
      </c>
    </row>
    <row r="1201" spans="1:15" ht="33" customHeight="1">
      <c r="A1201" s="218">
        <v>1197</v>
      </c>
      <c r="B1201" s="239" t="s">
        <v>3050</v>
      </c>
      <c r="C1201" s="64" t="s">
        <v>3158</v>
      </c>
      <c r="D1201" s="191" t="s">
        <v>3147</v>
      </c>
      <c r="E1201" s="204" t="s">
        <v>1659</v>
      </c>
      <c r="F1201" s="191" t="str">
        <f>VLOOKUP(MP_registro[[#This Row],[TAG]],'DB-EQUIPOS GEN'!$C$11:$H$833,2,0)</f>
        <v>Vista global de tanques de jarabe 1,2 y 3</v>
      </c>
      <c r="G1201" s="191" t="str">
        <f>VLOOKUP(MP_registro[[#This Row],[TAG]],'DB-EQUIPOS GEN'!$C$11:$H$833,3,0)</f>
        <v>PRODUCCION</v>
      </c>
      <c r="H1201" s="191" t="str">
        <f>VLOOKUP(MP_registro[[#This Row],[TAG]],'DB-EQUIPOS GEN'!$C$11:$H$833,4,0)</f>
        <v>CRISTALIZACIÓN POR COCCIÓN</v>
      </c>
      <c r="I1201" s="191" t="str">
        <f>VLOOKUP(MP_registro[[#This Row],[TAG]],'DB-EQUIPOS GEN'!$C$11:$H$833,5,0)</f>
        <v>TANQUE DE JARABE 1</v>
      </c>
      <c r="J1201" s="191" t="str">
        <f>VLOOKUP(MP_registro[[#This Row],[TAG]],'DB-EQUIPOS GEN'!$C$11:$H$833,6,0)</f>
        <v>0335TK010</v>
      </c>
      <c r="K1201" s="192">
        <v>44852</v>
      </c>
      <c r="L1201" s="193" t="s">
        <v>247</v>
      </c>
      <c r="M1201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201" s="201"/>
      <c r="O1201" s="64" t="s">
        <v>1696</v>
      </c>
    </row>
    <row r="1202" spans="1:15" ht="33" customHeight="1">
      <c r="A1202" s="218">
        <v>1198</v>
      </c>
      <c r="B1202" s="239" t="s">
        <v>3050</v>
      </c>
      <c r="C1202" s="64" t="s">
        <v>3158</v>
      </c>
      <c r="D1202" s="191" t="s">
        <v>3148</v>
      </c>
      <c r="E1202" s="204" t="s">
        <v>1660</v>
      </c>
      <c r="F1202" s="191" t="str">
        <f>VLOOKUP(MP_registro[[#This Row],[TAG]],'DB-EQUIPOS GEN'!$C$11:$H$833,2,0)</f>
        <v>Vista global de tacho continuo A.</v>
      </c>
      <c r="G1202" s="191" t="str">
        <f>VLOOKUP(MP_registro[[#This Row],[TAG]],'DB-EQUIPOS GEN'!$C$11:$H$833,3,0)</f>
        <v>PRODUCCION</v>
      </c>
      <c r="H1202" s="191" t="str">
        <f>VLOOKUP(MP_registro[[#This Row],[TAG]],'DB-EQUIPOS GEN'!$C$11:$H$833,4,0)</f>
        <v>CRISTALIZACIÓN POR COCCIÓN</v>
      </c>
      <c r="I1202" s="191" t="str">
        <f>VLOOKUP(MP_registro[[#This Row],[TAG]],'DB-EQUIPOS GEN'!$C$11:$H$833,5,0)</f>
        <v>TACHO CONTINUO - A</v>
      </c>
      <c r="J1202" s="191" t="str">
        <f>VLOOKUP(MP_registro[[#This Row],[TAG]],'DB-EQUIPOS GEN'!$C$11:$H$833,6,0)</f>
        <v>0335HX200</v>
      </c>
      <c r="K1202" s="192">
        <v>44852</v>
      </c>
      <c r="L1202" s="193" t="s">
        <v>247</v>
      </c>
      <c r="M1202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202" s="201"/>
      <c r="O1202" s="64" t="s">
        <v>1696</v>
      </c>
    </row>
    <row r="1203" spans="1:15" ht="33" customHeight="1">
      <c r="A1203" s="218">
        <v>1199</v>
      </c>
      <c r="B1203" s="239" t="s">
        <v>3050</v>
      </c>
      <c r="C1203" s="64" t="s">
        <v>3158</v>
      </c>
      <c r="D1203" s="191" t="s">
        <v>3149</v>
      </c>
      <c r="E1203" s="204" t="s">
        <v>1652</v>
      </c>
      <c r="F1203" s="191" t="str">
        <f>VLOOKUP(MP_registro[[#This Row],[TAG]],'DB-EQUIPOS GEN'!$C$11:$H$833,2,0)</f>
        <v>Faja 1006A - Patio de Bagazo</v>
      </c>
      <c r="G1203" s="191" t="str">
        <f>VLOOKUP(MP_registro[[#This Row],[TAG]],'DB-EQUIPOS GEN'!$C$11:$H$833,3,0)</f>
        <v>E. TERMICA</v>
      </c>
      <c r="H1203" s="191" t="str">
        <f>VLOOKUP(MP_registro[[#This Row],[TAG]],'DB-EQUIPOS GEN'!$C$11:$H$833,4,0)</f>
        <v>TRANSPORTE DE BAGAZO</v>
      </c>
      <c r="I1203" s="191" t="str">
        <f>VLOOKUP(MP_registro[[#This Row],[TAG]],'DB-EQUIPOS GEN'!$C$11:$H$833,5,0)</f>
        <v>FAJA TRANSPORTADORA 1006 A</v>
      </c>
      <c r="J1203" s="191" t="str">
        <f>VLOOKUP(MP_registro[[#This Row],[TAG]],'DB-EQUIPOS GEN'!$C$11:$H$833,6,0)</f>
        <v>0805CV080</v>
      </c>
      <c r="K1203" s="192">
        <v>44852</v>
      </c>
      <c r="L1203" s="193" t="s">
        <v>249</v>
      </c>
      <c r="M120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03" s="201"/>
      <c r="O1203" s="64" t="s">
        <v>1696</v>
      </c>
    </row>
    <row r="1204" spans="1:15" ht="33" customHeight="1">
      <c r="A1204" s="218">
        <v>1200</v>
      </c>
      <c r="B1204" s="239" t="s">
        <v>3050</v>
      </c>
      <c r="C1204" s="64" t="s">
        <v>3158</v>
      </c>
      <c r="D1204" s="191" t="s">
        <v>3150</v>
      </c>
      <c r="E1204" s="204" t="s">
        <v>1655</v>
      </c>
      <c r="F1204" s="191" t="str">
        <f>VLOOKUP(MP_registro[[#This Row],[TAG]],'DB-EQUIPOS GEN'!$C$11:$H$833,2,0)</f>
        <v>Vista global de planta de osmosis</v>
      </c>
      <c r="G1204" s="191" t="str">
        <f>VLOOKUP(MP_registro[[#This Row],[TAG]],'DB-EQUIPOS GEN'!$C$11:$H$833,3,0)</f>
        <v>E. TERMICA</v>
      </c>
      <c r="H1204" s="191" t="str">
        <f>VLOOKUP(MP_registro[[#This Row],[TAG]],'DB-EQUIPOS GEN'!$C$11:$H$833,4,0)</f>
        <v>PLANTA TRATAMIENTO OSMOSIS INVERSA</v>
      </c>
      <c r="I1204" s="191" t="str">
        <f>VLOOKUP(MP_registro[[#This Row],[TAG]],'DB-EQUIPOS GEN'!$C$11:$H$833,5,0)</f>
        <v>PLANTA DE OSMOSIS INVERSA</v>
      </c>
      <c r="J1204" s="191" t="str">
        <f>VLOOKUP(MP_registro[[#This Row],[TAG]],'DB-EQUIPOS GEN'!$C$11:$H$833,6,0)</f>
        <v>0425OI101</v>
      </c>
      <c r="K1204" s="192">
        <v>44852</v>
      </c>
      <c r="L1204" s="193" t="s">
        <v>249</v>
      </c>
      <c r="M120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04" s="201"/>
      <c r="O1204" s="64" t="s">
        <v>1696</v>
      </c>
    </row>
    <row r="1205" spans="1:15" ht="33" customHeight="1">
      <c r="A1205" s="218">
        <v>1201</v>
      </c>
      <c r="B1205" s="239" t="s">
        <v>3050</v>
      </c>
      <c r="C1205" s="64" t="s">
        <v>3158</v>
      </c>
      <c r="D1205" s="191" t="s">
        <v>3151</v>
      </c>
      <c r="E1205" s="204" t="s">
        <v>1052</v>
      </c>
      <c r="F1205" s="191" t="str">
        <f>VLOOKUP(MP_registro[[#This Row],[TAG]],'DB-EQUIPOS GEN'!$C$11:$H$833,2,0)</f>
        <v>Condentracion de lechada de cal en tanque de almacenamiento #1</v>
      </c>
      <c r="G1205" s="191" t="str">
        <f>VLOOKUP(MP_registro[[#This Row],[TAG]],'DB-EQUIPOS GEN'!$C$11:$H$833,3,0)</f>
        <v>PRODUCCION</v>
      </c>
      <c r="H1205" s="191" t="str">
        <f>VLOOKUP(MP_registro[[#This Row],[TAG]],'DB-EQUIPOS GEN'!$C$11:$H$833,4,0)</f>
        <v>PLANTA DE CAL</v>
      </c>
      <c r="I1205" s="191" t="str">
        <f>VLOOKUP(MP_registro[[#This Row],[TAG]],'DB-EQUIPOS GEN'!$C$11:$H$833,5,0)</f>
        <v>TANQUE DE PREPARACION DE LECHADA DE CAL</v>
      </c>
      <c r="J1205" s="191" t="str">
        <f>VLOOKUP(MP_registro[[#This Row],[TAG]],'DB-EQUIPOS GEN'!$C$11:$H$833,6,0)</f>
        <v xml:space="preserve"> 0315TK040</v>
      </c>
      <c r="K1205" s="192">
        <v>44852</v>
      </c>
      <c r="L1205" s="193" t="s">
        <v>249</v>
      </c>
      <c r="M1205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05" s="201"/>
      <c r="O1205" s="64" t="s">
        <v>1696</v>
      </c>
    </row>
    <row r="1206" spans="1:15" ht="33" customHeight="1">
      <c r="A1206" s="218">
        <v>1202</v>
      </c>
      <c r="B1206" s="239" t="s">
        <v>3050</v>
      </c>
      <c r="C1206" s="64" t="s">
        <v>3158</v>
      </c>
      <c r="D1206" s="191" t="s">
        <v>3152</v>
      </c>
      <c r="E1206" s="204" t="s">
        <v>288</v>
      </c>
      <c r="F1206" s="191" t="str">
        <f>VLOOKUP(MP_registro[[#This Row],[TAG]],'DB-EQUIPOS GEN'!$C$11:$H$833,2,0)</f>
        <v>Nivel de jugo del tanque flash</v>
      </c>
      <c r="G1206" s="191" t="str">
        <f>VLOOKUP(MP_registro[[#This Row],[TAG]],'DB-EQUIPOS GEN'!$C$11:$H$833,3,0)</f>
        <v>PRODUCCION</v>
      </c>
      <c r="H1206" s="191" t="str">
        <f>VLOOKUP(MP_registro[[#This Row],[TAG]],'DB-EQUIPOS GEN'!$C$11:$H$833,4,0)</f>
        <v>CLARIFICACION DE JUGO</v>
      </c>
      <c r="I1206" s="191" t="str">
        <f>VLOOKUP(MP_registro[[#This Row],[TAG]],'DB-EQUIPOS GEN'!$C$11:$H$833,5,0)</f>
        <v>TANQUE FLASH</v>
      </c>
      <c r="J1206" s="191" t="str">
        <f>VLOOKUP(MP_registro[[#This Row],[TAG]],'DB-EQUIPOS GEN'!$C$11:$H$833,6,0)</f>
        <v>0305TK270</v>
      </c>
      <c r="K1206" s="192">
        <v>44853</v>
      </c>
      <c r="L1206" s="193" t="s">
        <v>247</v>
      </c>
      <c r="M1206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206" s="201"/>
      <c r="O1206" s="64" t="s">
        <v>1696</v>
      </c>
    </row>
    <row r="1207" spans="1:15" ht="33" customHeight="1">
      <c r="A1207" s="218">
        <v>1203</v>
      </c>
      <c r="B1207" s="239" t="s">
        <v>3050</v>
      </c>
      <c r="C1207" s="64" t="s">
        <v>3158</v>
      </c>
      <c r="D1207" s="191" t="s">
        <v>3153</v>
      </c>
      <c r="E1207" s="204" t="s">
        <v>255</v>
      </c>
      <c r="F1207" s="191" t="str">
        <f>VLOOKUP(MP_registro[[#This Row],[TAG]],'DB-EQUIPOS GEN'!$C$11:$H$833,2,0)</f>
        <v>Tablero de periferia en Asset Turbina</v>
      </c>
      <c r="G1207" s="191" t="str">
        <f>VLOOKUP(MP_registro[[#This Row],[TAG]],'DB-EQUIPOS GEN'!$C$11:$H$833,3,0)</f>
        <v>E. ELECTRICA</v>
      </c>
      <c r="H1207" s="191" t="str">
        <f>VLOOKUP(MP_registro[[#This Row],[TAG]],'DB-EQUIPOS GEN'!$C$11:$H$833,4,0)</f>
        <v>GENERACION ENERG. ELEC. TURBO GENERADOR</v>
      </c>
      <c r="I1207" s="191" t="str">
        <f>VLOOKUP(MP_registro[[#This Row],[TAG]],'DB-EQUIPOS GEN'!$C$11:$H$833,5,0)</f>
        <v>TURBOGENERADOR 7.5 MW</v>
      </c>
      <c r="J1207" s="191" t="str">
        <f>VLOOKUP(MP_registro[[#This Row],[TAG]],'DB-EQUIPOS GEN'!$C$11:$H$833,6,0)</f>
        <v>0430TG010</v>
      </c>
      <c r="K1207" s="192">
        <v>44853</v>
      </c>
      <c r="L1207" s="193" t="s">
        <v>248</v>
      </c>
      <c r="M1207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207" s="201"/>
      <c r="O1207" s="64" t="s">
        <v>1696</v>
      </c>
    </row>
    <row r="1208" spans="1:15" ht="33" customHeight="1">
      <c r="A1208" s="218">
        <v>1204</v>
      </c>
      <c r="B1208" s="239" t="s">
        <v>3050</v>
      </c>
      <c r="C1208" s="64" t="s">
        <v>3158</v>
      </c>
      <c r="D1208" s="191" t="s">
        <v>3154</v>
      </c>
      <c r="E1208" s="204" t="s">
        <v>1643</v>
      </c>
      <c r="F1208" s="191" t="str">
        <f>VLOOKUP(MP_registro[[#This Row],[TAG]],'DB-EQUIPOS GEN'!$C$11:$H$833,2,0)</f>
        <v>Nivelador de cama de bagazo en difusor</v>
      </c>
      <c r="G1208" s="191" t="str">
        <f>VLOOKUP(MP_registro[[#This Row],[TAG]],'DB-EQUIPOS GEN'!$C$11:$H$833,3,0)</f>
        <v>EXTRACCION</v>
      </c>
      <c r="H1208" s="191" t="str">
        <f>VLOOKUP(MP_registro[[#This Row],[TAG]],'DB-EQUIPOS GEN'!$C$11:$H$833,4,0)</f>
        <v>DIFUSOR</v>
      </c>
      <c r="I1208" s="191" t="str">
        <f>VLOOKUP(MP_registro[[#This Row],[TAG]],'DB-EQUIPOS GEN'!$C$11:$H$833,5,0)</f>
        <v>CONDUCTOR TRANSVERSAL</v>
      </c>
      <c r="J1208" s="191" t="str">
        <f>VLOOKUP(MP_registro[[#This Row],[TAG]],'DB-EQUIPOS GEN'!$C$11:$H$833,6,0)</f>
        <v>0205CV190</v>
      </c>
      <c r="K1208" s="192">
        <v>44853</v>
      </c>
      <c r="L1208" s="193" t="s">
        <v>247</v>
      </c>
      <c r="M1208" s="77" t="str">
        <f>IF(MP_registro[[#This Row],[TURNO]]="G1",LISTAS!$E$5,IF(MP_registro[[#This Row],[TURNO]]="G2",LISTAS!$E$10,IF(MP_registro[[#This Row],[TURNO]]="G3",LISTAS!$E$7,IF(MP_registro[[#This Row],[TURNO]]="G4",LISTAS!$E$8,LISTAS!$E$9))))</f>
        <v>Luis Chu / Ricardo Effio</v>
      </c>
      <c r="N1208" s="201"/>
      <c r="O1208" s="64" t="s">
        <v>1696</v>
      </c>
    </row>
    <row r="1209" spans="1:15" ht="33" customHeight="1">
      <c r="A1209" s="218">
        <v>1205</v>
      </c>
      <c r="B1209" s="239" t="s">
        <v>3050</v>
      </c>
      <c r="C1209" s="64" t="s">
        <v>3158</v>
      </c>
      <c r="D1209" s="191" t="s">
        <v>3155</v>
      </c>
      <c r="E1209" s="204" t="s">
        <v>1648</v>
      </c>
      <c r="F1209" s="191" t="str">
        <f>VLOOKUP(MP_registro[[#This Row],[TAG]],'DB-EQUIPOS GEN'!$C$11:$H$833,2,0)</f>
        <v>Nivel de agua en domo</v>
      </c>
      <c r="G1209" s="191" t="str">
        <f>VLOOKUP(MP_registro[[#This Row],[TAG]],'DB-EQUIPOS GEN'!$C$11:$H$833,3,0)</f>
        <v>E. TERMICA</v>
      </c>
      <c r="H1209" s="191" t="str">
        <f>VLOOKUP(MP_registro[[#This Row],[TAG]],'DB-EQUIPOS GEN'!$C$11:$H$833,4,0)</f>
        <v>GENERACIÓN DE VAPOR</v>
      </c>
      <c r="I1209" s="191" t="str">
        <f>VLOOKUP(MP_registro[[#This Row],[TAG]],'DB-EQUIPOS GEN'!$C$11:$H$833,5,0)</f>
        <v>DOMO SUPERIOR</v>
      </c>
      <c r="J1209" s="191" t="str">
        <f>VLOOKUP(MP_registro[[#This Row],[TAG]],'DB-EQUIPOS GEN'!$C$11:$H$833,6,0)</f>
        <v>0405DO020</v>
      </c>
      <c r="K1209" s="192">
        <v>44853</v>
      </c>
      <c r="L1209" s="193" t="s">
        <v>249</v>
      </c>
      <c r="M120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09" s="201"/>
      <c r="O1209" s="64" t="s">
        <v>1696</v>
      </c>
    </row>
    <row r="1210" spans="1:15" ht="33" customHeight="1">
      <c r="A1210" s="218">
        <v>1206</v>
      </c>
      <c r="B1210" s="239" t="s">
        <v>3050</v>
      </c>
      <c r="C1210" s="64" t="s">
        <v>3158</v>
      </c>
      <c r="D1210" s="191" t="s">
        <v>3156</v>
      </c>
      <c r="E1210" s="204" t="s">
        <v>1650</v>
      </c>
      <c r="F1210" s="191" t="str">
        <f>VLOOKUP(MP_registro[[#This Row],[TAG]],'DB-EQUIPOS GEN'!$C$11:$H$833,2,0)</f>
        <v>Faja 1003 - Conductor distribuidor de bagazo</v>
      </c>
      <c r="G1210" s="191" t="str">
        <f>VLOOKUP(MP_registro[[#This Row],[TAG]],'DB-EQUIPOS GEN'!$C$11:$H$833,3,0)</f>
        <v>E. TERMICA</v>
      </c>
      <c r="H1210" s="191" t="str">
        <f>VLOOKUP(MP_registro[[#This Row],[TAG]],'DB-EQUIPOS GEN'!$C$11:$H$833,4,0)</f>
        <v>TRANSPORTE DE BAGAZO</v>
      </c>
      <c r="I1210" s="191" t="str">
        <f>VLOOKUP(MP_registro[[#This Row],[TAG]],'DB-EQUIPOS GEN'!$C$11:$H$833,5,0)</f>
        <v>TRANSPORTADOR DE BAGAZO 1003</v>
      </c>
      <c r="J1210" s="191" t="str">
        <f>VLOOKUP(MP_registro[[#This Row],[TAG]],'DB-EQUIPOS GEN'!$C$11:$H$833,6,0)</f>
        <v>0805CV060</v>
      </c>
      <c r="K1210" s="192">
        <v>44853</v>
      </c>
      <c r="L1210" s="193" t="s">
        <v>249</v>
      </c>
      <c r="M121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10" s="201"/>
      <c r="O1210" s="64" t="s">
        <v>1696</v>
      </c>
    </row>
    <row r="1211" spans="1:15" ht="33" customHeight="1">
      <c r="A1211" s="218">
        <v>1207</v>
      </c>
      <c r="B1211" s="239" t="s">
        <v>3050</v>
      </c>
      <c r="C1211" s="64" t="s">
        <v>3158</v>
      </c>
      <c r="D1211" s="191" t="s">
        <v>3157</v>
      </c>
      <c r="E1211" s="204" t="s">
        <v>1651</v>
      </c>
      <c r="F1211" s="191" t="str">
        <f>VLOOKUP(MP_registro[[#This Row],[TAG]],'DB-EQUIPOS GEN'!$C$11:$H$833,2,0)</f>
        <v>Faja 1008 - Tolva de retorno de bagazo</v>
      </c>
      <c r="G1211" s="191" t="str">
        <f>VLOOKUP(MP_registro[[#This Row],[TAG]],'DB-EQUIPOS GEN'!$C$11:$H$833,3,0)</f>
        <v>E. TERMICA</v>
      </c>
      <c r="H1211" s="191" t="str">
        <f>VLOOKUP(MP_registro[[#This Row],[TAG]],'DB-EQUIPOS GEN'!$C$11:$H$833,4,0)</f>
        <v>TRANSPORTE DE BAGAZO</v>
      </c>
      <c r="I1211" s="191" t="str">
        <f>VLOOKUP(MP_registro[[#This Row],[TAG]],'DB-EQUIPOS GEN'!$C$11:$H$833,5,0)</f>
        <v>FAJA TRANSPORTADORA 1008</v>
      </c>
      <c r="J1211" s="191" t="str">
        <f>VLOOKUP(MP_registro[[#This Row],[TAG]],'DB-EQUIPOS GEN'!$C$11:$H$833,6,0)</f>
        <v>0805CV100</v>
      </c>
      <c r="K1211" s="192">
        <v>44853</v>
      </c>
      <c r="L1211" s="193" t="s">
        <v>249</v>
      </c>
      <c r="M121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11" s="201"/>
      <c r="O1211" s="64" t="s">
        <v>1696</v>
      </c>
    </row>
    <row r="1212" spans="1:15" ht="33" customHeight="1">
      <c r="A1212" s="218">
        <v>1208</v>
      </c>
      <c r="B1212" s="239" t="s">
        <v>3050</v>
      </c>
      <c r="C1212" s="64" t="s">
        <v>3226</v>
      </c>
      <c r="D1212" s="191" t="s">
        <v>3159</v>
      </c>
      <c r="E1212" s="204" t="s">
        <v>1173</v>
      </c>
      <c r="F1212" s="191" t="str">
        <f>VLOOKUP(MP_registro[[#This Row],[TAG]],'DB-EQUIPOS GEN'!$C$11:$H$833,2,0)</f>
        <v>Valvula control de nivel FFE - 1</v>
      </c>
      <c r="G1212" s="191" t="str">
        <f>VLOOKUP(MP_registro[[#This Row],[TAG]],'DB-EQUIPOS GEN'!$C$11:$H$833,3,0)</f>
        <v>PRODUCCION</v>
      </c>
      <c r="H1212" s="191" t="str">
        <f>VLOOKUP(MP_registro[[#This Row],[TAG]],'DB-EQUIPOS GEN'!$C$11:$H$833,4,0)</f>
        <v>EVAPORACION DE JUGO</v>
      </c>
      <c r="I1212" s="191" t="str">
        <f>VLOOKUP(MP_registro[[#This Row],[TAG]],'DB-EQUIPOS GEN'!$C$11:$H$833,5,0)</f>
        <v>EVAPORADOR FFE 1</v>
      </c>
      <c r="J1212" s="191" t="str">
        <f>VLOOKUP(MP_registro[[#This Row],[TAG]],'DB-EQUIPOS GEN'!$C$11:$H$833,6,0)</f>
        <v>0320EV010</v>
      </c>
      <c r="K1212" s="192">
        <v>44854</v>
      </c>
      <c r="L1212" s="193" t="s">
        <v>245</v>
      </c>
      <c r="M1212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12" s="201"/>
      <c r="O1212" s="64" t="s">
        <v>1696</v>
      </c>
    </row>
    <row r="1213" spans="1:15" ht="33" customHeight="1">
      <c r="A1213" s="218">
        <v>1209</v>
      </c>
      <c r="B1213" s="239" t="s">
        <v>3050</v>
      </c>
      <c r="C1213" s="64" t="s">
        <v>3226</v>
      </c>
      <c r="D1213" s="191" t="s">
        <v>3160</v>
      </c>
      <c r="E1213" s="204" t="s">
        <v>1175</v>
      </c>
      <c r="F1213" s="191" t="str">
        <f>VLOOKUP(MP_registro[[#This Row],[TAG]],'DB-EQUIPOS GEN'!$C$11:$H$833,2,0)</f>
        <v>Valvula control de nivel FFE - 2/3</v>
      </c>
      <c r="G1213" s="191" t="str">
        <f>VLOOKUP(MP_registro[[#This Row],[TAG]],'DB-EQUIPOS GEN'!$C$11:$H$833,3,0)</f>
        <v>PRODUCCION</v>
      </c>
      <c r="H1213" s="191" t="str">
        <f>VLOOKUP(MP_registro[[#This Row],[TAG]],'DB-EQUIPOS GEN'!$C$11:$H$833,4,0)</f>
        <v>EVAPORACION DE JUGO</v>
      </c>
      <c r="I1213" s="191" t="str">
        <f>VLOOKUP(MP_registro[[#This Row],[TAG]],'DB-EQUIPOS GEN'!$C$11:$H$833,5,0)</f>
        <v>EVAPORADOR FFE 2/3</v>
      </c>
      <c r="J1213" s="191" t="str">
        <f>VLOOKUP(MP_registro[[#This Row],[TAG]],'DB-EQUIPOS GEN'!$C$11:$H$833,6,0)</f>
        <v>0320EV030</v>
      </c>
      <c r="K1213" s="192">
        <v>44854</v>
      </c>
      <c r="L1213" s="193" t="s">
        <v>245</v>
      </c>
      <c r="M121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13" s="201"/>
      <c r="O1213" s="64" t="s">
        <v>1696</v>
      </c>
    </row>
    <row r="1214" spans="1:15" ht="33" customHeight="1">
      <c r="A1214" s="218">
        <v>1210</v>
      </c>
      <c r="B1214" s="239" t="s">
        <v>3050</v>
      </c>
      <c r="C1214" s="64" t="s">
        <v>3226</v>
      </c>
      <c r="D1214" s="191" t="s">
        <v>3161</v>
      </c>
      <c r="E1214" s="204" t="s">
        <v>1176</v>
      </c>
      <c r="F1214" s="191" t="str">
        <f>VLOOKUP(MP_registro[[#This Row],[TAG]],'DB-EQUIPOS GEN'!$C$11:$H$833,2,0)</f>
        <v>Valvula control de nivel FFE - 3</v>
      </c>
      <c r="G1214" s="191" t="str">
        <f>VLOOKUP(MP_registro[[#This Row],[TAG]],'DB-EQUIPOS GEN'!$C$11:$H$833,3,0)</f>
        <v>PRODUCCION</v>
      </c>
      <c r="H1214" s="191" t="str">
        <f>VLOOKUP(MP_registro[[#This Row],[TAG]],'DB-EQUIPOS GEN'!$C$11:$H$833,4,0)</f>
        <v>EVAPORACION DE JUGO</v>
      </c>
      <c r="I1214" s="191" t="str">
        <f>VLOOKUP(MP_registro[[#This Row],[TAG]],'DB-EQUIPOS GEN'!$C$11:$H$833,5,0)</f>
        <v>EVAPORADOR FFE 3</v>
      </c>
      <c r="J1214" s="191" t="str">
        <f>VLOOKUP(MP_registro[[#This Row],[TAG]],'DB-EQUIPOS GEN'!$C$11:$H$833,6,0)</f>
        <v>0320EV040</v>
      </c>
      <c r="K1214" s="192">
        <v>44854</v>
      </c>
      <c r="L1214" s="193" t="s">
        <v>245</v>
      </c>
      <c r="M121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14" s="201"/>
      <c r="O1214" s="64" t="s">
        <v>1696</v>
      </c>
    </row>
    <row r="1215" spans="1:15" ht="33" customHeight="1">
      <c r="A1215" s="218">
        <v>1211</v>
      </c>
      <c r="B1215" s="239" t="s">
        <v>3050</v>
      </c>
      <c r="C1215" s="64" t="s">
        <v>3226</v>
      </c>
      <c r="D1215" s="191" t="s">
        <v>3162</v>
      </c>
      <c r="E1215" s="204" t="s">
        <v>1180</v>
      </c>
      <c r="F1215" s="191" t="str">
        <f>VLOOKUP(MP_registro[[#This Row],[TAG]],'DB-EQUIPOS GEN'!$C$11:$H$833,2,0)</f>
        <v>Valvula control de nivel FFE - 5B</v>
      </c>
      <c r="G1215" s="191" t="str">
        <f>VLOOKUP(MP_registro[[#This Row],[TAG]],'DB-EQUIPOS GEN'!$C$11:$H$833,3,0)</f>
        <v>PRODUCCION</v>
      </c>
      <c r="H1215" s="191" t="str">
        <f>VLOOKUP(MP_registro[[#This Row],[TAG]],'DB-EQUIPOS GEN'!$C$11:$H$833,4,0)</f>
        <v>EVAPORACION DE JUGO</v>
      </c>
      <c r="I1215" s="191" t="str">
        <f>VLOOKUP(MP_registro[[#This Row],[TAG]],'DB-EQUIPOS GEN'!$C$11:$H$833,5,0)</f>
        <v>EVAPORADOR FFE 5B</v>
      </c>
      <c r="J1215" s="191" t="str">
        <f>VLOOKUP(MP_registro[[#This Row],[TAG]],'DB-EQUIPOS GEN'!$C$11:$H$833,6,0)</f>
        <v>0320EV080</v>
      </c>
      <c r="K1215" s="192">
        <v>44854</v>
      </c>
      <c r="L1215" s="193" t="s">
        <v>245</v>
      </c>
      <c r="M121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15" s="201"/>
      <c r="O1215" s="64" t="s">
        <v>1696</v>
      </c>
    </row>
    <row r="1216" spans="1:15" ht="33" customHeight="1">
      <c r="A1216" s="218">
        <v>1212</v>
      </c>
      <c r="B1216" s="239" t="s">
        <v>3050</v>
      </c>
      <c r="C1216" s="64" t="s">
        <v>3226</v>
      </c>
      <c r="D1216" s="191" t="s">
        <v>3163</v>
      </c>
      <c r="E1216" s="204" t="s">
        <v>1653</v>
      </c>
      <c r="F1216" s="191" t="str">
        <f>VLOOKUP(MP_registro[[#This Row],[TAG]],'DB-EQUIPOS GEN'!$C$11:$H$833,2,0)</f>
        <v>Operación del desviador de bagazo</v>
      </c>
      <c r="G1216" s="191" t="str">
        <f>VLOOKUP(MP_registro[[#This Row],[TAG]],'DB-EQUIPOS GEN'!$C$11:$H$833,3,0)</f>
        <v>E. TERMICA</v>
      </c>
      <c r="H1216" s="191" t="str">
        <f>VLOOKUP(MP_registro[[#This Row],[TAG]],'DB-EQUIPOS GEN'!$C$11:$H$833,4,0)</f>
        <v>TRANSPORTE DE BAGAZO</v>
      </c>
      <c r="I1216" s="191" t="str">
        <f>VLOOKUP(MP_registro[[#This Row],[TAG]],'DB-EQUIPOS GEN'!$C$11:$H$833,5,0)</f>
        <v>FAJA TRANSPORTADORA 1004</v>
      </c>
      <c r="J1216" s="191" t="str">
        <f>VLOOKUP(MP_registro[[#This Row],[TAG]],'DB-EQUIPOS GEN'!$C$11:$H$833,6,0)</f>
        <v>0805CV070</v>
      </c>
      <c r="K1216" s="192">
        <v>44854</v>
      </c>
      <c r="L1216" s="193" t="s">
        <v>245</v>
      </c>
      <c r="M121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16" s="201"/>
      <c r="O1216" s="64" t="s">
        <v>1696</v>
      </c>
    </row>
    <row r="1217" spans="1:15" ht="33" customHeight="1">
      <c r="A1217" s="218">
        <v>1213</v>
      </c>
      <c r="B1217" s="239" t="s">
        <v>3050</v>
      </c>
      <c r="C1217" s="64" t="s">
        <v>3226</v>
      </c>
      <c r="D1217" s="191" t="s">
        <v>3164</v>
      </c>
      <c r="E1217" s="204" t="s">
        <v>1654</v>
      </c>
      <c r="F1217" s="191" t="str">
        <f>VLOOKUP(MP_registro[[#This Row],[TAG]],'DB-EQUIPOS GEN'!$C$11:$H$833,2,0)</f>
        <v>Vista global de sala turbina TGM</v>
      </c>
      <c r="G1217" s="191" t="str">
        <f>VLOOKUP(MP_registro[[#This Row],[TAG]],'DB-EQUIPOS GEN'!$C$11:$H$833,3,0)</f>
        <v>E. ELECTRICA</v>
      </c>
      <c r="H1217" s="191" t="str">
        <f>VLOOKUP(MP_registro[[#This Row],[TAG]],'DB-EQUIPOS GEN'!$C$11:$H$833,4,0)</f>
        <v>SISTEMA DE ENFRIAMIENTO</v>
      </c>
      <c r="I1217" s="191" t="str">
        <f>VLOOKUP(MP_registro[[#This Row],[TAG]],'DB-EQUIPOS GEN'!$C$11:$H$833,5,0)</f>
        <v>TORRE DE ENFRIAMIENTO MARLEY - TG TGM</v>
      </c>
      <c r="J1217" s="191" t="str">
        <f>VLOOKUP(MP_registro[[#This Row],[TAG]],'DB-EQUIPOS GEN'!$C$11:$H$833,6,0)</f>
        <v>0430CT050</v>
      </c>
      <c r="K1217" s="192">
        <v>44854</v>
      </c>
      <c r="L1217" s="193" t="s">
        <v>245</v>
      </c>
      <c r="M121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17" s="201"/>
      <c r="O1217" s="64" t="s">
        <v>1696</v>
      </c>
    </row>
    <row r="1218" spans="1:15" ht="33" customHeight="1">
      <c r="A1218" s="218">
        <v>1214</v>
      </c>
      <c r="B1218" s="239" t="s">
        <v>3050</v>
      </c>
      <c r="C1218" s="64" t="s">
        <v>3226</v>
      </c>
      <c r="D1218" s="191" t="s">
        <v>3165</v>
      </c>
      <c r="E1218" s="204" t="s">
        <v>253</v>
      </c>
      <c r="F1218" s="191" t="str">
        <f>VLOOKUP(MP_registro[[#This Row],[TAG]],'DB-EQUIPOS GEN'!$C$11:$H$833,2,0)</f>
        <v>Tablero de periferia en Asset Cocimiento</v>
      </c>
      <c r="G1218" s="191" t="str">
        <f>VLOOKUP(MP_registro[[#This Row],[TAG]],'DB-EQUIPOS GEN'!$C$11:$H$833,3,0)</f>
        <v>PRODUCCION</v>
      </c>
      <c r="H1218" s="191" t="str">
        <f>VLOOKUP(MP_registro[[#This Row],[TAG]],'DB-EQUIPOS GEN'!$C$11:$H$833,4,0)</f>
        <v>CRISTALIZACION POR COCCION</v>
      </c>
      <c r="I1218" s="191" t="str">
        <f>VLOOKUP(MP_registro[[#This Row],[TAG]],'DB-EQUIPOS GEN'!$C$11:$H$833,5,0)</f>
        <v>TACHO CONTINUO - A</v>
      </c>
      <c r="J1218" s="191" t="str">
        <f>VLOOKUP(MP_registro[[#This Row],[TAG]],'DB-EQUIPOS GEN'!$C$11:$H$833,6,0)</f>
        <v>0335HX200</v>
      </c>
      <c r="K1218" s="192">
        <v>44855</v>
      </c>
      <c r="L1218" s="193" t="s">
        <v>248</v>
      </c>
      <c r="M1218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218" s="201"/>
      <c r="O1218" s="64" t="s">
        <v>1696</v>
      </c>
    </row>
    <row r="1219" spans="1:15" ht="33" customHeight="1">
      <c r="A1219" s="218">
        <v>1215</v>
      </c>
      <c r="B1219" s="239" t="s">
        <v>3050</v>
      </c>
      <c r="C1219" s="64" t="s">
        <v>3226</v>
      </c>
      <c r="D1219" s="191" t="s">
        <v>3166</v>
      </c>
      <c r="E1219" s="204" t="s">
        <v>1323</v>
      </c>
      <c r="F1219" s="191" t="str">
        <f>VLOOKUP(MP_registro[[#This Row],[TAG]],'DB-EQUIPOS GEN'!$C$11:$H$833,2,0)</f>
        <v>Tablero de periferia en Asset Difusor</v>
      </c>
      <c r="G1219" s="191" t="str">
        <f>VLOOKUP(MP_registro[[#This Row],[TAG]],'DB-EQUIPOS GEN'!$C$11:$H$833,3,0)</f>
        <v>EXTRACCION</v>
      </c>
      <c r="H1219" s="191" t="str">
        <f>VLOOKUP(MP_registro[[#This Row],[TAG]],'DB-EQUIPOS GEN'!$C$11:$H$833,4,0)</f>
        <v>DIFUSOR</v>
      </c>
      <c r="I1219" s="191" t="str">
        <f>VLOOKUP(MP_registro[[#This Row],[TAG]],'DB-EQUIPOS GEN'!$C$11:$H$833,5,0)</f>
        <v>DIFUSOR</v>
      </c>
      <c r="J1219" s="191" t="str">
        <f>VLOOKUP(MP_registro[[#This Row],[TAG]],'DB-EQUIPOS GEN'!$C$11:$H$833,6,0)</f>
        <v>0205DF180</v>
      </c>
      <c r="K1219" s="192">
        <v>44855</v>
      </c>
      <c r="L1219" s="193" t="s">
        <v>248</v>
      </c>
      <c r="M1219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219" s="201"/>
      <c r="O1219" s="64" t="s">
        <v>1696</v>
      </c>
    </row>
    <row r="1220" spans="1:15" ht="33" customHeight="1">
      <c r="A1220" s="218">
        <v>1216</v>
      </c>
      <c r="B1220" s="239" t="s">
        <v>3050</v>
      </c>
      <c r="C1220" s="64" t="s">
        <v>3226</v>
      </c>
      <c r="D1220" s="191" t="s">
        <v>3167</v>
      </c>
      <c r="E1220" s="204" t="s">
        <v>1324</v>
      </c>
      <c r="F1220" s="191" t="str">
        <f>VLOOKUP(MP_registro[[#This Row],[TAG]],'DB-EQUIPOS GEN'!$C$11:$H$833,2,0)</f>
        <v>Tablero de periferia en Asset Process Houses</v>
      </c>
      <c r="G1220" s="191" t="str">
        <f>VLOOKUP(MP_registro[[#This Row],[TAG]],'DB-EQUIPOS GEN'!$C$11:$H$833,3,0)</f>
        <v>PRODUCCION</v>
      </c>
      <c r="H1220" s="191" t="str">
        <f>VLOOKUP(MP_registro[[#This Row],[TAG]],'DB-EQUIPOS GEN'!$C$11:$H$833,4,0)</f>
        <v>EVAPORACION DE JUGO</v>
      </c>
      <c r="I1220" s="191" t="str">
        <f>VLOOKUP(MP_registro[[#This Row],[TAG]],'DB-EQUIPOS GEN'!$C$11:$H$833,5,0)</f>
        <v>EVAPORADOR FFE 1</v>
      </c>
      <c r="J1220" s="191" t="str">
        <f>VLOOKUP(MP_registro[[#This Row],[TAG]],'DB-EQUIPOS GEN'!$C$11:$H$833,6,0)</f>
        <v>0320EV010</v>
      </c>
      <c r="K1220" s="192">
        <v>44855</v>
      </c>
      <c r="L1220" s="193" t="s">
        <v>248</v>
      </c>
      <c r="M1220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220" s="201"/>
      <c r="O1220" s="64" t="s">
        <v>1696</v>
      </c>
    </row>
    <row r="1221" spans="1:15" ht="33" customHeight="1">
      <c r="A1221" s="218">
        <v>1217</v>
      </c>
      <c r="B1221" s="239" t="s">
        <v>3050</v>
      </c>
      <c r="C1221" s="64" t="s">
        <v>3226</v>
      </c>
      <c r="D1221" s="191" t="s">
        <v>3168</v>
      </c>
      <c r="E1221" s="204" t="s">
        <v>1644</v>
      </c>
      <c r="F1221" s="191" t="str">
        <f>VLOOKUP(MP_registro[[#This Row],[TAG]],'DB-EQUIPOS GEN'!$C$11:$H$833,2,0)</f>
        <v>Explanada de Turbina Triveni</v>
      </c>
      <c r="G1221" s="191" t="str">
        <f>VLOOKUP(MP_registro[[#This Row],[TAG]],'DB-EQUIPOS GEN'!$C$11:$H$833,3,0)</f>
        <v>E. ELECTRICA</v>
      </c>
      <c r="H1221" s="191" t="str">
        <f>VLOOKUP(MP_registro[[#This Row],[TAG]],'DB-EQUIPOS GEN'!$C$11:$H$833,4,0)</f>
        <v>GENERACIÓN ENERG. ELEC. TURBO GENERADOR</v>
      </c>
      <c r="I1221" s="191" t="str">
        <f>VLOOKUP(MP_registro[[#This Row],[TAG]],'DB-EQUIPOS GEN'!$C$11:$H$833,5,0)</f>
        <v>TURBOGENERADOR TRIVENI 23.2 MW</v>
      </c>
      <c r="J1221" s="191" t="str">
        <f>VLOOKUP(MP_registro[[#This Row],[TAG]],'DB-EQUIPOS GEN'!$C$11:$H$833,6,0)</f>
        <v>0430TG020</v>
      </c>
      <c r="K1221" s="192">
        <v>44855</v>
      </c>
      <c r="L1221" s="193" t="s">
        <v>245</v>
      </c>
      <c r="M1221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21" s="201"/>
      <c r="O1221" s="64" t="s">
        <v>1696</v>
      </c>
    </row>
    <row r="1222" spans="1:15" ht="33" customHeight="1">
      <c r="A1222" s="218">
        <v>1218</v>
      </c>
      <c r="B1222" s="239" t="s">
        <v>3050</v>
      </c>
      <c r="C1222" s="64" t="s">
        <v>3226</v>
      </c>
      <c r="D1222" s="191" t="s">
        <v>3169</v>
      </c>
      <c r="E1222" s="204" t="s">
        <v>1647</v>
      </c>
      <c r="F1222" s="191" t="str">
        <f>VLOOKUP(MP_registro[[#This Row],[TAG]],'DB-EQUIPOS GEN'!$C$11:$H$833,2,0)</f>
        <v>Explanada frontal de Turbina Triveni</v>
      </c>
      <c r="G1222" s="191" t="str">
        <f>VLOOKUP(MP_registro[[#This Row],[TAG]],'DB-EQUIPOS GEN'!$C$11:$H$833,3,0)</f>
        <v>E. ELECTRICA</v>
      </c>
      <c r="H1222" s="191" t="str">
        <f>VLOOKUP(MP_registro[[#This Row],[TAG]],'DB-EQUIPOS GEN'!$C$11:$H$833,4,0)</f>
        <v>GENERACIÓN ENERG. ELEC. TURBO GENERADOR</v>
      </c>
      <c r="I1222" s="191" t="str">
        <f>VLOOKUP(MP_registro[[#This Row],[TAG]],'DB-EQUIPOS GEN'!$C$11:$H$833,5,0)</f>
        <v>TURBOGENERADOR TRIVENI 23.2 MW</v>
      </c>
      <c r="J1222" s="191" t="str">
        <f>VLOOKUP(MP_registro[[#This Row],[TAG]],'DB-EQUIPOS GEN'!$C$11:$H$833,6,0)</f>
        <v>0430TG020</v>
      </c>
      <c r="K1222" s="192">
        <v>44855</v>
      </c>
      <c r="L1222" s="193" t="s">
        <v>245</v>
      </c>
      <c r="M1222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22" s="201"/>
      <c r="O1222" s="64" t="s">
        <v>1696</v>
      </c>
    </row>
    <row r="1223" spans="1:15" ht="33" customHeight="1">
      <c r="A1223" s="218">
        <v>1219</v>
      </c>
      <c r="B1223" s="239" t="s">
        <v>3050</v>
      </c>
      <c r="C1223" s="64" t="s">
        <v>3226</v>
      </c>
      <c r="D1223" s="191" t="s">
        <v>3170</v>
      </c>
      <c r="E1223" s="204" t="s">
        <v>486</v>
      </c>
      <c r="F1223" s="191" t="str">
        <f>VLOOKUP(MP_registro[[#This Row],[TAG]],'DB-EQUIPOS GEN'!$C$11:$H$833,2,0)</f>
        <v>Temperatura del ingreso de vapor</v>
      </c>
      <c r="G1223" s="191" t="str">
        <f>VLOOKUP(MP_registro[[#This Row],[TAG]],'DB-EQUIPOS GEN'!$C$11:$H$833,3,0)</f>
        <v>PRODUCCION</v>
      </c>
      <c r="H1223" s="191" t="str">
        <f>VLOOKUP(MP_registro[[#This Row],[TAG]],'DB-EQUIPOS GEN'!$C$11:$H$833,4,0)</f>
        <v>EVAPORACION DE JUGO</v>
      </c>
      <c r="I1223" s="191" t="str">
        <f>VLOOKUP(MP_registro[[#This Row],[TAG]],'DB-EQUIPOS GEN'!$C$11:$H$833,5,0)</f>
        <v>FFE 1 /2</v>
      </c>
      <c r="J1223" s="191" t="str">
        <f>VLOOKUP(MP_registro[[#This Row],[TAG]],'DB-EQUIPOS GEN'!$C$11:$H$833,6,0)</f>
        <v xml:space="preserve"> 0320EV020</v>
      </c>
      <c r="K1223" s="192">
        <v>44856</v>
      </c>
      <c r="L1223" s="193" t="s">
        <v>245</v>
      </c>
      <c r="M122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23" s="201"/>
      <c r="O1223" s="64" t="s">
        <v>1696</v>
      </c>
    </row>
    <row r="1224" spans="1:15" ht="33" customHeight="1">
      <c r="A1224" s="218">
        <v>1220</v>
      </c>
      <c r="B1224" s="239" t="s">
        <v>3050</v>
      </c>
      <c r="C1224" s="64" t="s">
        <v>3226</v>
      </c>
      <c r="D1224" s="191" t="s">
        <v>3171</v>
      </c>
      <c r="E1224" s="204" t="s">
        <v>1321</v>
      </c>
      <c r="F1224" s="191" t="str">
        <f>VLOOKUP(MP_registro[[#This Row],[TAG]],'DB-EQUIPOS GEN'!$C$11:$H$833,2,0)</f>
        <v>Tablero de periferia en Asset Difusor</v>
      </c>
      <c r="G1224" s="191" t="str">
        <f>VLOOKUP(MP_registro[[#This Row],[TAG]],'DB-EQUIPOS GEN'!$C$11:$H$833,3,0)</f>
        <v>EXTRACCION</v>
      </c>
      <c r="H1224" s="191" t="str">
        <f>VLOOKUP(MP_registro[[#This Row],[TAG]],'DB-EQUIPOS GEN'!$C$11:$H$833,4,0)</f>
        <v>DIFUSOR</v>
      </c>
      <c r="I1224" s="191" t="str">
        <f>VLOOKUP(MP_registro[[#This Row],[TAG]],'DB-EQUIPOS GEN'!$C$11:$H$833,5,0)</f>
        <v>DIFUSOR</v>
      </c>
      <c r="J1224" s="191" t="str">
        <f>VLOOKUP(MP_registro[[#This Row],[TAG]],'DB-EQUIPOS GEN'!$C$11:$H$833,6,0)</f>
        <v>0205DF180</v>
      </c>
      <c r="K1224" s="192">
        <v>44856</v>
      </c>
      <c r="L1224" s="193" t="s">
        <v>248</v>
      </c>
      <c r="M1224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224" s="201"/>
      <c r="O1224" s="64" t="s">
        <v>1696</v>
      </c>
    </row>
    <row r="1225" spans="1:15" ht="33" customHeight="1">
      <c r="A1225" s="218">
        <v>1221</v>
      </c>
      <c r="B1225" s="239" t="s">
        <v>3050</v>
      </c>
      <c r="C1225" s="64" t="s">
        <v>3226</v>
      </c>
      <c r="D1225" s="191" t="s">
        <v>3172</v>
      </c>
      <c r="E1225" s="204" t="s">
        <v>1649</v>
      </c>
      <c r="F1225" s="191" t="str">
        <f>VLOOKUP(MP_registro[[#This Row],[TAG]],'DB-EQUIPOS GEN'!$C$11:$H$833,2,0)</f>
        <v>Chute alimentadores de bagazo</v>
      </c>
      <c r="G1225" s="191" t="str">
        <f>VLOOKUP(MP_registro[[#This Row],[TAG]],'DB-EQUIPOS GEN'!$C$11:$H$833,3,0)</f>
        <v>E. TERMICA</v>
      </c>
      <c r="H1225" s="191" t="str">
        <f>VLOOKUP(MP_registro[[#This Row],[TAG]],'DB-EQUIPOS GEN'!$C$11:$H$833,4,0)</f>
        <v>TRANSPORTE DE BAGAZO</v>
      </c>
      <c r="I1225" s="191" t="str">
        <f>VLOOKUP(MP_registro[[#This Row],[TAG]],'DB-EQUIPOS GEN'!$C$11:$H$833,5,0)</f>
        <v>ALIMENTADOR DE BAGAZO 1</v>
      </c>
      <c r="J1225" s="191" t="str">
        <f>VLOOKUP(MP_registro[[#This Row],[TAG]],'DB-EQUIPOS GEN'!$C$11:$H$833,6,0)</f>
        <v>0405RV240</v>
      </c>
      <c r="K1225" s="192">
        <v>44856</v>
      </c>
      <c r="L1225" s="193" t="s">
        <v>245</v>
      </c>
      <c r="M122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25" s="201"/>
      <c r="O1225" s="64" t="s">
        <v>1696</v>
      </c>
    </row>
    <row r="1226" spans="1:15" ht="33" customHeight="1">
      <c r="A1226" s="218">
        <v>1222</v>
      </c>
      <c r="B1226" s="239" t="s">
        <v>3050</v>
      </c>
      <c r="C1226" s="64" t="s">
        <v>3226</v>
      </c>
      <c r="D1226" s="191" t="s">
        <v>3173</v>
      </c>
      <c r="E1226" s="204" t="s">
        <v>1642</v>
      </c>
      <c r="F1226" s="191" t="str">
        <f>VLOOKUP(MP_registro[[#This Row],[TAG]],'DB-EQUIPOS GEN'!$C$11:$H$833,2,0)</f>
        <v>Salida de bagazo de molino secador</v>
      </c>
      <c r="G1226" s="191" t="str">
        <f>VLOOKUP(MP_registro[[#This Row],[TAG]],'DB-EQUIPOS GEN'!$C$11:$H$833,3,0)</f>
        <v>EXTRACCION</v>
      </c>
      <c r="H1226" s="191" t="str">
        <f>VLOOKUP(MP_registro[[#This Row],[TAG]],'DB-EQUIPOS GEN'!$C$11:$H$833,4,0)</f>
        <v>MOLINOS</v>
      </c>
      <c r="I1226" s="191" t="str">
        <f>VLOOKUP(MP_registro[[#This Row],[TAG]],'DB-EQUIPOS GEN'!$C$11:$H$833,5,0)</f>
        <v>MOLINO SECADOR</v>
      </c>
      <c r="J1226" s="191" t="str">
        <f>VLOOKUP(MP_registro[[#This Row],[TAG]],'DB-EQUIPOS GEN'!$C$11:$H$833,6,0)</f>
        <v>0210MM090</v>
      </c>
      <c r="K1226" s="192">
        <v>44857</v>
      </c>
      <c r="L1226" s="193" t="s">
        <v>249</v>
      </c>
      <c r="M122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26" s="201"/>
      <c r="O1226" s="64" t="s">
        <v>1696</v>
      </c>
    </row>
    <row r="1227" spans="1:15" ht="33" customHeight="1">
      <c r="A1227" s="218">
        <v>1223</v>
      </c>
      <c r="B1227" s="239" t="s">
        <v>3050</v>
      </c>
      <c r="C1227" s="64" t="s">
        <v>3226</v>
      </c>
      <c r="D1227" s="191" t="s">
        <v>3174</v>
      </c>
      <c r="E1227" s="204" t="s">
        <v>1657</v>
      </c>
      <c r="F1227" s="191" t="str">
        <f>VLOOKUP(MP_registro[[#This Row],[TAG]],'DB-EQUIPOS GEN'!$C$11:$H$833,2,0)</f>
        <v>Pug mill B, Cabezal C de centrifugas continuas</v>
      </c>
      <c r="G1227" s="191" t="str">
        <f>VLOOKUP(MP_registro[[#This Row],[TAG]],'DB-EQUIPOS GEN'!$C$11:$H$833,3,0)</f>
        <v>PRODUCCION</v>
      </c>
      <c r="H1227" s="191" t="str">
        <f>VLOOKUP(MP_registro[[#This Row],[TAG]],'DB-EQUIPOS GEN'!$C$11:$H$833,4,0)</f>
        <v>CENTRIFUGACIÓN DE AZÚCAR</v>
      </c>
      <c r="I1227" s="191" t="str">
        <f>VLOOKUP(MP_registro[[#This Row],[TAG]],'DB-EQUIPOS GEN'!$C$11:$H$833,5,0)</f>
        <v>PUG MILL - B</v>
      </c>
      <c r="J1227" s="191" t="str">
        <f>VLOOKUP(MP_registro[[#This Row],[TAG]],'DB-EQUIPOS GEN'!$C$11:$H$833,6,0)</f>
        <v>0345MM020</v>
      </c>
      <c r="K1227" s="192">
        <v>44857</v>
      </c>
      <c r="L1227" s="193" t="s">
        <v>249</v>
      </c>
      <c r="M1227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27" s="201"/>
      <c r="O1227" s="64" t="s">
        <v>1696</v>
      </c>
    </row>
    <row r="1228" spans="1:15" ht="33" customHeight="1">
      <c r="A1228" s="218">
        <v>1224</v>
      </c>
      <c r="B1228" s="239" t="s">
        <v>3050</v>
      </c>
      <c r="C1228" s="64" t="s">
        <v>3226</v>
      </c>
      <c r="D1228" s="191" t="s">
        <v>3175</v>
      </c>
      <c r="E1228" s="204" t="s">
        <v>1661</v>
      </c>
      <c r="F1228" s="191" t="str">
        <f>VLOOKUP(MP_registro[[#This Row],[TAG]],'DB-EQUIPOS GEN'!$C$11:$H$833,2,0)</f>
        <v xml:space="preserve">Faja de azucar seca a Silo </v>
      </c>
      <c r="G1228" s="191" t="str">
        <f>VLOOKUP(MP_registro[[#This Row],[TAG]],'DB-EQUIPOS GEN'!$C$11:$H$833,3,0)</f>
        <v>PRODUCCION</v>
      </c>
      <c r="H1228" s="191" t="str">
        <f>VLOOKUP(MP_registro[[#This Row],[TAG]],'DB-EQUIPOS GEN'!$C$11:$H$833,4,0)</f>
        <v>ENVASADO DE AZÚCAR RUBIA</v>
      </c>
      <c r="I1228" s="191" t="str">
        <f>VLOOKUP(MP_registro[[#This Row],[TAG]],'DB-EQUIPOS GEN'!$C$11:$H$833,5,0)</f>
        <v>SILO DE AZUCAR 1</v>
      </c>
      <c r="J1228" s="191" t="str">
        <f>VLOOKUP(MP_registro[[#This Row],[TAG]],'DB-EQUIPOS GEN'!$C$11:$H$833,6,0)</f>
        <v>0355BI090</v>
      </c>
      <c r="K1228" s="192">
        <v>44857</v>
      </c>
      <c r="L1228" s="193" t="s">
        <v>249</v>
      </c>
      <c r="M122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28" s="201"/>
      <c r="O1228" s="64" t="s">
        <v>1696</v>
      </c>
    </row>
    <row r="1229" spans="1:15" ht="33" customHeight="1">
      <c r="A1229" s="218">
        <v>1225</v>
      </c>
      <c r="B1229" s="239" t="s">
        <v>3050</v>
      </c>
      <c r="C1229" s="64" t="s">
        <v>3226</v>
      </c>
      <c r="D1229" s="191" t="s">
        <v>3176</v>
      </c>
      <c r="E1229" s="204" t="s">
        <v>280</v>
      </c>
      <c r="F1229" s="191" t="str">
        <f>VLOOKUP(MP_registro[[#This Row],[TAG]],'DB-EQUIPOS GEN'!$C$11:$H$833,2,0)</f>
        <v>PH de jugo clarificado</v>
      </c>
      <c r="G1229" s="191" t="str">
        <f>VLOOKUP(MP_registro[[#This Row],[TAG]],'DB-EQUIPOS GEN'!$C$11:$H$833,3,0)</f>
        <v>PRODUCCION</v>
      </c>
      <c r="H1229" s="191" t="str">
        <f>VLOOKUP(MP_registro[[#This Row],[TAG]],'DB-EQUIPOS GEN'!$C$11:$H$833,4,0)</f>
        <v>CLARIFICACION DE JUGO</v>
      </c>
      <c r="I1229" s="191" t="str">
        <f>VLOOKUP(MP_registro[[#This Row],[TAG]],'DB-EQUIPOS GEN'!$C$11:$H$833,5,0)</f>
        <v xml:space="preserve">CLARIFICADOR SRT </v>
      </c>
      <c r="J1229" s="191" t="str">
        <f>VLOOKUP(MP_registro[[#This Row],[TAG]],'DB-EQUIPOS GEN'!$C$11:$H$833,6,0)</f>
        <v xml:space="preserve"> 0305CL130</v>
      </c>
      <c r="K1229" s="192">
        <v>44858</v>
      </c>
      <c r="L1229" s="193" t="s">
        <v>249</v>
      </c>
      <c r="M1229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29" s="201"/>
      <c r="O1229" s="64" t="s">
        <v>1696</v>
      </c>
    </row>
    <row r="1230" spans="1:15" ht="33" customHeight="1">
      <c r="A1230" s="218">
        <v>1226</v>
      </c>
      <c r="B1230" s="239" t="s">
        <v>3050</v>
      </c>
      <c r="C1230" s="64" t="s">
        <v>3226</v>
      </c>
      <c r="D1230" s="191" t="s">
        <v>3177</v>
      </c>
      <c r="E1230" s="204" t="s">
        <v>2406</v>
      </c>
      <c r="F1230" s="191" t="str">
        <f>VLOOKUP(MP_registro[[#This Row],[TAG]],'DB-EQUIPOS GEN'!$C$11:$H$833,2,0)</f>
        <v>Vista Mesa de Caña - Descarga de Tetras</v>
      </c>
      <c r="G1230" s="191" t="str">
        <f>VLOOKUP(MP_registro[[#This Row],[TAG]],'DB-EQUIPOS GEN'!$C$11:$H$833,3,0)</f>
        <v>EXTRACCION</v>
      </c>
      <c r="H1230" s="191" t="str">
        <f>VLOOKUP(MP_registro[[#This Row],[TAG]],'DB-EQUIPOS GEN'!$C$11:$H$833,4,0)</f>
        <v>RECEPCIÓN DE CAÑA</v>
      </c>
      <c r="I1230" s="191" t="str">
        <f>VLOOKUP(MP_registro[[#This Row],[TAG]],'DB-EQUIPOS GEN'!$C$11:$H$833,5,0)</f>
        <v>MESA DE CAÑA</v>
      </c>
      <c r="J1230" s="191" t="str">
        <f>VLOOKUP(MP_registro[[#This Row],[TAG]],'DB-EQUIPOS GEN'!$C$11:$H$833,6,0)</f>
        <v>0110FE019</v>
      </c>
      <c r="K1230" s="192">
        <v>44858</v>
      </c>
      <c r="L1230" s="193" t="s">
        <v>249</v>
      </c>
      <c r="M123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30" s="201"/>
      <c r="O1230" s="64" t="s">
        <v>1696</v>
      </c>
    </row>
    <row r="1231" spans="1:15" ht="33" customHeight="1">
      <c r="A1231" s="218">
        <v>1227</v>
      </c>
      <c r="B1231" s="239" t="s">
        <v>3050</v>
      </c>
      <c r="C1231" s="64" t="s">
        <v>3226</v>
      </c>
      <c r="D1231" s="191" t="s">
        <v>3178</v>
      </c>
      <c r="E1231" s="204" t="s">
        <v>1640</v>
      </c>
      <c r="F1231" s="191" t="str">
        <f>VLOOKUP(MP_registro[[#This Row],[TAG]],'DB-EQUIPOS GEN'!$C$11:$H$833,2,0)</f>
        <v>Conductor de alimentación a difusor y retorno</v>
      </c>
      <c r="G1231" s="191" t="str">
        <f>VLOOKUP(MP_registro[[#This Row],[TAG]],'DB-EQUIPOS GEN'!$C$11:$H$833,3,0)</f>
        <v>EXTRACCION</v>
      </c>
      <c r="H1231" s="191" t="str">
        <f>VLOOKUP(MP_registro[[#This Row],[TAG]],'DB-EQUIPOS GEN'!$C$11:$H$833,4,0)</f>
        <v>PREPARACIÓN DE CAÑA</v>
      </c>
      <c r="I1231" s="191" t="str">
        <f>VLOOKUP(MP_registro[[#This Row],[TAG]],'DB-EQUIPOS GEN'!$C$11:$H$833,5,0)</f>
        <v>CONDUCTOR DE RETORNO</v>
      </c>
      <c r="J1231" s="191" t="str">
        <f>VLOOKUP(MP_registro[[#This Row],[TAG]],'DB-EQUIPOS GEN'!$C$11:$H$833,6,0)</f>
        <v>0115CV090</v>
      </c>
      <c r="K1231" s="192">
        <v>44858</v>
      </c>
      <c r="L1231" s="193" t="s">
        <v>249</v>
      </c>
      <c r="M123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31" s="201"/>
      <c r="O1231" s="64" t="s">
        <v>1696</v>
      </c>
    </row>
    <row r="1232" spans="1:15" ht="33" customHeight="1">
      <c r="A1232" s="218">
        <v>1228</v>
      </c>
      <c r="B1232" s="239" t="s">
        <v>3050</v>
      </c>
      <c r="C1232" s="64" t="s">
        <v>3226</v>
      </c>
      <c r="D1232" s="191" t="s">
        <v>3179</v>
      </c>
      <c r="E1232" s="204" t="s">
        <v>1645</v>
      </c>
      <c r="F1232" s="191" t="str">
        <f>VLOOKUP(MP_registro[[#This Row],[TAG]],'DB-EQUIPOS GEN'!$C$11:$H$833,2,0)</f>
        <v>Tamiz rotativo</v>
      </c>
      <c r="G1232" s="191" t="str">
        <f>VLOOKUP(MP_registro[[#This Row],[TAG]],'DB-EQUIPOS GEN'!$C$11:$H$833,3,0)</f>
        <v>EXTRACCION</v>
      </c>
      <c r="H1232" s="191" t="str">
        <f>VLOOKUP(MP_registro[[#This Row],[TAG]],'DB-EQUIPOS GEN'!$C$11:$H$833,4,0)</f>
        <v>DIFUSOR</v>
      </c>
      <c r="I1232" s="191" t="str">
        <f>VLOOKUP(MP_registro[[#This Row],[TAG]],'DB-EQUIPOS GEN'!$C$11:$H$833,5,0)</f>
        <v>TAMIZ ROTATIVO</v>
      </c>
      <c r="J1232" s="191" t="str">
        <f>VLOOKUP(MP_registro[[#This Row],[TAG]],'DB-EQUIPOS GEN'!$C$11:$H$833,6,0)</f>
        <v>0305FL010</v>
      </c>
      <c r="K1232" s="192">
        <v>44858</v>
      </c>
      <c r="L1232" s="193" t="s">
        <v>249</v>
      </c>
      <c r="M123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32" s="201"/>
      <c r="O1232" s="64" t="s">
        <v>1696</v>
      </c>
    </row>
    <row r="1233" spans="1:15" ht="33" customHeight="1">
      <c r="A1233" s="218">
        <v>1229</v>
      </c>
      <c r="B1233" s="239" t="s">
        <v>3050</v>
      </c>
      <c r="C1233" s="64" t="s">
        <v>3226</v>
      </c>
      <c r="D1233" s="191" t="s">
        <v>3180</v>
      </c>
      <c r="E1233" s="204" t="s">
        <v>1050</v>
      </c>
      <c r="F1233" s="191" t="str">
        <f>VLOOKUP(MP_registro[[#This Row],[TAG]],'DB-EQUIPOS GEN'!$C$11:$H$833,2,0)</f>
        <v>Condentracion de lechada de cal en tanque de mezclado</v>
      </c>
      <c r="G1233" s="191" t="str">
        <f>VLOOKUP(MP_registro[[#This Row],[TAG]],'DB-EQUIPOS GEN'!$C$11:$H$833,3,0)</f>
        <v>PRODUCCION</v>
      </c>
      <c r="H1233" s="191" t="str">
        <f>VLOOKUP(MP_registro[[#This Row],[TAG]],'DB-EQUIPOS GEN'!$C$11:$H$833,4,0)</f>
        <v>PLANTA DE CAL</v>
      </c>
      <c r="I1233" s="191" t="str">
        <f>VLOOKUP(MP_registro[[#This Row],[TAG]],'DB-EQUIPOS GEN'!$C$11:$H$833,5,0)</f>
        <v>TANQUE DE PREPARACION DE LECHADA DE CAL</v>
      </c>
      <c r="J1233" s="191" t="str">
        <f>VLOOKUP(MP_registro[[#This Row],[TAG]],'DB-EQUIPOS GEN'!$C$11:$H$833,6,0)</f>
        <v xml:space="preserve"> 0315TK040</v>
      </c>
      <c r="K1233" s="192">
        <v>44858</v>
      </c>
      <c r="L1233" s="193" t="s">
        <v>249</v>
      </c>
      <c r="M123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33" s="201"/>
      <c r="O1233" s="64" t="s">
        <v>1696</v>
      </c>
    </row>
    <row r="1234" spans="1:15" ht="33" customHeight="1">
      <c r="A1234" s="218">
        <v>1230</v>
      </c>
      <c r="B1234" s="239" t="s">
        <v>3050</v>
      </c>
      <c r="C1234" s="64" t="s">
        <v>3226</v>
      </c>
      <c r="D1234" s="191" t="s">
        <v>3181</v>
      </c>
      <c r="E1234" s="204" t="s">
        <v>1177</v>
      </c>
      <c r="F1234" s="191" t="str">
        <f>VLOOKUP(MP_registro[[#This Row],[TAG]],'DB-EQUIPOS GEN'!$C$11:$H$833,2,0)</f>
        <v>Valvula control de nivel FFE - 4A</v>
      </c>
      <c r="G1234" s="191" t="str">
        <f>VLOOKUP(MP_registro[[#This Row],[TAG]],'DB-EQUIPOS GEN'!$C$11:$H$833,3,0)</f>
        <v>PRODUCCION</v>
      </c>
      <c r="H1234" s="191" t="str">
        <f>VLOOKUP(MP_registro[[#This Row],[TAG]],'DB-EQUIPOS GEN'!$C$11:$H$833,4,0)</f>
        <v>EVAPORACION DE JUGO</v>
      </c>
      <c r="I1234" s="191" t="str">
        <f>VLOOKUP(MP_registro[[#This Row],[TAG]],'DB-EQUIPOS GEN'!$C$11:$H$833,5,0)</f>
        <v>EVAPORADOR FFE 4A</v>
      </c>
      <c r="J1234" s="191" t="str">
        <f>VLOOKUP(MP_registro[[#This Row],[TAG]],'DB-EQUIPOS GEN'!$C$11:$H$833,6,0)</f>
        <v>0320EV050</v>
      </c>
      <c r="K1234" s="192">
        <v>44859</v>
      </c>
      <c r="L1234" s="193" t="s">
        <v>245</v>
      </c>
      <c r="M123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34" s="201"/>
      <c r="O1234" s="64" t="s">
        <v>1696</v>
      </c>
    </row>
    <row r="1235" spans="1:15" ht="33" customHeight="1">
      <c r="A1235" s="218">
        <v>1231</v>
      </c>
      <c r="B1235" s="239" t="s">
        <v>3050</v>
      </c>
      <c r="C1235" s="64" t="s">
        <v>3226</v>
      </c>
      <c r="D1235" s="191" t="s">
        <v>3182</v>
      </c>
      <c r="E1235" s="204" t="s">
        <v>1849</v>
      </c>
      <c r="F1235" s="191" t="str">
        <f>VLOOKUP(MP_registro[[#This Row],[TAG]],'DB-EQUIPOS GEN'!$C$11:$H$833,2,0)</f>
        <v>Aire Instrumentacion p/ Caldera</v>
      </c>
      <c r="G1235" s="191" t="str">
        <f>VLOOKUP(MP_registro[[#This Row],[TAG]],'DB-EQUIPOS GEN'!$C$11:$H$833,3,0)</f>
        <v>E. ELECTRICA</v>
      </c>
      <c r="H1235" s="191" t="str">
        <f>VLOOKUP(MP_registro[[#This Row],[TAG]],'DB-EQUIPOS GEN'!$C$11:$H$833,4,0)</f>
        <v>GENERACION ENERG. ELEC. TURBO GENERADOR</v>
      </c>
      <c r="I1235" s="191" t="str">
        <f>VLOOKUP(MP_registro[[#This Row],[TAG]],'DB-EQUIPOS GEN'!$C$11:$H$833,5,0)</f>
        <v/>
      </c>
      <c r="J1235" s="191" t="str">
        <f>VLOOKUP(MP_registro[[#This Row],[TAG]],'DB-EQUIPOS GEN'!$C$11:$H$833,6,0)</f>
        <v/>
      </c>
      <c r="K1235" s="192">
        <v>44859</v>
      </c>
      <c r="L1235" s="193" t="s">
        <v>245</v>
      </c>
      <c r="M123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35" s="201"/>
      <c r="O1235" s="64" t="s">
        <v>1696</v>
      </c>
    </row>
    <row r="1236" spans="1:15" ht="33" customHeight="1">
      <c r="A1236" s="218">
        <v>1232</v>
      </c>
      <c r="B1236" s="239" t="s">
        <v>3050</v>
      </c>
      <c r="C1236" s="64" t="s">
        <v>3226</v>
      </c>
      <c r="D1236" s="191" t="s">
        <v>3183</v>
      </c>
      <c r="E1236" s="204" t="s">
        <v>2416</v>
      </c>
      <c r="F1236" s="191" t="str">
        <f>VLOOKUP(MP_registro[[#This Row],[TAG]],'DB-EQUIPOS GEN'!$C$11:$H$833,2,0)</f>
        <v>Vista Conductor Auxiliar - Superior</v>
      </c>
      <c r="G1236" s="191" t="str">
        <f>VLOOKUP(MP_registro[[#This Row],[TAG]],'DB-EQUIPOS GEN'!$C$11:$H$833,3,0)</f>
        <v>EXTRACCION</v>
      </c>
      <c r="H1236" s="191" t="str">
        <f>VLOOKUP(MP_registro[[#This Row],[TAG]],'DB-EQUIPOS GEN'!$C$11:$H$833,4,0)</f>
        <v>PREPARACIÓN DE CAÑA</v>
      </c>
      <c r="I1236" s="191" t="str">
        <f>VLOOKUP(MP_registro[[#This Row],[TAG]],'DB-EQUIPOS GEN'!$C$11:$H$833,5,0)</f>
        <v>CONDUCTOR AUXILIAR DE CAÑA</v>
      </c>
      <c r="J1236" s="191" t="str">
        <f>VLOOKUP(MP_registro[[#This Row],[TAG]],'DB-EQUIPOS GEN'!$C$11:$H$833,6,0)</f>
        <v>0115CV010</v>
      </c>
      <c r="K1236" s="192">
        <v>44859</v>
      </c>
      <c r="L1236" s="193" t="s">
        <v>249</v>
      </c>
      <c r="M123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36" s="201"/>
      <c r="O1236" s="64" t="s">
        <v>1696</v>
      </c>
    </row>
    <row r="1237" spans="1:15" ht="33" customHeight="1">
      <c r="A1237" s="218">
        <v>1233</v>
      </c>
      <c r="B1237" s="239" t="s">
        <v>3050</v>
      </c>
      <c r="C1237" s="64" t="s">
        <v>3226</v>
      </c>
      <c r="D1237" s="191" t="s">
        <v>3184</v>
      </c>
      <c r="E1237" s="204" t="s">
        <v>2407</v>
      </c>
      <c r="F1237" s="191" t="str">
        <f>VLOOKUP(MP_registro[[#This Row],[TAG]],'DB-EQUIPOS GEN'!$C$11:$H$833,2,0)</f>
        <v>Vista Molino Secador - Conductor Intermedio</v>
      </c>
      <c r="G1237" s="191" t="str">
        <f>VLOOKUP(MP_registro[[#This Row],[TAG]],'DB-EQUIPOS GEN'!$C$11:$H$833,3,0)</f>
        <v>EXTRACCION</v>
      </c>
      <c r="H1237" s="191" t="str">
        <f>VLOOKUP(MP_registro[[#This Row],[TAG]],'DB-EQUIPOS GEN'!$C$11:$H$833,4,0)</f>
        <v>MOLINOS</v>
      </c>
      <c r="I1237" s="191" t="str">
        <f>VLOOKUP(MP_registro[[#This Row],[TAG]],'DB-EQUIPOS GEN'!$C$11:$H$833,5,0)</f>
        <v>CONDUCTOR INTERMEDIO - MOLINO SECADOR</v>
      </c>
      <c r="J1237" s="191" t="str">
        <f>VLOOKUP(MP_registro[[#This Row],[TAG]],'DB-EQUIPOS GEN'!$C$11:$H$833,6,0)</f>
        <v>0210CV070</v>
      </c>
      <c r="K1237" s="192">
        <v>44859</v>
      </c>
      <c r="L1237" s="193" t="s">
        <v>249</v>
      </c>
      <c r="M1237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37" s="201"/>
      <c r="O1237" s="64" t="s">
        <v>1696</v>
      </c>
    </row>
    <row r="1238" spans="1:15" ht="33" customHeight="1">
      <c r="A1238" s="218">
        <v>1234</v>
      </c>
      <c r="B1238" s="239" t="s">
        <v>3050</v>
      </c>
      <c r="C1238" s="64" t="s">
        <v>3226</v>
      </c>
      <c r="D1238" s="191" t="s">
        <v>3185</v>
      </c>
      <c r="E1238" s="204" t="s">
        <v>1641</v>
      </c>
      <c r="F1238" s="191" t="str">
        <f>VLOOKUP(MP_registro[[#This Row],[TAG]],'DB-EQUIPOS GEN'!$C$11:$H$833,2,0)</f>
        <v>Mesa de caña</v>
      </c>
      <c r="G1238" s="191" t="str">
        <f>VLOOKUP(MP_registro[[#This Row],[TAG]],'DB-EQUIPOS GEN'!$C$11:$H$833,3,0)</f>
        <v>EXTRACCION</v>
      </c>
      <c r="H1238" s="191" t="str">
        <f>VLOOKUP(MP_registro[[#This Row],[TAG]],'DB-EQUIPOS GEN'!$C$11:$H$833,4,0)</f>
        <v>RECEPCIÓN DE CAÑA</v>
      </c>
      <c r="I1238" s="191" t="str">
        <f>VLOOKUP(MP_registro[[#This Row],[TAG]],'DB-EQUIPOS GEN'!$C$11:$H$833,5,0)</f>
        <v>MESA DE CAÑA</v>
      </c>
      <c r="J1238" s="191" t="str">
        <f>VLOOKUP(MP_registro[[#This Row],[TAG]],'DB-EQUIPOS GEN'!$C$11:$H$833,6,0)</f>
        <v>0110FE019</v>
      </c>
      <c r="K1238" s="192">
        <v>44859</v>
      </c>
      <c r="L1238" s="193" t="s">
        <v>249</v>
      </c>
      <c r="M123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38" s="201"/>
      <c r="O1238" s="64" t="s">
        <v>1696</v>
      </c>
    </row>
    <row r="1239" spans="1:15" ht="33" customHeight="1">
      <c r="A1239" s="218">
        <v>1235</v>
      </c>
      <c r="B1239" s="239" t="s">
        <v>3050</v>
      </c>
      <c r="C1239" s="64" t="s">
        <v>3226</v>
      </c>
      <c r="D1239" s="191" t="s">
        <v>3186</v>
      </c>
      <c r="E1239" s="204" t="s">
        <v>1646</v>
      </c>
      <c r="F1239" s="191" t="str">
        <f>VLOOKUP(MP_registro[[#This Row],[TAG]],'DB-EQUIPOS GEN'!$C$11:$H$833,2,0)</f>
        <v>Segundo nivel de Turbina TGM</v>
      </c>
      <c r="G1239" s="191" t="str">
        <f>VLOOKUP(MP_registro[[#This Row],[TAG]],'DB-EQUIPOS GEN'!$C$11:$H$833,3,0)</f>
        <v>E. ELECTRICA</v>
      </c>
      <c r="H1239" s="191" t="str">
        <f>VLOOKUP(MP_registro[[#This Row],[TAG]],'DB-EQUIPOS GEN'!$C$11:$H$833,4,0)</f>
        <v>SISTEMA DE ENFRIAMIENTO</v>
      </c>
      <c r="I1239" s="191" t="str">
        <f>VLOOKUP(MP_registro[[#This Row],[TAG]],'DB-EQUIPOS GEN'!$C$11:$H$833,5,0)</f>
        <v>TORRE DE ENFRIAMIENTO MARLEY - TG TGM</v>
      </c>
      <c r="J1239" s="191" t="str">
        <f>VLOOKUP(MP_registro[[#This Row],[TAG]],'DB-EQUIPOS GEN'!$C$11:$H$833,6,0)</f>
        <v>0430CT050</v>
      </c>
      <c r="K1239" s="192">
        <v>44859</v>
      </c>
      <c r="L1239" s="193" t="s">
        <v>245</v>
      </c>
      <c r="M123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39" s="201"/>
      <c r="O1239" s="64" t="s">
        <v>1696</v>
      </c>
    </row>
    <row r="1240" spans="1:15" ht="33" customHeight="1">
      <c r="A1240" s="218">
        <v>1236</v>
      </c>
      <c r="B1240" s="239" t="s">
        <v>3050</v>
      </c>
      <c r="C1240" s="64" t="s">
        <v>3226</v>
      </c>
      <c r="D1240" s="191" t="s">
        <v>3187</v>
      </c>
      <c r="E1240" s="204" t="s">
        <v>1656</v>
      </c>
      <c r="F1240" s="191" t="str">
        <f>VLOOKUP(MP_registro[[#This Row],[TAG]],'DB-EQUIPOS GEN'!$C$11:$H$833,2,0)</f>
        <v>Descarga de centrifugas continuas</v>
      </c>
      <c r="G1240" s="191" t="str">
        <f>VLOOKUP(MP_registro[[#This Row],[TAG]],'DB-EQUIPOS GEN'!$C$11:$H$833,3,0)</f>
        <v>PRODUCCION</v>
      </c>
      <c r="H1240" s="191" t="str">
        <f>VLOOKUP(MP_registro[[#This Row],[TAG]],'DB-EQUIPOS GEN'!$C$11:$H$833,4,0)</f>
        <v>CENTRIFUGACIÓN DE AZÚCAR</v>
      </c>
      <c r="I1240" s="191" t="str">
        <f>VLOOKUP(MP_registro[[#This Row],[TAG]],'DB-EQUIPOS GEN'!$C$11:$H$833,5,0)</f>
        <v>CENTRIFUGA CONTINUA 1 - C (FRANCIA)</v>
      </c>
      <c r="J1240" s="191" t="str">
        <f>VLOOKUP(MP_registro[[#This Row],[TAG]],'DB-EQUIPOS GEN'!$C$11:$H$833,6,0)</f>
        <v>0345SQ160</v>
      </c>
      <c r="K1240" s="192">
        <v>44859</v>
      </c>
      <c r="L1240" s="193" t="s">
        <v>249</v>
      </c>
      <c r="M1240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40" s="201"/>
      <c r="O1240" s="64" t="s">
        <v>1696</v>
      </c>
    </row>
    <row r="1241" spans="1:15" ht="33" customHeight="1">
      <c r="A1241" s="218">
        <v>1237</v>
      </c>
      <c r="B1241" s="239" t="s">
        <v>3050</v>
      </c>
      <c r="C1241" s="64" t="s">
        <v>3226</v>
      </c>
      <c r="D1241" s="191" t="s">
        <v>3188</v>
      </c>
      <c r="E1241" s="204" t="s">
        <v>1658</v>
      </c>
      <c r="F1241" s="191" t="str">
        <f>VLOOKUP(MP_registro[[#This Row],[TAG]],'DB-EQUIPOS GEN'!$C$11:$H$833,2,0)</f>
        <v>Pug mill A - Centrifugas batch</v>
      </c>
      <c r="G1241" s="191" t="str">
        <f>VLOOKUP(MP_registro[[#This Row],[TAG]],'DB-EQUIPOS GEN'!$C$11:$H$833,3,0)</f>
        <v>PRODUCCION</v>
      </c>
      <c r="H1241" s="191" t="str">
        <f>VLOOKUP(MP_registro[[#This Row],[TAG]],'DB-EQUIPOS GEN'!$C$11:$H$833,4,0)</f>
        <v>CENTRIFUGACIÓN DE AZÚCAR</v>
      </c>
      <c r="I1241" s="191" t="str">
        <f>VLOOKUP(MP_registro[[#This Row],[TAG]],'DB-EQUIPOS GEN'!$C$11:$H$833,5,0)</f>
        <v>PUG MILL - A</v>
      </c>
      <c r="J1241" s="191" t="str">
        <f>VLOOKUP(MP_registro[[#This Row],[TAG]],'DB-EQUIPOS GEN'!$C$11:$H$833,6,0)</f>
        <v>0345MM010</v>
      </c>
      <c r="K1241" s="192">
        <v>44859</v>
      </c>
      <c r="L1241" s="193" t="s">
        <v>249</v>
      </c>
      <c r="M124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41" s="201"/>
      <c r="O1241" s="64" t="s">
        <v>1696</v>
      </c>
    </row>
    <row r="1242" spans="1:15" ht="33" customHeight="1">
      <c r="A1242" s="218">
        <v>1238</v>
      </c>
      <c r="B1242" s="239" t="s">
        <v>3050</v>
      </c>
      <c r="C1242" s="64" t="s">
        <v>3226</v>
      </c>
      <c r="D1242" s="191" t="s">
        <v>3189</v>
      </c>
      <c r="E1242" s="204" t="s">
        <v>1659</v>
      </c>
      <c r="F1242" s="191" t="str">
        <f>VLOOKUP(MP_registro[[#This Row],[TAG]],'DB-EQUIPOS GEN'!$C$11:$H$833,2,0)</f>
        <v>Vista global de tanques de jarabe 1,2 y 3</v>
      </c>
      <c r="G1242" s="191" t="str">
        <f>VLOOKUP(MP_registro[[#This Row],[TAG]],'DB-EQUIPOS GEN'!$C$11:$H$833,3,0)</f>
        <v>PRODUCCION</v>
      </c>
      <c r="H1242" s="191" t="str">
        <f>VLOOKUP(MP_registro[[#This Row],[TAG]],'DB-EQUIPOS GEN'!$C$11:$H$833,4,0)</f>
        <v>CRISTALIZACIÓN POR COCCIÓN</v>
      </c>
      <c r="I1242" s="191" t="str">
        <f>VLOOKUP(MP_registro[[#This Row],[TAG]],'DB-EQUIPOS GEN'!$C$11:$H$833,5,0)</f>
        <v>TANQUE DE JARABE 1</v>
      </c>
      <c r="J1242" s="191" t="str">
        <f>VLOOKUP(MP_registro[[#This Row],[TAG]],'DB-EQUIPOS GEN'!$C$11:$H$833,6,0)</f>
        <v>0335TK010</v>
      </c>
      <c r="K1242" s="192">
        <v>44859</v>
      </c>
      <c r="L1242" s="193" t="s">
        <v>245</v>
      </c>
      <c r="M1242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42" s="201"/>
      <c r="O1242" s="64" t="s">
        <v>1696</v>
      </c>
    </row>
    <row r="1243" spans="1:15" ht="33" customHeight="1">
      <c r="A1243" s="218">
        <v>1239</v>
      </c>
      <c r="B1243" s="239" t="s">
        <v>3050</v>
      </c>
      <c r="C1243" s="64" t="s">
        <v>3226</v>
      </c>
      <c r="D1243" s="191" t="s">
        <v>3190</v>
      </c>
      <c r="E1243" s="204" t="s">
        <v>1660</v>
      </c>
      <c r="F1243" s="191" t="str">
        <f>VLOOKUP(MP_registro[[#This Row],[TAG]],'DB-EQUIPOS GEN'!$C$11:$H$833,2,0)</f>
        <v>Vista global de tacho continuo A.</v>
      </c>
      <c r="G1243" s="191" t="str">
        <f>VLOOKUP(MP_registro[[#This Row],[TAG]],'DB-EQUIPOS GEN'!$C$11:$H$833,3,0)</f>
        <v>PRODUCCION</v>
      </c>
      <c r="H1243" s="191" t="str">
        <f>VLOOKUP(MP_registro[[#This Row],[TAG]],'DB-EQUIPOS GEN'!$C$11:$H$833,4,0)</f>
        <v>CRISTALIZACIÓN POR COCCIÓN</v>
      </c>
      <c r="I1243" s="191" t="str">
        <f>VLOOKUP(MP_registro[[#This Row],[TAG]],'DB-EQUIPOS GEN'!$C$11:$H$833,5,0)</f>
        <v>TACHO CONTINUO - A</v>
      </c>
      <c r="J1243" s="191" t="str">
        <f>VLOOKUP(MP_registro[[#This Row],[TAG]],'DB-EQUIPOS GEN'!$C$11:$H$833,6,0)</f>
        <v>0335HX200</v>
      </c>
      <c r="K1243" s="192">
        <v>44859</v>
      </c>
      <c r="L1243" s="193" t="s">
        <v>245</v>
      </c>
      <c r="M1243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43" s="201"/>
      <c r="O1243" s="64" t="s">
        <v>1696</v>
      </c>
    </row>
    <row r="1244" spans="1:15" ht="33" customHeight="1">
      <c r="A1244" s="218">
        <v>1240</v>
      </c>
      <c r="B1244" s="239" t="s">
        <v>3050</v>
      </c>
      <c r="C1244" s="64" t="s">
        <v>3226</v>
      </c>
      <c r="D1244" s="191" t="s">
        <v>3191</v>
      </c>
      <c r="E1244" s="204" t="s">
        <v>1652</v>
      </c>
      <c r="F1244" s="191" t="str">
        <f>VLOOKUP(MP_registro[[#This Row],[TAG]],'DB-EQUIPOS GEN'!$C$11:$H$833,2,0)</f>
        <v>Faja 1006A - Patio de Bagazo</v>
      </c>
      <c r="G1244" s="191" t="str">
        <f>VLOOKUP(MP_registro[[#This Row],[TAG]],'DB-EQUIPOS GEN'!$C$11:$H$833,3,0)</f>
        <v>E. TERMICA</v>
      </c>
      <c r="H1244" s="191" t="str">
        <f>VLOOKUP(MP_registro[[#This Row],[TAG]],'DB-EQUIPOS GEN'!$C$11:$H$833,4,0)</f>
        <v>TRANSPORTE DE BAGAZO</v>
      </c>
      <c r="I1244" s="191" t="str">
        <f>VLOOKUP(MP_registro[[#This Row],[TAG]],'DB-EQUIPOS GEN'!$C$11:$H$833,5,0)</f>
        <v>FAJA TRANSPORTADORA 1006 A</v>
      </c>
      <c r="J1244" s="191" t="str">
        <f>VLOOKUP(MP_registro[[#This Row],[TAG]],'DB-EQUIPOS GEN'!$C$11:$H$833,6,0)</f>
        <v>0805CV080</v>
      </c>
      <c r="K1244" s="192">
        <v>44859</v>
      </c>
      <c r="L1244" s="193" t="s">
        <v>245</v>
      </c>
      <c r="M124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44" s="201"/>
      <c r="O1244" s="64" t="s">
        <v>1696</v>
      </c>
    </row>
    <row r="1245" spans="1:15" ht="33" customHeight="1">
      <c r="A1245" s="218">
        <v>1241</v>
      </c>
      <c r="B1245" s="239" t="s">
        <v>3050</v>
      </c>
      <c r="C1245" s="64" t="s">
        <v>3226</v>
      </c>
      <c r="D1245" s="191" t="s">
        <v>3192</v>
      </c>
      <c r="E1245" s="204" t="s">
        <v>1655</v>
      </c>
      <c r="F1245" s="191" t="str">
        <f>VLOOKUP(MP_registro[[#This Row],[TAG]],'DB-EQUIPOS GEN'!$C$11:$H$833,2,0)</f>
        <v>Vista global de planta de osmosis</v>
      </c>
      <c r="G1245" s="191" t="str">
        <f>VLOOKUP(MP_registro[[#This Row],[TAG]],'DB-EQUIPOS GEN'!$C$11:$H$833,3,0)</f>
        <v>E. TERMICA</v>
      </c>
      <c r="H1245" s="191" t="str">
        <f>VLOOKUP(MP_registro[[#This Row],[TAG]],'DB-EQUIPOS GEN'!$C$11:$H$833,4,0)</f>
        <v>PLANTA TRATAMIENTO OSMOSIS INVERSA</v>
      </c>
      <c r="I1245" s="191" t="str">
        <f>VLOOKUP(MP_registro[[#This Row],[TAG]],'DB-EQUIPOS GEN'!$C$11:$H$833,5,0)</f>
        <v>PLANTA DE OSMOSIS INVERSA</v>
      </c>
      <c r="J1245" s="191" t="str">
        <f>VLOOKUP(MP_registro[[#This Row],[TAG]],'DB-EQUIPOS GEN'!$C$11:$H$833,6,0)</f>
        <v>0425OI101</v>
      </c>
      <c r="K1245" s="192">
        <v>44859</v>
      </c>
      <c r="L1245" s="193" t="s">
        <v>245</v>
      </c>
      <c r="M124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45" s="201"/>
      <c r="O1245" s="64" t="s">
        <v>1696</v>
      </c>
    </row>
    <row r="1246" spans="1:15" ht="33" customHeight="1">
      <c r="A1246" s="218">
        <v>1242</v>
      </c>
      <c r="B1246" s="239" t="s">
        <v>3050</v>
      </c>
      <c r="C1246" s="64" t="s">
        <v>3226</v>
      </c>
      <c r="D1246" s="191" t="s">
        <v>3193</v>
      </c>
      <c r="E1246" s="204" t="s">
        <v>1052</v>
      </c>
      <c r="F1246" s="191" t="str">
        <f>VLOOKUP(MP_registro[[#This Row],[TAG]],'DB-EQUIPOS GEN'!$C$11:$H$833,2,0)</f>
        <v>Condentracion de lechada de cal en tanque de almacenamiento #1</v>
      </c>
      <c r="G1246" s="191" t="str">
        <f>VLOOKUP(MP_registro[[#This Row],[TAG]],'DB-EQUIPOS GEN'!$C$11:$H$833,3,0)</f>
        <v>PRODUCCION</v>
      </c>
      <c r="H1246" s="191" t="str">
        <f>VLOOKUP(MP_registro[[#This Row],[TAG]],'DB-EQUIPOS GEN'!$C$11:$H$833,4,0)</f>
        <v>PLANTA DE CAL</v>
      </c>
      <c r="I1246" s="191" t="str">
        <f>VLOOKUP(MP_registro[[#This Row],[TAG]],'DB-EQUIPOS GEN'!$C$11:$H$833,5,0)</f>
        <v>TANQUE DE PREPARACION DE LECHADA DE CAL</v>
      </c>
      <c r="J1246" s="191" t="str">
        <f>VLOOKUP(MP_registro[[#This Row],[TAG]],'DB-EQUIPOS GEN'!$C$11:$H$833,6,0)</f>
        <v xml:space="preserve"> 0315TK040</v>
      </c>
      <c r="K1246" s="192">
        <v>44859</v>
      </c>
      <c r="L1246" s="193" t="s">
        <v>249</v>
      </c>
      <c r="M124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46" s="201"/>
      <c r="O1246" s="64" t="s">
        <v>1696</v>
      </c>
    </row>
    <row r="1247" spans="1:15" ht="33" customHeight="1">
      <c r="A1247" s="218">
        <v>1243</v>
      </c>
      <c r="B1247" s="239" t="s">
        <v>3050</v>
      </c>
      <c r="C1247" s="64" t="s">
        <v>3226</v>
      </c>
      <c r="D1247" s="191" t="s">
        <v>3194</v>
      </c>
      <c r="E1247" s="204" t="s">
        <v>1643</v>
      </c>
      <c r="F1247" s="191" t="str">
        <f>VLOOKUP(MP_registro[[#This Row],[TAG]],'DB-EQUIPOS GEN'!$C$11:$H$833,2,0)</f>
        <v>Nivelador de cama de bagazo en difusor</v>
      </c>
      <c r="G1247" s="191" t="str">
        <f>VLOOKUP(MP_registro[[#This Row],[TAG]],'DB-EQUIPOS GEN'!$C$11:$H$833,3,0)</f>
        <v>EXTRACCION</v>
      </c>
      <c r="H1247" s="191" t="str">
        <f>VLOOKUP(MP_registro[[#This Row],[TAG]],'DB-EQUIPOS GEN'!$C$11:$H$833,4,0)</f>
        <v>DIFUSOR</v>
      </c>
      <c r="I1247" s="191" t="str">
        <f>VLOOKUP(MP_registro[[#This Row],[TAG]],'DB-EQUIPOS GEN'!$C$11:$H$833,5,0)</f>
        <v>CONDUCTOR TRANSVERSAL</v>
      </c>
      <c r="J1247" s="191" t="str">
        <f>VLOOKUP(MP_registro[[#This Row],[TAG]],'DB-EQUIPOS GEN'!$C$11:$H$833,6,0)</f>
        <v>0205CV190</v>
      </c>
      <c r="K1247" s="192">
        <v>44860</v>
      </c>
      <c r="L1247" s="193" t="s">
        <v>249</v>
      </c>
      <c r="M1247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47" s="201"/>
      <c r="O1247" s="64" t="s">
        <v>1696</v>
      </c>
    </row>
    <row r="1248" spans="1:15" ht="33" customHeight="1">
      <c r="A1248" s="218">
        <v>1244</v>
      </c>
      <c r="B1248" s="239" t="s">
        <v>3050</v>
      </c>
      <c r="C1248" s="64" t="s">
        <v>3226</v>
      </c>
      <c r="D1248" s="191" t="s">
        <v>3195</v>
      </c>
      <c r="E1248" s="204" t="s">
        <v>1648</v>
      </c>
      <c r="F1248" s="191" t="str">
        <f>VLOOKUP(MP_registro[[#This Row],[TAG]],'DB-EQUIPOS GEN'!$C$11:$H$833,2,0)</f>
        <v>Nivel de agua en domo</v>
      </c>
      <c r="G1248" s="191" t="str">
        <f>VLOOKUP(MP_registro[[#This Row],[TAG]],'DB-EQUIPOS GEN'!$C$11:$H$833,3,0)</f>
        <v>E. TERMICA</v>
      </c>
      <c r="H1248" s="191" t="str">
        <f>VLOOKUP(MP_registro[[#This Row],[TAG]],'DB-EQUIPOS GEN'!$C$11:$H$833,4,0)</f>
        <v>GENERACIÓN DE VAPOR</v>
      </c>
      <c r="I1248" s="191" t="str">
        <f>VLOOKUP(MP_registro[[#This Row],[TAG]],'DB-EQUIPOS GEN'!$C$11:$H$833,5,0)</f>
        <v>DOMO SUPERIOR</v>
      </c>
      <c r="J1248" s="191" t="str">
        <f>VLOOKUP(MP_registro[[#This Row],[TAG]],'DB-EQUIPOS GEN'!$C$11:$H$833,6,0)</f>
        <v>0405DO020</v>
      </c>
      <c r="K1248" s="192">
        <v>44860</v>
      </c>
      <c r="L1248" s="193" t="s">
        <v>245</v>
      </c>
      <c r="M1248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48" s="201"/>
      <c r="O1248" s="64" t="s">
        <v>1696</v>
      </c>
    </row>
    <row r="1249" spans="1:15" ht="33" customHeight="1">
      <c r="A1249" s="218">
        <v>1245</v>
      </c>
      <c r="B1249" s="239" t="s">
        <v>3050</v>
      </c>
      <c r="C1249" s="64" t="s">
        <v>3226</v>
      </c>
      <c r="D1249" s="191" t="s">
        <v>3196</v>
      </c>
      <c r="E1249" s="204" t="s">
        <v>1650</v>
      </c>
      <c r="F1249" s="191" t="str">
        <f>VLOOKUP(MP_registro[[#This Row],[TAG]],'DB-EQUIPOS GEN'!$C$11:$H$833,2,0)</f>
        <v>Faja 1003 - Conductor distribuidor de bagazo</v>
      </c>
      <c r="G1249" s="191" t="str">
        <f>VLOOKUP(MP_registro[[#This Row],[TAG]],'DB-EQUIPOS GEN'!$C$11:$H$833,3,0)</f>
        <v>E. TERMICA</v>
      </c>
      <c r="H1249" s="191" t="str">
        <f>VLOOKUP(MP_registro[[#This Row],[TAG]],'DB-EQUIPOS GEN'!$C$11:$H$833,4,0)</f>
        <v>TRANSPORTE DE BAGAZO</v>
      </c>
      <c r="I1249" s="191" t="str">
        <f>VLOOKUP(MP_registro[[#This Row],[TAG]],'DB-EQUIPOS GEN'!$C$11:$H$833,5,0)</f>
        <v>TRANSPORTADOR DE BAGAZO 1003</v>
      </c>
      <c r="J1249" s="191" t="str">
        <f>VLOOKUP(MP_registro[[#This Row],[TAG]],'DB-EQUIPOS GEN'!$C$11:$H$833,6,0)</f>
        <v>0805CV060</v>
      </c>
      <c r="K1249" s="192">
        <v>44860</v>
      </c>
      <c r="L1249" s="193" t="s">
        <v>245</v>
      </c>
      <c r="M1249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49" s="201"/>
      <c r="O1249" s="64" t="s">
        <v>1696</v>
      </c>
    </row>
    <row r="1250" spans="1:15" ht="33" customHeight="1">
      <c r="A1250" s="218">
        <v>1246</v>
      </c>
      <c r="B1250" s="239" t="s">
        <v>3050</v>
      </c>
      <c r="C1250" s="64" t="s">
        <v>3226</v>
      </c>
      <c r="D1250" s="191" t="s">
        <v>3197</v>
      </c>
      <c r="E1250" s="204" t="s">
        <v>1651</v>
      </c>
      <c r="F1250" s="191" t="str">
        <f>VLOOKUP(MP_registro[[#This Row],[TAG]],'DB-EQUIPOS GEN'!$C$11:$H$833,2,0)</f>
        <v>Faja 1008 - Tolva de retorno de bagazo</v>
      </c>
      <c r="G1250" s="191" t="str">
        <f>VLOOKUP(MP_registro[[#This Row],[TAG]],'DB-EQUIPOS GEN'!$C$11:$H$833,3,0)</f>
        <v>E. TERMICA</v>
      </c>
      <c r="H1250" s="191" t="str">
        <f>VLOOKUP(MP_registro[[#This Row],[TAG]],'DB-EQUIPOS GEN'!$C$11:$H$833,4,0)</f>
        <v>TRANSPORTE DE BAGAZO</v>
      </c>
      <c r="I1250" s="191" t="str">
        <f>VLOOKUP(MP_registro[[#This Row],[TAG]],'DB-EQUIPOS GEN'!$C$11:$H$833,5,0)</f>
        <v>FAJA TRANSPORTADORA 1008</v>
      </c>
      <c r="J1250" s="191" t="str">
        <f>VLOOKUP(MP_registro[[#This Row],[TAG]],'DB-EQUIPOS GEN'!$C$11:$H$833,6,0)</f>
        <v>0805CV100</v>
      </c>
      <c r="K1250" s="192">
        <v>44860</v>
      </c>
      <c r="L1250" s="193" t="s">
        <v>245</v>
      </c>
      <c r="M125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50" s="201"/>
      <c r="O1250" s="64" t="s">
        <v>1696</v>
      </c>
    </row>
    <row r="1251" spans="1:15" ht="33" customHeight="1">
      <c r="A1251" s="218">
        <v>1247</v>
      </c>
      <c r="B1251" s="239" t="s">
        <v>3050</v>
      </c>
      <c r="C1251" s="64" t="s">
        <v>3226</v>
      </c>
      <c r="D1251" s="191" t="s">
        <v>3198</v>
      </c>
      <c r="E1251" s="204" t="s">
        <v>798</v>
      </c>
      <c r="F1251" s="191" t="str">
        <f>VLOOKUP(MP_registro[[#This Row],[TAG]],'DB-EQUIPOS GEN'!$C$11:$H$833,2,0)</f>
        <v>Peso de azucar balanza A - Silo 1</v>
      </c>
      <c r="G1251" s="191" t="str">
        <f>VLOOKUP(MP_registro[[#This Row],[TAG]],'DB-EQUIPOS GEN'!$C$11:$H$833,3,0)</f>
        <v>PRODUCCION</v>
      </c>
      <c r="H1251" s="191" t="str">
        <f>VLOOKUP(MP_registro[[#This Row],[TAG]],'DB-EQUIPOS GEN'!$C$11:$H$833,4,0)</f>
        <v>ENVASADO DE AZUCAR RUBIA</v>
      </c>
      <c r="I1251" s="191" t="str">
        <f>VLOOKUP(MP_registro[[#This Row],[TAG]],'DB-EQUIPOS GEN'!$C$11:$H$833,5,0)</f>
        <v xml:space="preserve">SILO 1 </v>
      </c>
      <c r="J1251" s="191" t="str">
        <f>VLOOKUP(MP_registro[[#This Row],[TAG]],'DB-EQUIPOS GEN'!$C$11:$H$833,6,0)</f>
        <v>0355BI090</v>
      </c>
      <c r="K1251" s="192">
        <v>44861</v>
      </c>
      <c r="L1251" s="193" t="s">
        <v>249</v>
      </c>
      <c r="M125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51" s="201"/>
      <c r="O1251" s="64" t="s">
        <v>1696</v>
      </c>
    </row>
    <row r="1252" spans="1:15" ht="33" customHeight="1">
      <c r="A1252" s="218">
        <v>1248</v>
      </c>
      <c r="B1252" s="239" t="s">
        <v>3050</v>
      </c>
      <c r="C1252" s="64" t="s">
        <v>3226</v>
      </c>
      <c r="D1252" s="191" t="s">
        <v>3199</v>
      </c>
      <c r="E1252" s="204" t="s">
        <v>799</v>
      </c>
      <c r="F1252" s="191" t="str">
        <f>VLOOKUP(MP_registro[[#This Row],[TAG]],'DB-EQUIPOS GEN'!$C$11:$H$833,2,0)</f>
        <v>Peso de azucar balanza B - Silo 1</v>
      </c>
      <c r="G1252" s="191" t="str">
        <f>VLOOKUP(MP_registro[[#This Row],[TAG]],'DB-EQUIPOS GEN'!$C$11:$H$833,3,0)</f>
        <v>PRODUCCION</v>
      </c>
      <c r="H1252" s="191" t="str">
        <f>VLOOKUP(MP_registro[[#This Row],[TAG]],'DB-EQUIPOS GEN'!$C$11:$H$833,4,0)</f>
        <v>ENVASADO DE AZUCAR RUBIA</v>
      </c>
      <c r="I1252" s="191" t="str">
        <f>VLOOKUP(MP_registro[[#This Row],[TAG]],'DB-EQUIPOS GEN'!$C$11:$H$833,5,0)</f>
        <v xml:space="preserve">SILO 1 </v>
      </c>
      <c r="J1252" s="191" t="str">
        <f>VLOOKUP(MP_registro[[#This Row],[TAG]],'DB-EQUIPOS GEN'!$C$11:$H$833,6,0)</f>
        <v>0355BI090</v>
      </c>
      <c r="K1252" s="192">
        <v>44861</v>
      </c>
      <c r="L1252" s="193" t="s">
        <v>249</v>
      </c>
      <c r="M125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52" s="201"/>
      <c r="O1252" s="64" t="s">
        <v>1696</v>
      </c>
    </row>
    <row r="1253" spans="1:15" ht="33" customHeight="1">
      <c r="A1253" s="218">
        <v>1249</v>
      </c>
      <c r="B1253" s="239" t="s">
        <v>3050</v>
      </c>
      <c r="C1253" s="64" t="s">
        <v>3226</v>
      </c>
      <c r="D1253" s="191" t="s">
        <v>3200</v>
      </c>
      <c r="E1253" s="3" t="s">
        <v>802</v>
      </c>
      <c r="F1253" s="191" t="str">
        <f>VLOOKUP(MP_registro[[#This Row],[TAG]],'DB-EQUIPOS GEN'!$C$11:$H$833,2,0)</f>
        <v>Peso de azucar balanza A - Silo 2</v>
      </c>
      <c r="G1253" s="191" t="str">
        <f>VLOOKUP(MP_registro[[#This Row],[TAG]],'DB-EQUIPOS GEN'!$C$11:$H$833,3,0)</f>
        <v>PRODUCCION</v>
      </c>
      <c r="H1253" s="191" t="str">
        <f>VLOOKUP(MP_registro[[#This Row],[TAG]],'DB-EQUIPOS GEN'!$C$11:$H$833,4,0)</f>
        <v>ENVASADO DE AZUCAR RUBIA</v>
      </c>
      <c r="I1253" s="191" t="str">
        <f>VLOOKUP(MP_registro[[#This Row],[TAG]],'DB-EQUIPOS GEN'!$C$11:$H$833,5,0)</f>
        <v>SILO 2</v>
      </c>
      <c r="J1253" s="191" t="str">
        <f>VLOOKUP(MP_registro[[#This Row],[TAG]],'DB-EQUIPOS GEN'!$C$11:$H$833,6,0)</f>
        <v>0355BI100</v>
      </c>
      <c r="K1253" s="192">
        <v>44861</v>
      </c>
      <c r="L1253" s="193" t="s">
        <v>249</v>
      </c>
      <c r="M125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53" s="201"/>
      <c r="O1253" s="64" t="s">
        <v>1696</v>
      </c>
    </row>
    <row r="1254" spans="1:15" ht="33" customHeight="1">
      <c r="A1254" s="218">
        <v>1250</v>
      </c>
      <c r="B1254" s="239" t="s">
        <v>3050</v>
      </c>
      <c r="C1254" s="64" t="s">
        <v>3226</v>
      </c>
      <c r="D1254" s="191" t="s">
        <v>3201</v>
      </c>
      <c r="E1254" s="204" t="s">
        <v>1653</v>
      </c>
      <c r="F1254" s="191" t="str">
        <f>VLOOKUP(MP_registro[[#This Row],[TAG]],'DB-EQUIPOS GEN'!$C$11:$H$833,2,0)</f>
        <v>Operación del desviador de bagazo</v>
      </c>
      <c r="G1254" s="191" t="str">
        <f>VLOOKUP(MP_registro[[#This Row],[TAG]],'DB-EQUIPOS GEN'!$C$11:$H$833,3,0)</f>
        <v>E. TERMICA</v>
      </c>
      <c r="H1254" s="191" t="str">
        <f>VLOOKUP(MP_registro[[#This Row],[TAG]],'DB-EQUIPOS GEN'!$C$11:$H$833,4,0)</f>
        <v>TRANSPORTE DE BAGAZO</v>
      </c>
      <c r="I1254" s="191" t="str">
        <f>VLOOKUP(MP_registro[[#This Row],[TAG]],'DB-EQUIPOS GEN'!$C$11:$H$833,5,0)</f>
        <v>FAJA TRANSPORTADORA 1004</v>
      </c>
      <c r="J1254" s="191" t="str">
        <f>VLOOKUP(MP_registro[[#This Row],[TAG]],'DB-EQUIPOS GEN'!$C$11:$H$833,6,0)</f>
        <v>0805CV070</v>
      </c>
      <c r="K1254" s="192">
        <v>44861</v>
      </c>
      <c r="L1254" s="193" t="s">
        <v>245</v>
      </c>
      <c r="M125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54" s="201"/>
      <c r="O1254" s="64" t="s">
        <v>1696</v>
      </c>
    </row>
    <row r="1255" spans="1:15" ht="33" customHeight="1">
      <c r="A1255" s="218">
        <v>1251</v>
      </c>
      <c r="B1255" s="239" t="s">
        <v>3050</v>
      </c>
      <c r="C1255" s="64" t="s">
        <v>3226</v>
      </c>
      <c r="D1255" s="191" t="s">
        <v>3202</v>
      </c>
      <c r="E1255" s="204" t="s">
        <v>1654</v>
      </c>
      <c r="F1255" s="191" t="str">
        <f>VLOOKUP(MP_registro[[#This Row],[TAG]],'DB-EQUIPOS GEN'!$C$11:$H$833,2,0)</f>
        <v>Vista global de sala turbina TGM</v>
      </c>
      <c r="G1255" s="191" t="str">
        <f>VLOOKUP(MP_registro[[#This Row],[TAG]],'DB-EQUIPOS GEN'!$C$11:$H$833,3,0)</f>
        <v>E. ELECTRICA</v>
      </c>
      <c r="H1255" s="191" t="str">
        <f>VLOOKUP(MP_registro[[#This Row],[TAG]],'DB-EQUIPOS GEN'!$C$11:$H$833,4,0)</f>
        <v>SISTEMA DE ENFRIAMIENTO</v>
      </c>
      <c r="I1255" s="191" t="str">
        <f>VLOOKUP(MP_registro[[#This Row],[TAG]],'DB-EQUIPOS GEN'!$C$11:$H$833,5,0)</f>
        <v>TORRE DE ENFRIAMIENTO MARLEY - TG TGM</v>
      </c>
      <c r="J1255" s="191" t="str">
        <f>VLOOKUP(MP_registro[[#This Row],[TAG]],'DB-EQUIPOS GEN'!$C$11:$H$833,6,0)</f>
        <v>0430CT050</v>
      </c>
      <c r="K1255" s="192">
        <v>44861</v>
      </c>
      <c r="L1255" s="193" t="s">
        <v>245</v>
      </c>
      <c r="M125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55" s="201"/>
      <c r="O1255" s="64" t="s">
        <v>1696</v>
      </c>
    </row>
    <row r="1256" spans="1:15" ht="33" customHeight="1">
      <c r="A1256" s="218">
        <v>1252</v>
      </c>
      <c r="B1256" s="239" t="s">
        <v>3050</v>
      </c>
      <c r="C1256" s="64" t="s">
        <v>3226</v>
      </c>
      <c r="D1256" s="191" t="s">
        <v>3203</v>
      </c>
      <c r="E1256" s="204" t="s">
        <v>1340</v>
      </c>
      <c r="F1256" s="191" t="str">
        <f>VLOOKUP(MP_registro[[#This Row],[TAG]],'DB-EQUIPOS GEN'!$C$11:$H$833,2,0)</f>
        <v>Controlador C300 en Asset Caldera</v>
      </c>
      <c r="G1256" s="191" t="str">
        <f>VLOOKUP(MP_registro[[#This Row],[TAG]],'DB-EQUIPOS GEN'!$C$11:$H$833,3,0)</f>
        <v>E. TERMICA</v>
      </c>
      <c r="H1256" s="191" t="str">
        <f>VLOOKUP(MP_registro[[#This Row],[TAG]],'DB-EQUIPOS GEN'!$C$11:$H$833,4,0)</f>
        <v>GENERACION DE VAPOR</v>
      </c>
      <c r="I1256" s="191" t="str">
        <f>VLOOKUP(MP_registro[[#This Row],[TAG]],'DB-EQUIPOS GEN'!$C$11:$H$833,5,0)</f>
        <v>CALDERA</v>
      </c>
      <c r="J1256" s="191" t="str">
        <f>VLOOKUP(MP_registro[[#This Row],[TAG]],'DB-EQUIPOS GEN'!$C$11:$H$833,6,0)</f>
        <v>0405BR010</v>
      </c>
      <c r="K1256" s="192">
        <v>44862</v>
      </c>
      <c r="L1256" s="193" t="s">
        <v>248</v>
      </c>
      <c r="M1256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256" s="201"/>
      <c r="O1256" s="64" t="s">
        <v>1696</v>
      </c>
    </row>
    <row r="1257" spans="1:15" ht="33" customHeight="1">
      <c r="A1257" s="218">
        <v>1253</v>
      </c>
      <c r="B1257" s="239" t="s">
        <v>3050</v>
      </c>
      <c r="C1257" s="64" t="s">
        <v>3226</v>
      </c>
      <c r="D1257" s="191" t="s">
        <v>3204</v>
      </c>
      <c r="E1257" s="204" t="s">
        <v>1342</v>
      </c>
      <c r="F1257" s="191" t="str">
        <f>VLOOKUP(MP_registro[[#This Row],[TAG]],'DB-EQUIPOS GEN'!$C$11:$H$833,2,0)</f>
        <v>Controlador C300 en Asset Turbina</v>
      </c>
      <c r="G1257" s="191" t="str">
        <f>VLOOKUP(MP_registro[[#This Row],[TAG]],'DB-EQUIPOS GEN'!$C$11:$H$833,3,0)</f>
        <v>E. ELECTRICA</v>
      </c>
      <c r="H1257" s="191" t="str">
        <f>VLOOKUP(MP_registro[[#This Row],[TAG]],'DB-EQUIPOS GEN'!$C$11:$H$833,4,0)</f>
        <v>GENERACION ENERG. ELEC. TURBO GENERADOR</v>
      </c>
      <c r="I1257" s="191" t="str">
        <f>VLOOKUP(MP_registro[[#This Row],[TAG]],'DB-EQUIPOS GEN'!$C$11:$H$833,5,0)</f>
        <v>TURBOGENERADOR 7.5 MW</v>
      </c>
      <c r="J1257" s="191" t="str">
        <f>VLOOKUP(MP_registro[[#This Row],[TAG]],'DB-EQUIPOS GEN'!$C$11:$H$833,6,0)</f>
        <v>0430TG010</v>
      </c>
      <c r="K1257" s="192">
        <v>44862</v>
      </c>
      <c r="L1257" s="193" t="s">
        <v>248</v>
      </c>
      <c r="M1257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257" s="201"/>
      <c r="O1257" s="64" t="s">
        <v>1696</v>
      </c>
    </row>
    <row r="1258" spans="1:15" ht="33" customHeight="1">
      <c r="A1258" s="218">
        <v>1254</v>
      </c>
      <c r="B1258" s="239" t="s">
        <v>3050</v>
      </c>
      <c r="C1258" s="64" t="s">
        <v>3226</v>
      </c>
      <c r="D1258" s="191" t="s">
        <v>3205</v>
      </c>
      <c r="E1258" s="204" t="s">
        <v>1344</v>
      </c>
      <c r="F1258" s="191" t="str">
        <f>VLOOKUP(MP_registro[[#This Row],[TAG]],'DB-EQUIPOS GEN'!$C$11:$H$833,2,0)</f>
        <v>Controlador C300 en Asset Difusor</v>
      </c>
      <c r="G1258" s="191" t="str">
        <f>VLOOKUP(MP_registro[[#This Row],[TAG]],'DB-EQUIPOS GEN'!$C$11:$H$833,3,0)</f>
        <v>EXTRACCION</v>
      </c>
      <c r="H1258" s="191" t="str">
        <f>VLOOKUP(MP_registro[[#This Row],[TAG]],'DB-EQUIPOS GEN'!$C$11:$H$833,4,0)</f>
        <v>DIFUSOR</v>
      </c>
      <c r="I1258" s="191" t="str">
        <f>VLOOKUP(MP_registro[[#This Row],[TAG]],'DB-EQUIPOS GEN'!$C$11:$H$833,5,0)</f>
        <v>DIFUSOR</v>
      </c>
      <c r="J1258" s="191" t="str">
        <f>VLOOKUP(MP_registro[[#This Row],[TAG]],'DB-EQUIPOS GEN'!$C$11:$H$833,6,0)</f>
        <v>0205DF180</v>
      </c>
      <c r="K1258" s="192">
        <v>44862</v>
      </c>
      <c r="L1258" s="193" t="s">
        <v>248</v>
      </c>
      <c r="M1258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258" s="201"/>
      <c r="O1258" s="64" t="s">
        <v>1696</v>
      </c>
    </row>
    <row r="1259" spans="1:15" ht="33" customHeight="1">
      <c r="A1259" s="218">
        <v>1255</v>
      </c>
      <c r="B1259" s="239" t="s">
        <v>3050</v>
      </c>
      <c r="C1259" s="64" t="s">
        <v>3226</v>
      </c>
      <c r="D1259" s="191" t="s">
        <v>3206</v>
      </c>
      <c r="E1259" s="204" t="s">
        <v>1346</v>
      </c>
      <c r="F1259" s="191" t="str">
        <f>VLOOKUP(MP_registro[[#This Row],[TAG]],'DB-EQUIPOS GEN'!$C$11:$H$833,2,0)</f>
        <v>Controlador C300 en Asset Process House</v>
      </c>
      <c r="G1259" s="191" t="str">
        <f>VLOOKUP(MP_registro[[#This Row],[TAG]],'DB-EQUIPOS GEN'!$C$11:$H$833,3,0)</f>
        <v>PRODUCCION</v>
      </c>
      <c r="H1259" s="191" t="str">
        <f>VLOOKUP(MP_registro[[#This Row],[TAG]],'DB-EQUIPOS GEN'!$C$11:$H$833,4,0)</f>
        <v>EVAPORACION DE JUGO</v>
      </c>
      <c r="I1259" s="191" t="str">
        <f>VLOOKUP(MP_registro[[#This Row],[TAG]],'DB-EQUIPOS GEN'!$C$11:$H$833,5,0)</f>
        <v>EVAPORADOR FFE 1</v>
      </c>
      <c r="J1259" s="191" t="str">
        <f>VLOOKUP(MP_registro[[#This Row],[TAG]],'DB-EQUIPOS GEN'!$C$11:$H$833,6,0)</f>
        <v>0320EV010</v>
      </c>
      <c r="K1259" s="192">
        <v>44862</v>
      </c>
      <c r="L1259" s="193" t="s">
        <v>248</v>
      </c>
      <c r="M1259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259" s="201"/>
      <c r="O1259" s="64" t="s">
        <v>1696</v>
      </c>
    </row>
    <row r="1260" spans="1:15" ht="33" customHeight="1">
      <c r="A1260" s="218">
        <v>1256</v>
      </c>
      <c r="B1260" s="239" t="s">
        <v>3050</v>
      </c>
      <c r="C1260" s="64" t="s">
        <v>3226</v>
      </c>
      <c r="D1260" s="191" t="s">
        <v>3207</v>
      </c>
      <c r="E1260" s="204" t="s">
        <v>1348</v>
      </c>
      <c r="F1260" s="191" t="str">
        <f>VLOOKUP(MP_registro[[#This Row],[TAG]],'DB-EQUIPOS GEN'!$C$11:$H$833,2,0)</f>
        <v>Controlador C300 en Asset Cocimiento</v>
      </c>
      <c r="G1260" s="191" t="str">
        <f>VLOOKUP(MP_registro[[#This Row],[TAG]],'DB-EQUIPOS GEN'!$C$11:$H$833,3,0)</f>
        <v>PRODUCCION</v>
      </c>
      <c r="H1260" s="191" t="str">
        <f>VLOOKUP(MP_registro[[#This Row],[TAG]],'DB-EQUIPOS GEN'!$C$11:$H$833,4,0)</f>
        <v>CRISTALIZACION POR COCCION</v>
      </c>
      <c r="I1260" s="191" t="str">
        <f>VLOOKUP(MP_registro[[#This Row],[TAG]],'DB-EQUIPOS GEN'!$C$11:$H$833,5,0)</f>
        <v>TACHO CONTINUO - A</v>
      </c>
      <c r="J1260" s="191" t="str">
        <f>VLOOKUP(MP_registro[[#This Row],[TAG]],'DB-EQUIPOS GEN'!$C$11:$H$833,6,0)</f>
        <v>0335HX200</v>
      </c>
      <c r="K1260" s="192">
        <v>44862</v>
      </c>
      <c r="L1260" s="193" t="s">
        <v>248</v>
      </c>
      <c r="M1260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260" s="201"/>
      <c r="O1260" s="64" t="s">
        <v>1696</v>
      </c>
    </row>
    <row r="1261" spans="1:15" ht="33" customHeight="1">
      <c r="A1261" s="218">
        <v>1257</v>
      </c>
      <c r="B1261" s="239" t="s">
        <v>3050</v>
      </c>
      <c r="C1261" s="64" t="s">
        <v>3226</v>
      </c>
      <c r="D1261" s="191" t="s">
        <v>3208</v>
      </c>
      <c r="E1261" s="204" t="s">
        <v>1350</v>
      </c>
      <c r="F1261" s="191" t="str">
        <f>VLOOKUP(MP_registro[[#This Row],[TAG]],'DB-EQUIPOS GEN'!$C$11:$H$833,2,0)</f>
        <v>Controlador C300 en Asset PH &amp; Cpan</v>
      </c>
      <c r="G1261" s="191" t="str">
        <f>VLOOKUP(MP_registro[[#This Row],[TAG]],'DB-EQUIPOS GEN'!$C$11:$H$833,3,0)</f>
        <v>PRODUCCION</v>
      </c>
      <c r="H1261" s="191" t="str">
        <f>VLOOKUP(MP_registro[[#This Row],[TAG]],'DB-EQUIPOS GEN'!$C$11:$H$833,4,0)</f>
        <v>CRISTALIZACION POR COCCION</v>
      </c>
      <c r="I1261" s="191" t="str">
        <f>VLOOKUP(MP_registro[[#This Row],[TAG]],'DB-EQUIPOS GEN'!$C$11:$H$833,5,0)</f>
        <v>TACHO CONTINUO - A</v>
      </c>
      <c r="J1261" s="191" t="str">
        <f>VLOOKUP(MP_registro[[#This Row],[TAG]],'DB-EQUIPOS GEN'!$C$11:$H$833,6,0)</f>
        <v>0335HX200</v>
      </c>
      <c r="K1261" s="192">
        <v>44862</v>
      </c>
      <c r="L1261" s="193" t="s">
        <v>248</v>
      </c>
      <c r="M1261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261" s="201"/>
      <c r="O1261" s="64" t="s">
        <v>1696</v>
      </c>
    </row>
    <row r="1262" spans="1:15" ht="33" customHeight="1">
      <c r="A1262" s="218">
        <v>1258</v>
      </c>
      <c r="B1262" s="239" t="s">
        <v>3050</v>
      </c>
      <c r="C1262" s="64" t="s">
        <v>3226</v>
      </c>
      <c r="D1262" s="191" t="s">
        <v>3209</v>
      </c>
      <c r="E1262" s="204" t="s">
        <v>1352</v>
      </c>
      <c r="F1262" s="191" t="str">
        <f>VLOOKUP(MP_registro[[#This Row],[TAG]],'DB-EQUIPOS GEN'!$C$11:$H$833,2,0)</f>
        <v>Switch de la red FTE -  green</v>
      </c>
      <c r="G1262" s="191" t="str">
        <f>VLOOKUP(MP_registro[[#This Row],[TAG]],'DB-EQUIPOS GEN'!$C$11:$H$833,3,0)</f>
        <v>E. ELECTRICA</v>
      </c>
      <c r="H1262" s="191" t="str">
        <f>VLOOKUP(MP_registro[[#This Row],[TAG]],'DB-EQUIPOS GEN'!$C$11:$H$833,4,0)</f>
        <v>SISTEMA DE CONTROL DISTRIBUIDO</v>
      </c>
      <c r="I1262" s="191" t="str">
        <f>VLOOKUP(MP_registro[[#This Row],[TAG]],'DB-EQUIPOS GEN'!$C$11:$H$833,5,0)</f>
        <v>SISTEMA DE CONTROL DISTRIBUIDO</v>
      </c>
      <c r="J1262" s="191" t="str">
        <f>VLOOKUP(MP_registro[[#This Row],[TAG]],'DB-EQUIPOS GEN'!$C$11:$H$833,6,0)</f>
        <v>DCS</v>
      </c>
      <c r="K1262" s="192">
        <v>44862</v>
      </c>
      <c r="L1262" s="193" t="s">
        <v>248</v>
      </c>
      <c r="M1262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262" s="201"/>
      <c r="O1262" s="64" t="s">
        <v>1696</v>
      </c>
    </row>
    <row r="1263" spans="1:15" ht="33" customHeight="1">
      <c r="A1263" s="218">
        <v>1259</v>
      </c>
      <c r="B1263" s="239" t="s">
        <v>3050</v>
      </c>
      <c r="C1263" s="64" t="s">
        <v>3226</v>
      </c>
      <c r="D1263" s="191" t="s">
        <v>3210</v>
      </c>
      <c r="E1263" s="204" t="s">
        <v>1354</v>
      </c>
      <c r="F1263" s="191" t="str">
        <f>VLOOKUP(MP_registro[[#This Row],[TAG]],'DB-EQUIPOS GEN'!$C$11:$H$833,2,0)</f>
        <v>Switch de la red FTE -  yellow</v>
      </c>
      <c r="G1263" s="191" t="str">
        <f>VLOOKUP(MP_registro[[#This Row],[TAG]],'DB-EQUIPOS GEN'!$C$11:$H$833,3,0)</f>
        <v>E. ELECTRICA</v>
      </c>
      <c r="H1263" s="191" t="str">
        <f>VLOOKUP(MP_registro[[#This Row],[TAG]],'DB-EQUIPOS GEN'!$C$11:$H$833,4,0)</f>
        <v>SISTEMA DE CONTROL DISTRIBUIDO</v>
      </c>
      <c r="I1263" s="191" t="str">
        <f>VLOOKUP(MP_registro[[#This Row],[TAG]],'DB-EQUIPOS GEN'!$C$11:$H$833,5,0)</f>
        <v>SISTEMA DE CONTROL DISTRIBUIDO</v>
      </c>
      <c r="J1263" s="191" t="str">
        <f>VLOOKUP(MP_registro[[#This Row],[TAG]],'DB-EQUIPOS GEN'!$C$11:$H$833,6,0)</f>
        <v>DCS</v>
      </c>
      <c r="K1263" s="192">
        <v>44862</v>
      </c>
      <c r="L1263" s="193" t="s">
        <v>248</v>
      </c>
      <c r="M1263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263" s="201"/>
      <c r="O1263" s="64" t="s">
        <v>1696</v>
      </c>
    </row>
    <row r="1264" spans="1:15" ht="33" customHeight="1">
      <c r="A1264" s="218">
        <v>1260</v>
      </c>
      <c r="B1264" s="239" t="s">
        <v>3050</v>
      </c>
      <c r="C1264" s="64" t="s">
        <v>3226</v>
      </c>
      <c r="D1264" s="191" t="s">
        <v>3211</v>
      </c>
      <c r="E1264" s="204" t="s">
        <v>1644</v>
      </c>
      <c r="F1264" s="191" t="str">
        <f>VLOOKUP(MP_registro[[#This Row],[TAG]],'DB-EQUIPOS GEN'!$C$11:$H$833,2,0)</f>
        <v>Explanada de Turbina Triveni</v>
      </c>
      <c r="G1264" s="191" t="str">
        <f>VLOOKUP(MP_registro[[#This Row],[TAG]],'DB-EQUIPOS GEN'!$C$11:$H$833,3,0)</f>
        <v>E. ELECTRICA</v>
      </c>
      <c r="H1264" s="191" t="str">
        <f>VLOOKUP(MP_registro[[#This Row],[TAG]],'DB-EQUIPOS GEN'!$C$11:$H$833,4,0)</f>
        <v>GENERACIÓN ENERG. ELEC. TURBO GENERADOR</v>
      </c>
      <c r="I1264" s="191" t="str">
        <f>VLOOKUP(MP_registro[[#This Row],[TAG]],'DB-EQUIPOS GEN'!$C$11:$H$833,5,0)</f>
        <v>TURBOGENERADOR TRIVENI 23.2 MW</v>
      </c>
      <c r="J1264" s="191" t="str">
        <f>VLOOKUP(MP_registro[[#This Row],[TAG]],'DB-EQUIPOS GEN'!$C$11:$H$833,6,0)</f>
        <v>0430TG020</v>
      </c>
      <c r="K1264" s="192">
        <v>44862</v>
      </c>
      <c r="L1264" s="193" t="s">
        <v>245</v>
      </c>
      <c r="M1264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64" s="201"/>
      <c r="O1264" s="64" t="s">
        <v>1696</v>
      </c>
    </row>
    <row r="1265" spans="1:15" ht="33" customHeight="1">
      <c r="A1265" s="218">
        <v>1261</v>
      </c>
      <c r="B1265" s="239" t="s">
        <v>3050</v>
      </c>
      <c r="C1265" s="64" t="s">
        <v>3226</v>
      </c>
      <c r="D1265" s="191" t="s">
        <v>3212</v>
      </c>
      <c r="E1265" s="204" t="s">
        <v>1647</v>
      </c>
      <c r="F1265" s="191" t="str">
        <f>VLOOKUP(MP_registro[[#This Row],[TAG]],'DB-EQUIPOS GEN'!$C$11:$H$833,2,0)</f>
        <v>Explanada frontal de Turbina Triveni</v>
      </c>
      <c r="G1265" s="191" t="str">
        <f>VLOOKUP(MP_registro[[#This Row],[TAG]],'DB-EQUIPOS GEN'!$C$11:$H$833,3,0)</f>
        <v>E. ELECTRICA</v>
      </c>
      <c r="H1265" s="191" t="str">
        <f>VLOOKUP(MP_registro[[#This Row],[TAG]],'DB-EQUIPOS GEN'!$C$11:$H$833,4,0)</f>
        <v>GENERACIÓN ENERG. ELEC. TURBO GENERADOR</v>
      </c>
      <c r="I1265" s="191" t="str">
        <f>VLOOKUP(MP_registro[[#This Row],[TAG]],'DB-EQUIPOS GEN'!$C$11:$H$833,5,0)</f>
        <v>TURBOGENERADOR TRIVENI 23.2 MW</v>
      </c>
      <c r="J1265" s="191" t="str">
        <f>VLOOKUP(MP_registro[[#This Row],[TAG]],'DB-EQUIPOS GEN'!$C$11:$H$833,6,0)</f>
        <v>0430TG020</v>
      </c>
      <c r="K1265" s="192">
        <v>44862</v>
      </c>
      <c r="L1265" s="193" t="s">
        <v>245</v>
      </c>
      <c r="M1265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65" s="201"/>
      <c r="O1265" s="64" t="s">
        <v>1696</v>
      </c>
    </row>
    <row r="1266" spans="1:15" ht="33" customHeight="1">
      <c r="A1266" s="218">
        <v>1262</v>
      </c>
      <c r="B1266" s="239" t="s">
        <v>3050</v>
      </c>
      <c r="C1266" s="64" t="s">
        <v>3226</v>
      </c>
      <c r="D1266" s="191" t="s">
        <v>3213</v>
      </c>
      <c r="E1266" s="204" t="s">
        <v>750</v>
      </c>
      <c r="F1266" s="191" t="str">
        <f>VLOOKUP(MP_registro[[#This Row],[TAG]],'DB-EQUIPOS GEN'!$C$11:$H$833,2,0)</f>
        <v>Brix de masa B - Celda 1</v>
      </c>
      <c r="G1266" s="191" t="str">
        <f>VLOOKUP(MP_registro[[#This Row],[TAG]],'DB-EQUIPOS GEN'!$C$11:$H$833,3,0)</f>
        <v>PRODUCCION</v>
      </c>
      <c r="H1266" s="191" t="str">
        <f>VLOOKUP(MP_registro[[#This Row],[TAG]],'DB-EQUIPOS GEN'!$C$11:$H$833,4,0)</f>
        <v>CRISTALIZACION POR COCCION</v>
      </c>
      <c r="I1266" s="191" t="str">
        <f>VLOOKUP(MP_registro[[#This Row],[TAG]],'DB-EQUIPOS GEN'!$C$11:$H$833,5,0)</f>
        <v xml:space="preserve">TACHO CONTINUO B </v>
      </c>
      <c r="J1266" s="191" t="str">
        <f>VLOOKUP(MP_registro[[#This Row],[TAG]],'DB-EQUIPOS GEN'!$C$11:$H$833,6,0)</f>
        <v xml:space="preserve"> 0335HX230</v>
      </c>
      <c r="K1266" s="192">
        <v>44863</v>
      </c>
      <c r="L1266" s="193" t="s">
        <v>245</v>
      </c>
      <c r="M1266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66" s="201"/>
      <c r="O1266" s="64" t="s">
        <v>1696</v>
      </c>
    </row>
    <row r="1267" spans="1:15" ht="33" customHeight="1">
      <c r="A1267" s="218">
        <v>1263</v>
      </c>
      <c r="B1267" s="239" t="s">
        <v>3050</v>
      </c>
      <c r="C1267" s="64" t="s">
        <v>3226</v>
      </c>
      <c r="D1267" s="191" t="s">
        <v>3214</v>
      </c>
      <c r="E1267" s="204" t="s">
        <v>752</v>
      </c>
      <c r="F1267" s="191" t="str">
        <f>VLOOKUP(MP_registro[[#This Row],[TAG]],'DB-EQUIPOS GEN'!$C$11:$H$833,2,0)</f>
        <v>Brix de masa B - Celda 2</v>
      </c>
      <c r="G1267" s="191" t="str">
        <f>VLOOKUP(MP_registro[[#This Row],[TAG]],'DB-EQUIPOS GEN'!$C$11:$H$833,3,0)</f>
        <v>PRODUCCION</v>
      </c>
      <c r="H1267" s="191" t="str">
        <f>VLOOKUP(MP_registro[[#This Row],[TAG]],'DB-EQUIPOS GEN'!$C$11:$H$833,4,0)</f>
        <v>CRISTALIZACION POR COCCION</v>
      </c>
      <c r="I1267" s="191" t="str">
        <f>VLOOKUP(MP_registro[[#This Row],[TAG]],'DB-EQUIPOS GEN'!$C$11:$H$833,5,0)</f>
        <v xml:space="preserve">TACHO CONTINUO B </v>
      </c>
      <c r="J1267" s="191" t="str">
        <f>VLOOKUP(MP_registro[[#This Row],[TAG]],'DB-EQUIPOS GEN'!$C$11:$H$833,6,0)</f>
        <v xml:space="preserve"> 0335HX230</v>
      </c>
      <c r="K1267" s="192">
        <v>44863</v>
      </c>
      <c r="L1267" s="193" t="s">
        <v>245</v>
      </c>
      <c r="M1267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67" s="201"/>
      <c r="O1267" s="64" t="s">
        <v>1696</v>
      </c>
    </row>
    <row r="1268" spans="1:15" ht="33" customHeight="1">
      <c r="A1268" s="218">
        <v>1264</v>
      </c>
      <c r="B1268" s="239" t="s">
        <v>3050</v>
      </c>
      <c r="C1268" s="64" t="s">
        <v>3226</v>
      </c>
      <c r="D1268" s="191" t="s">
        <v>3215</v>
      </c>
      <c r="E1268" s="204" t="s">
        <v>1326</v>
      </c>
      <c r="F1268" s="191" t="str">
        <f>VLOOKUP(MP_registro[[#This Row],[TAG]],'DB-EQUIPOS GEN'!$C$11:$H$833,2,0)</f>
        <v>Tablero de periferia en Asset Process Houses</v>
      </c>
      <c r="G1268" s="191" t="str">
        <f>VLOOKUP(MP_registro[[#This Row],[TAG]],'DB-EQUIPOS GEN'!$C$11:$H$833,3,0)</f>
        <v>PRODUCCION</v>
      </c>
      <c r="H1268" s="191" t="str">
        <f>VLOOKUP(MP_registro[[#This Row],[TAG]],'DB-EQUIPOS GEN'!$C$11:$H$833,4,0)</f>
        <v>EVAPORACION DE JUGO</v>
      </c>
      <c r="I1268" s="191" t="str">
        <f>VLOOKUP(MP_registro[[#This Row],[TAG]],'DB-EQUIPOS GEN'!$C$11:$H$833,5,0)</f>
        <v>EVAPORADOR FFE 1</v>
      </c>
      <c r="J1268" s="191" t="str">
        <f>VLOOKUP(MP_registro[[#This Row],[TAG]],'DB-EQUIPOS GEN'!$C$11:$H$833,6,0)</f>
        <v>0320EV010</v>
      </c>
      <c r="K1268" s="192">
        <v>44863</v>
      </c>
      <c r="L1268" s="193" t="s">
        <v>248</v>
      </c>
      <c r="M1268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268" s="201"/>
      <c r="O1268" s="64" t="s">
        <v>1696</v>
      </c>
    </row>
    <row r="1269" spans="1:15" ht="33" customHeight="1">
      <c r="A1269" s="218">
        <v>1265</v>
      </c>
      <c r="B1269" s="239" t="s">
        <v>3050</v>
      </c>
      <c r="C1269" s="64" t="s">
        <v>3226</v>
      </c>
      <c r="D1269" s="191" t="s">
        <v>3216</v>
      </c>
      <c r="E1269" s="204" t="s">
        <v>1327</v>
      </c>
      <c r="F1269" s="191" t="str">
        <f>VLOOKUP(MP_registro[[#This Row],[TAG]],'DB-EQUIPOS GEN'!$C$11:$H$833,2,0)</f>
        <v>Tablero de periferia en Asset Process Houses</v>
      </c>
      <c r="G1269" s="191" t="str">
        <f>VLOOKUP(MP_registro[[#This Row],[TAG]],'DB-EQUIPOS GEN'!$C$11:$H$833,3,0)</f>
        <v>PRODUCCION</v>
      </c>
      <c r="H1269" s="191" t="str">
        <f>VLOOKUP(MP_registro[[#This Row],[TAG]],'DB-EQUIPOS GEN'!$C$11:$H$833,4,0)</f>
        <v>EVAPORACION DE JUGO</v>
      </c>
      <c r="I1269" s="191" t="str">
        <f>VLOOKUP(MP_registro[[#This Row],[TAG]],'DB-EQUIPOS GEN'!$C$11:$H$833,5,0)</f>
        <v>EVAPORADOR FFE 1</v>
      </c>
      <c r="J1269" s="191" t="str">
        <f>VLOOKUP(MP_registro[[#This Row],[TAG]],'DB-EQUIPOS GEN'!$C$11:$H$833,6,0)</f>
        <v>0320EV010</v>
      </c>
      <c r="K1269" s="192">
        <v>44863</v>
      </c>
      <c r="L1269" s="193" t="s">
        <v>248</v>
      </c>
      <c r="M1269" s="77" t="str">
        <f>IF(MP_registro[[#This Row],[TURNO]]="G1",LISTAS!$E$5,IF(MP_registro[[#This Row],[TURNO]]="G2",LISTAS!$E$10,IF(MP_registro[[#This Row],[TURNO]]="G3",LISTAS!$E$7,IF(MP_registro[[#This Row],[TURNO]]="G4",LISTAS!$E$8,LISTAS!$E$9))))</f>
        <v>Richard Zapata / Angel Terrones</v>
      </c>
      <c r="N1269" s="201"/>
      <c r="O1269" s="64" t="s">
        <v>1696</v>
      </c>
    </row>
    <row r="1270" spans="1:15" ht="33" customHeight="1">
      <c r="A1270" s="218">
        <v>1266</v>
      </c>
      <c r="B1270" s="239" t="s">
        <v>3050</v>
      </c>
      <c r="C1270" s="64" t="s">
        <v>3226</v>
      </c>
      <c r="D1270" s="191" t="s">
        <v>3217</v>
      </c>
      <c r="E1270" s="204" t="s">
        <v>1649</v>
      </c>
      <c r="F1270" s="191" t="str">
        <f>VLOOKUP(MP_registro[[#This Row],[TAG]],'DB-EQUIPOS GEN'!$C$11:$H$833,2,0)</f>
        <v>Chute alimentadores de bagazo</v>
      </c>
      <c r="G1270" s="191" t="str">
        <f>VLOOKUP(MP_registro[[#This Row],[TAG]],'DB-EQUIPOS GEN'!$C$11:$H$833,3,0)</f>
        <v>E. TERMICA</v>
      </c>
      <c r="H1270" s="191" t="str">
        <f>VLOOKUP(MP_registro[[#This Row],[TAG]],'DB-EQUIPOS GEN'!$C$11:$H$833,4,0)</f>
        <v>TRANSPORTE DE BAGAZO</v>
      </c>
      <c r="I1270" s="191" t="str">
        <f>VLOOKUP(MP_registro[[#This Row],[TAG]],'DB-EQUIPOS GEN'!$C$11:$H$833,5,0)</f>
        <v>ALIMENTADOR DE BAGAZO 1</v>
      </c>
      <c r="J1270" s="191" t="str">
        <f>VLOOKUP(MP_registro[[#This Row],[TAG]],'DB-EQUIPOS GEN'!$C$11:$H$833,6,0)</f>
        <v>0405RV240</v>
      </c>
      <c r="K1270" s="192">
        <v>44863</v>
      </c>
      <c r="L1270" s="193" t="s">
        <v>245</v>
      </c>
      <c r="M1270" s="77" t="str">
        <f>IF(MP_registro[[#This Row],[TURNO]]="G1",LISTAS!$E$5,IF(MP_registro[[#This Row],[TURNO]]="G2",LISTAS!$E$10,IF(MP_registro[[#This Row],[TURNO]]="G3",LISTAS!$E$7,IF(MP_registro[[#This Row],[TURNO]]="G4",LISTAS!$E$8,LISTAS!$E$9))))</f>
        <v>Carlos Chaname / Yehude Saavedra</v>
      </c>
      <c r="N1270" s="201"/>
      <c r="O1270" s="64" t="s">
        <v>1696</v>
      </c>
    </row>
    <row r="1271" spans="1:15" ht="33" customHeight="1">
      <c r="A1271" s="218">
        <v>1267</v>
      </c>
      <c r="B1271" s="239" t="s">
        <v>3050</v>
      </c>
      <c r="C1271" s="64" t="s">
        <v>3226</v>
      </c>
      <c r="D1271" s="191" t="s">
        <v>3218</v>
      </c>
      <c r="E1271" s="204" t="s">
        <v>1642</v>
      </c>
      <c r="F1271" s="191" t="str">
        <f>VLOOKUP(MP_registro[[#This Row],[TAG]],'DB-EQUIPOS GEN'!$C$11:$H$833,2,0)</f>
        <v>Salida de bagazo de molino secador</v>
      </c>
      <c r="G1271" s="191" t="str">
        <f>VLOOKUP(MP_registro[[#This Row],[TAG]],'DB-EQUIPOS GEN'!$C$11:$H$833,3,0)</f>
        <v>EXTRACCION</v>
      </c>
      <c r="H1271" s="191" t="str">
        <f>VLOOKUP(MP_registro[[#This Row],[TAG]],'DB-EQUIPOS GEN'!$C$11:$H$833,4,0)</f>
        <v>MOLINOS</v>
      </c>
      <c r="I1271" s="191" t="str">
        <f>VLOOKUP(MP_registro[[#This Row],[TAG]],'DB-EQUIPOS GEN'!$C$11:$H$833,5,0)</f>
        <v>MOLINO SECADOR</v>
      </c>
      <c r="J1271" s="191" t="str">
        <f>VLOOKUP(MP_registro[[#This Row],[TAG]],'DB-EQUIPOS GEN'!$C$11:$H$833,6,0)</f>
        <v>0210MM090</v>
      </c>
      <c r="K1271" s="192">
        <v>44864</v>
      </c>
      <c r="L1271" s="193" t="s">
        <v>249</v>
      </c>
      <c r="M1271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71" s="201"/>
      <c r="O1271" s="64" t="s">
        <v>1696</v>
      </c>
    </row>
    <row r="1272" spans="1:15" ht="33" customHeight="1">
      <c r="A1272" s="218">
        <v>1268</v>
      </c>
      <c r="B1272" s="239" t="s">
        <v>3050</v>
      </c>
      <c r="C1272" s="64" t="s">
        <v>3226</v>
      </c>
      <c r="D1272" s="191" t="s">
        <v>3219</v>
      </c>
      <c r="E1272" s="204" t="s">
        <v>1657</v>
      </c>
      <c r="F1272" s="191" t="str">
        <f>VLOOKUP(MP_registro[[#This Row],[TAG]],'DB-EQUIPOS GEN'!$C$11:$H$833,2,0)</f>
        <v>Pug mill B, Cabezal C de centrifugas continuas</v>
      </c>
      <c r="G1272" s="191" t="str">
        <f>VLOOKUP(MP_registro[[#This Row],[TAG]],'DB-EQUIPOS GEN'!$C$11:$H$833,3,0)</f>
        <v>PRODUCCION</v>
      </c>
      <c r="H1272" s="191" t="str">
        <f>VLOOKUP(MP_registro[[#This Row],[TAG]],'DB-EQUIPOS GEN'!$C$11:$H$833,4,0)</f>
        <v>CENTRIFUGACIÓN DE AZÚCAR</v>
      </c>
      <c r="I1272" s="191" t="str">
        <f>VLOOKUP(MP_registro[[#This Row],[TAG]],'DB-EQUIPOS GEN'!$C$11:$H$833,5,0)</f>
        <v>PUG MILL - B</v>
      </c>
      <c r="J1272" s="191" t="str">
        <f>VLOOKUP(MP_registro[[#This Row],[TAG]],'DB-EQUIPOS GEN'!$C$11:$H$833,6,0)</f>
        <v>0345MM020</v>
      </c>
      <c r="K1272" s="192">
        <v>44864</v>
      </c>
      <c r="L1272" s="193" t="s">
        <v>249</v>
      </c>
      <c r="M1272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72" s="201"/>
      <c r="O1272" s="64" t="s">
        <v>1696</v>
      </c>
    </row>
    <row r="1273" spans="1:15" ht="33" customHeight="1">
      <c r="A1273" s="218">
        <v>1269</v>
      </c>
      <c r="B1273" s="239" t="s">
        <v>3050</v>
      </c>
      <c r="C1273" s="64" t="s">
        <v>3226</v>
      </c>
      <c r="D1273" s="191" t="s">
        <v>3220</v>
      </c>
      <c r="E1273" s="204" t="s">
        <v>1661</v>
      </c>
      <c r="F1273" s="191" t="str">
        <f>VLOOKUP(MP_registro[[#This Row],[TAG]],'DB-EQUIPOS GEN'!$C$11:$H$833,2,0)</f>
        <v xml:space="preserve">Faja de azucar seca a Silo </v>
      </c>
      <c r="G1273" s="191" t="str">
        <f>VLOOKUP(MP_registro[[#This Row],[TAG]],'DB-EQUIPOS GEN'!$C$11:$H$833,3,0)</f>
        <v>PRODUCCION</v>
      </c>
      <c r="H1273" s="191" t="str">
        <f>VLOOKUP(MP_registro[[#This Row],[TAG]],'DB-EQUIPOS GEN'!$C$11:$H$833,4,0)</f>
        <v>ENVASADO DE AZÚCAR RUBIA</v>
      </c>
      <c r="I1273" s="191" t="str">
        <f>VLOOKUP(MP_registro[[#This Row],[TAG]],'DB-EQUIPOS GEN'!$C$11:$H$833,5,0)</f>
        <v>SILO DE AZUCAR 1</v>
      </c>
      <c r="J1273" s="191" t="str">
        <f>VLOOKUP(MP_registro[[#This Row],[TAG]],'DB-EQUIPOS GEN'!$C$11:$H$833,6,0)</f>
        <v>0355BI090</v>
      </c>
      <c r="K1273" s="192">
        <v>44864</v>
      </c>
      <c r="L1273" s="193" t="s">
        <v>249</v>
      </c>
      <c r="M1273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73" s="201"/>
      <c r="O1273" s="64" t="s">
        <v>1696</v>
      </c>
    </row>
    <row r="1274" spans="1:15" ht="33" customHeight="1">
      <c r="A1274" s="218">
        <v>1270</v>
      </c>
      <c r="B1274" s="239" t="s">
        <v>3050</v>
      </c>
      <c r="C1274" s="64" t="s">
        <v>3226</v>
      </c>
      <c r="D1274" s="191" t="s">
        <v>3221</v>
      </c>
      <c r="E1274" s="204" t="s">
        <v>2406</v>
      </c>
      <c r="F1274" s="191" t="str">
        <f>VLOOKUP(MP_registro[[#This Row],[TAG]],'DB-EQUIPOS GEN'!$C$11:$H$833,2,0)</f>
        <v>Vista Mesa de Caña - Descarga de Tetras</v>
      </c>
      <c r="G1274" s="191" t="str">
        <f>VLOOKUP(MP_registro[[#This Row],[TAG]],'DB-EQUIPOS GEN'!$C$11:$H$833,3,0)</f>
        <v>EXTRACCION</v>
      </c>
      <c r="H1274" s="191" t="str">
        <f>VLOOKUP(MP_registro[[#This Row],[TAG]],'DB-EQUIPOS GEN'!$C$11:$H$833,4,0)</f>
        <v>RECEPCIÓN DE CAÑA</v>
      </c>
      <c r="I1274" s="191" t="str">
        <f>VLOOKUP(MP_registro[[#This Row],[TAG]],'DB-EQUIPOS GEN'!$C$11:$H$833,5,0)</f>
        <v>MESA DE CAÑA</v>
      </c>
      <c r="J1274" s="191" t="str">
        <f>VLOOKUP(MP_registro[[#This Row],[TAG]],'DB-EQUIPOS GEN'!$C$11:$H$833,6,0)</f>
        <v>0110FE019</v>
      </c>
      <c r="K1274" s="192">
        <v>44865</v>
      </c>
      <c r="L1274" s="193" t="s">
        <v>249</v>
      </c>
      <c r="M1274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74" s="201"/>
      <c r="O1274" s="64" t="s">
        <v>1696</v>
      </c>
    </row>
    <row r="1275" spans="1:15" ht="33" customHeight="1">
      <c r="A1275" s="218">
        <v>1271</v>
      </c>
      <c r="B1275" s="239" t="s">
        <v>3050</v>
      </c>
      <c r="C1275" s="64" t="s">
        <v>3226</v>
      </c>
      <c r="D1275" s="191" t="s">
        <v>3222</v>
      </c>
      <c r="E1275" s="204" t="s">
        <v>1640</v>
      </c>
      <c r="F1275" s="191" t="str">
        <f>VLOOKUP(MP_registro[[#This Row],[TAG]],'DB-EQUIPOS GEN'!$C$11:$H$833,2,0)</f>
        <v>Conductor de alimentación a difusor y retorno</v>
      </c>
      <c r="G1275" s="191" t="str">
        <f>VLOOKUP(MP_registro[[#This Row],[TAG]],'DB-EQUIPOS GEN'!$C$11:$H$833,3,0)</f>
        <v>EXTRACCION</v>
      </c>
      <c r="H1275" s="191" t="str">
        <f>VLOOKUP(MP_registro[[#This Row],[TAG]],'DB-EQUIPOS GEN'!$C$11:$H$833,4,0)</f>
        <v>PREPARACIÓN DE CAÑA</v>
      </c>
      <c r="I1275" s="191" t="str">
        <f>VLOOKUP(MP_registro[[#This Row],[TAG]],'DB-EQUIPOS GEN'!$C$11:$H$833,5,0)</f>
        <v>CONDUCTOR DE RETORNO</v>
      </c>
      <c r="J1275" s="191" t="str">
        <f>VLOOKUP(MP_registro[[#This Row],[TAG]],'DB-EQUIPOS GEN'!$C$11:$H$833,6,0)</f>
        <v>0115CV090</v>
      </c>
      <c r="K1275" s="192">
        <v>44865</v>
      </c>
      <c r="L1275" s="193" t="s">
        <v>249</v>
      </c>
      <c r="M1275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75" s="201"/>
      <c r="O1275" s="64" t="s">
        <v>1696</v>
      </c>
    </row>
    <row r="1276" spans="1:15" ht="33" customHeight="1">
      <c r="A1276" s="218">
        <v>1272</v>
      </c>
      <c r="B1276" s="239" t="s">
        <v>3050</v>
      </c>
      <c r="C1276" s="64" t="s">
        <v>3226</v>
      </c>
      <c r="D1276" s="191" t="s">
        <v>3223</v>
      </c>
      <c r="E1276" s="204" t="s">
        <v>1645</v>
      </c>
      <c r="F1276" s="191" t="str">
        <f>VLOOKUP(MP_registro[[#This Row],[TAG]],'DB-EQUIPOS GEN'!$C$11:$H$833,2,0)</f>
        <v>Tamiz rotativo</v>
      </c>
      <c r="G1276" s="191" t="str">
        <f>VLOOKUP(MP_registro[[#This Row],[TAG]],'DB-EQUIPOS GEN'!$C$11:$H$833,3,0)</f>
        <v>EXTRACCION</v>
      </c>
      <c r="H1276" s="191" t="str">
        <f>VLOOKUP(MP_registro[[#This Row],[TAG]],'DB-EQUIPOS GEN'!$C$11:$H$833,4,0)</f>
        <v>DIFUSOR</v>
      </c>
      <c r="I1276" s="191" t="str">
        <f>VLOOKUP(MP_registro[[#This Row],[TAG]],'DB-EQUIPOS GEN'!$C$11:$H$833,5,0)</f>
        <v>TAMIZ ROTATIVO</v>
      </c>
      <c r="J1276" s="191" t="str">
        <f>VLOOKUP(MP_registro[[#This Row],[TAG]],'DB-EQUIPOS GEN'!$C$11:$H$833,6,0)</f>
        <v>0305FL010</v>
      </c>
      <c r="K1276" s="192">
        <v>44865</v>
      </c>
      <c r="L1276" s="193" t="s">
        <v>249</v>
      </c>
      <c r="M1276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76" s="201"/>
      <c r="O1276" s="64" t="s">
        <v>1696</v>
      </c>
    </row>
    <row r="1277" spans="1:15" ht="33" customHeight="1">
      <c r="A1277" s="218">
        <v>1273</v>
      </c>
      <c r="B1277" s="239" t="s">
        <v>3050</v>
      </c>
      <c r="C1277" s="64" t="s">
        <v>3226</v>
      </c>
      <c r="D1277" s="191" t="s">
        <v>3224</v>
      </c>
      <c r="E1277" s="204" t="s">
        <v>3048</v>
      </c>
      <c r="F1277" s="191" t="e">
        <f>VLOOKUP(MP_registro[[#This Row],[TAG]],'DB-EQUIPOS GEN'!$C$11:$H$833,2,0)</f>
        <v>#N/A</v>
      </c>
      <c r="G1277" s="191" t="e">
        <f>VLOOKUP(MP_registro[[#This Row],[TAG]],'DB-EQUIPOS GEN'!$C$11:$H$833,3,0)</f>
        <v>#N/A</v>
      </c>
      <c r="H1277" s="191" t="e">
        <f>VLOOKUP(MP_registro[[#This Row],[TAG]],'DB-EQUIPOS GEN'!$C$11:$H$833,4,0)</f>
        <v>#N/A</v>
      </c>
      <c r="I1277" s="191" t="e">
        <f>VLOOKUP(MP_registro[[#This Row],[TAG]],'DB-EQUIPOS GEN'!$C$11:$H$833,5,0)</f>
        <v>#N/A</v>
      </c>
      <c r="J1277" s="191" t="e">
        <f>VLOOKUP(MP_registro[[#This Row],[TAG]],'DB-EQUIPOS GEN'!$C$11:$H$833,6,0)</f>
        <v>#N/A</v>
      </c>
      <c r="K1277" s="192">
        <v>44865</v>
      </c>
      <c r="L1277" s="193" t="s">
        <v>249</v>
      </c>
      <c r="M1277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77" s="201"/>
      <c r="O1277" s="64" t="s">
        <v>1696</v>
      </c>
    </row>
    <row r="1278" spans="1:15" ht="33" customHeight="1">
      <c r="A1278" s="218">
        <v>1274</v>
      </c>
      <c r="B1278" s="239" t="s">
        <v>3050</v>
      </c>
      <c r="C1278" s="64" t="s">
        <v>3226</v>
      </c>
      <c r="D1278" s="191" t="s">
        <v>3225</v>
      </c>
      <c r="E1278" s="204" t="s">
        <v>1050</v>
      </c>
      <c r="F1278" s="191" t="str">
        <f>VLOOKUP(MP_registro[[#This Row],[TAG]],'DB-EQUIPOS GEN'!$C$11:$H$833,2,0)</f>
        <v>Condentracion de lechada de cal en tanque de mezclado</v>
      </c>
      <c r="G1278" s="191" t="str">
        <f>VLOOKUP(MP_registro[[#This Row],[TAG]],'DB-EQUIPOS GEN'!$C$11:$H$833,3,0)</f>
        <v>PRODUCCION</v>
      </c>
      <c r="H1278" s="191" t="str">
        <f>VLOOKUP(MP_registro[[#This Row],[TAG]],'DB-EQUIPOS GEN'!$C$11:$H$833,4,0)</f>
        <v>PLANTA DE CAL</v>
      </c>
      <c r="I1278" s="191" t="str">
        <f>VLOOKUP(MP_registro[[#This Row],[TAG]],'DB-EQUIPOS GEN'!$C$11:$H$833,5,0)</f>
        <v>TANQUE DE PREPARACION DE LECHADA DE CAL</v>
      </c>
      <c r="J1278" s="191" t="str">
        <f>VLOOKUP(MP_registro[[#This Row],[TAG]],'DB-EQUIPOS GEN'!$C$11:$H$833,6,0)</f>
        <v xml:space="preserve"> 0315TK040</v>
      </c>
      <c r="K1278" s="192">
        <v>44865</v>
      </c>
      <c r="L1278" s="193" t="s">
        <v>249</v>
      </c>
      <c r="M1278" s="77" t="str">
        <f>IF(MP_registro[[#This Row],[TURNO]]="G1",LISTAS!$E$5,IF(MP_registro[[#This Row],[TURNO]]="G2",LISTAS!$E$10,IF(MP_registro[[#This Row],[TURNO]]="G3",LISTAS!$E$7,IF(MP_registro[[#This Row],[TURNO]]="G4",LISTAS!$E$8,LISTAS!$E$9))))</f>
        <v>Jorge Sanchez / Yomar Chavez</v>
      </c>
      <c r="N1278" s="201"/>
      <c r="O1278" s="64" t="s">
        <v>1696</v>
      </c>
    </row>
  </sheetData>
  <sheetProtection selectLockedCells="1" sort="0" autoFilter="0"/>
  <phoneticPr fontId="30" type="noConversion"/>
  <pageMargins left="0.25" right="0.25" top="0.75" bottom="0.75" header="0.3" footer="0.3"/>
  <pageSetup paperSize="8" scale="75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LISTAS!$C$5:$C$7</xm:f>
          </x14:formula1>
          <xm:sqref>N2:N1278</xm:sqref>
        </x14:dataValidation>
        <x14:dataValidation type="list" allowBlank="1" showInputMessage="1" showErrorMessage="1" xr:uid="{00000000-0002-0000-0000-000001000000}">
          <x14:formula1>
            <xm:f>LISTAS!$D$5:$D$9</xm:f>
          </x14:formula1>
          <xm:sqref>L2:L1278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4"/>
  <dimension ref="B1:AA1067"/>
  <sheetViews>
    <sheetView showGridLines="0" topLeftCell="A157" zoomScale="85" zoomScaleNormal="85" workbookViewId="0">
      <selection activeCell="I381" sqref="I381"/>
    </sheetView>
  </sheetViews>
  <sheetFormatPr baseColWidth="10" defaultColWidth="9.140625" defaultRowHeight="16.5" outlineLevelCol="1"/>
  <cols>
    <col min="1" max="1" width="3.140625" style="32" customWidth="1"/>
    <col min="2" max="3" width="13.7109375" style="32" customWidth="1"/>
    <col min="4" max="4" width="17" style="32" customWidth="1"/>
    <col min="5" max="5" width="13.28515625" style="32" bestFit="1" customWidth="1"/>
    <col min="6" max="6" width="9.7109375" style="32" bestFit="1" customWidth="1"/>
    <col min="7" max="7" width="12.85546875" style="32" bestFit="1" customWidth="1"/>
    <col min="8" max="8" width="20.7109375" style="32" bestFit="1" customWidth="1"/>
    <col min="9" max="9" width="21.28515625" style="32" bestFit="1" customWidth="1"/>
    <col min="10" max="10" width="20.42578125" style="32" bestFit="1" customWidth="1"/>
    <col min="11" max="12" width="19.140625" style="32" bestFit="1" customWidth="1"/>
    <col min="13" max="13" width="24.28515625" style="32" bestFit="1" customWidth="1"/>
    <col min="14" max="14" width="27.7109375" style="32" bestFit="1" customWidth="1"/>
    <col min="15" max="15" width="9.42578125" style="32" customWidth="1"/>
    <col min="16" max="16" width="14.28515625" style="32" customWidth="1"/>
    <col min="17" max="17" width="11.28515625" style="32" customWidth="1" outlineLevel="1"/>
    <col min="18" max="19" width="17.85546875" style="32" customWidth="1" outlineLevel="1"/>
    <col min="20" max="20" width="21" style="32" customWidth="1" outlineLevel="1"/>
    <col min="21" max="21" width="45.140625" style="32" customWidth="1"/>
    <col min="22" max="24" width="15.7109375" style="35" customWidth="1"/>
    <col min="25" max="26" width="9.140625" style="32"/>
    <col min="27" max="29" width="9.140625" style="32" customWidth="1"/>
    <col min="30" max="30" width="12.42578125" style="32" customWidth="1"/>
    <col min="31" max="32" width="9.140625" style="32"/>
    <col min="33" max="34" width="9.140625" style="32" customWidth="1"/>
    <col min="35" max="16384" width="9.140625" style="32"/>
  </cols>
  <sheetData>
    <row r="1" spans="2:24" ht="17.25" thickBot="1"/>
    <row r="2" spans="2:24" s="45" customFormat="1">
      <c r="B2" s="43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55" t="s">
        <v>4</v>
      </c>
      <c r="O2" s="240" t="s">
        <v>12</v>
      </c>
      <c r="P2" s="241"/>
      <c r="Q2" s="242"/>
      <c r="R2" s="56"/>
      <c r="S2" s="56"/>
      <c r="T2" s="56"/>
      <c r="U2" s="56"/>
    </row>
    <row r="3" spans="2:24" s="45" customFormat="1" ht="18.75">
      <c r="B3" s="46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57" t="s">
        <v>5</v>
      </c>
      <c r="O3" s="243">
        <v>1</v>
      </c>
      <c r="P3" s="244"/>
      <c r="Q3" s="245"/>
      <c r="R3" s="56"/>
      <c r="S3" s="56"/>
      <c r="T3" s="56"/>
      <c r="U3" s="56"/>
    </row>
    <row r="4" spans="2:24" s="45" customFormat="1">
      <c r="B4" s="49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57" t="s">
        <v>6</v>
      </c>
      <c r="O4" s="243" t="s">
        <v>7</v>
      </c>
      <c r="P4" s="244"/>
      <c r="Q4" s="245"/>
      <c r="R4" s="56"/>
      <c r="S4" s="56"/>
      <c r="T4" s="56"/>
      <c r="U4" s="56"/>
    </row>
    <row r="5" spans="2:24" s="45" customFormat="1">
      <c r="B5" s="49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57" t="s">
        <v>8</v>
      </c>
      <c r="O5" s="243" t="s">
        <v>9</v>
      </c>
      <c r="P5" s="244"/>
      <c r="Q5" s="245"/>
      <c r="R5" s="56"/>
      <c r="S5" s="56"/>
      <c r="T5" s="56"/>
      <c r="U5" s="56"/>
    </row>
    <row r="6" spans="2:24" s="45" customFormat="1" ht="17.25" thickBot="1">
      <c r="B6" s="50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8" t="s">
        <v>10</v>
      </c>
      <c r="O6" s="246" t="s">
        <v>11</v>
      </c>
      <c r="P6" s="247"/>
      <c r="Q6" s="248"/>
      <c r="R6" s="56"/>
      <c r="S6" s="56"/>
      <c r="T6" s="56"/>
      <c r="U6" s="56"/>
    </row>
    <row r="7" spans="2:24" s="45" customFormat="1">
      <c r="V7" s="52"/>
      <c r="W7" s="52"/>
      <c r="X7" s="52"/>
    </row>
    <row r="8" spans="2:24" ht="21.75" customHeight="1">
      <c r="C8" s="81"/>
      <c r="G8" s="197">
        <f>SUBTOTAL(3,MP_cierre[Nº])</f>
        <v>932</v>
      </c>
    </row>
    <row r="9" spans="2:24" ht="33">
      <c r="B9" s="82"/>
      <c r="C9" s="82"/>
      <c r="D9" s="82"/>
      <c r="E9" s="82"/>
      <c r="F9" s="82"/>
      <c r="G9" s="132" t="s">
        <v>263</v>
      </c>
      <c r="H9" s="132" t="s">
        <v>2425</v>
      </c>
      <c r="I9" s="132" t="s">
        <v>2426</v>
      </c>
      <c r="J9" s="169" t="s">
        <v>2423</v>
      </c>
      <c r="K9" s="133" t="s">
        <v>2420</v>
      </c>
      <c r="L9" s="134" t="s">
        <v>2421</v>
      </c>
      <c r="M9" s="133" t="s">
        <v>2422</v>
      </c>
      <c r="V9" s="32"/>
      <c r="W9" s="32"/>
      <c r="X9" s="32"/>
    </row>
    <row r="10" spans="2:24" ht="25.9" customHeight="1">
      <c r="B10" s="53"/>
      <c r="C10" s="53"/>
      <c r="D10" s="53"/>
      <c r="E10" s="53"/>
      <c r="F10" s="53"/>
      <c r="G10" s="83">
        <v>1</v>
      </c>
      <c r="H10" s="83" t="s">
        <v>1382</v>
      </c>
      <c r="I10" s="83" t="str">
        <f>VLOOKUP(MP_cierre[[#This Row],[OT]],MP_registro[[#All],[OT]:[PROGRAMADO]],9,FALSE)</f>
        <v>G3</v>
      </c>
      <c r="J10" s="170">
        <v>44653</v>
      </c>
      <c r="K10" s="208">
        <v>44662</v>
      </c>
      <c r="L10" s="176">
        <v>0.70833333333333337</v>
      </c>
      <c r="M10" s="176">
        <v>0.72569444444444453</v>
      </c>
      <c r="V10" s="32"/>
      <c r="W10" s="32"/>
      <c r="X10" s="32"/>
    </row>
    <row r="11" spans="2:24" ht="25.9" customHeight="1">
      <c r="B11" s="53"/>
      <c r="C11" s="53"/>
      <c r="D11" s="53"/>
      <c r="E11" s="53"/>
      <c r="F11" s="53"/>
      <c r="G11" s="83">
        <v>2</v>
      </c>
      <c r="H11" s="83" t="s">
        <v>1383</v>
      </c>
      <c r="I11" s="83" t="str">
        <f>VLOOKUP(MP_cierre[[#This Row],[OT]],MP_registro[[#All],[OT]:[PROGRAMADO]],9,FALSE)</f>
        <v>G1</v>
      </c>
      <c r="J11" s="170">
        <v>44655</v>
      </c>
      <c r="K11" s="208">
        <v>44658</v>
      </c>
      <c r="L11" s="176">
        <v>0.125</v>
      </c>
      <c r="M11" s="176">
        <v>0.17361111111111113</v>
      </c>
      <c r="V11" s="32"/>
      <c r="W11" s="32"/>
      <c r="X11" s="32"/>
    </row>
    <row r="12" spans="2:24" s="61" customFormat="1" ht="25.9" customHeight="1">
      <c r="B12" s="53"/>
      <c r="C12" s="53"/>
      <c r="D12" s="53"/>
      <c r="E12" s="53"/>
      <c r="F12" s="53"/>
      <c r="G12" s="83">
        <v>3</v>
      </c>
      <c r="H12" s="83" t="s">
        <v>1384</v>
      </c>
      <c r="I12" s="83" t="str">
        <f>VLOOKUP(MP_cierre[[#This Row],[OT]],MP_registro[[#All],[OT]:[PROGRAMADO]],9,FALSE)</f>
        <v>G1</v>
      </c>
      <c r="J12" s="170">
        <v>44656</v>
      </c>
      <c r="K12" s="209">
        <v>44656</v>
      </c>
      <c r="L12" s="176">
        <v>0.58333333333333337</v>
      </c>
      <c r="M12" s="176">
        <v>0.60138888888888886</v>
      </c>
    </row>
    <row r="13" spans="2:24" ht="25.9" customHeight="1">
      <c r="B13" s="53"/>
      <c r="C13" s="53"/>
      <c r="D13" s="53"/>
      <c r="E13" s="53"/>
      <c r="F13" s="53"/>
      <c r="G13" s="83">
        <v>4</v>
      </c>
      <c r="H13" s="83" t="s">
        <v>1385</v>
      </c>
      <c r="I13" s="83" t="str">
        <f>VLOOKUP(MP_cierre[[#This Row],[OT]],MP_registro[[#All],[OT]:[PROGRAMADO]],9,FALSE)</f>
        <v>G2</v>
      </c>
      <c r="J13" s="170">
        <v>44656</v>
      </c>
      <c r="K13" s="208">
        <v>44657</v>
      </c>
      <c r="L13" s="176">
        <v>0.83333333333333337</v>
      </c>
      <c r="M13" s="176">
        <v>0.875</v>
      </c>
      <c r="V13" s="32"/>
      <c r="W13" s="32"/>
      <c r="X13" s="32"/>
    </row>
    <row r="14" spans="2:24" ht="25.9" customHeight="1">
      <c r="B14" s="53"/>
      <c r="C14" s="53"/>
      <c r="D14" s="53"/>
      <c r="E14" s="53"/>
      <c r="F14" s="53"/>
      <c r="G14" s="83">
        <v>5</v>
      </c>
      <c r="H14" s="83" t="s">
        <v>1386</v>
      </c>
      <c r="I14" s="83" t="str">
        <f>VLOOKUP(MP_cierre[[#This Row],[OT]],MP_registro[[#All],[OT]:[PROGRAMADO]],9,FALSE)</f>
        <v>G1</v>
      </c>
      <c r="J14" s="170">
        <v>44652</v>
      </c>
      <c r="K14" s="208">
        <v>44655</v>
      </c>
      <c r="L14" s="176">
        <v>0.625</v>
      </c>
      <c r="M14" s="176">
        <v>0.67708333333333337</v>
      </c>
      <c r="V14" s="32"/>
      <c r="W14" s="32"/>
      <c r="X14" s="32"/>
    </row>
    <row r="15" spans="2:24" ht="25.9" customHeight="1">
      <c r="B15" s="53"/>
      <c r="C15" s="53"/>
      <c r="D15" s="53"/>
      <c r="E15" s="53"/>
      <c r="F15" s="53"/>
      <c r="G15" s="83">
        <v>6</v>
      </c>
      <c r="H15" s="83" t="s">
        <v>1387</v>
      </c>
      <c r="I15" s="83" t="str">
        <f>VLOOKUP(MP_cierre[[#This Row],[OT]],MP_registro[[#All],[OT]:[PROGRAMADO]],9,FALSE)</f>
        <v>G2</v>
      </c>
      <c r="J15" s="170">
        <v>44653</v>
      </c>
      <c r="K15" s="208">
        <v>44653</v>
      </c>
      <c r="L15" s="176">
        <v>0.91666666666666663</v>
      </c>
      <c r="M15" s="176">
        <v>0.97222222222222221</v>
      </c>
      <c r="V15" s="32"/>
      <c r="W15" s="32"/>
      <c r="X15" s="32"/>
    </row>
    <row r="16" spans="2:24" ht="25.9" customHeight="1">
      <c r="B16" s="53"/>
      <c r="C16" s="53"/>
      <c r="D16" s="53"/>
      <c r="E16" s="53"/>
      <c r="F16" s="53"/>
      <c r="G16" s="83">
        <v>7</v>
      </c>
      <c r="H16" s="83" t="s">
        <v>1388</v>
      </c>
      <c r="I16" s="83" t="str">
        <f>VLOOKUP(MP_cierre[[#This Row],[OT]],MP_registro[[#All],[OT]:[PROGRAMADO]],9,FALSE)</f>
        <v>G1</v>
      </c>
      <c r="J16" s="170">
        <v>44654</v>
      </c>
      <c r="K16" s="208">
        <v>44654</v>
      </c>
      <c r="L16" s="176">
        <v>0.72222222222222221</v>
      </c>
      <c r="M16" s="176">
        <v>0.74652777777777779</v>
      </c>
      <c r="V16" s="32"/>
      <c r="W16" s="32"/>
      <c r="X16" s="32"/>
    </row>
    <row r="17" spans="2:24" ht="25.9" customHeight="1">
      <c r="B17" s="53"/>
      <c r="C17" s="53"/>
      <c r="D17" s="53"/>
      <c r="E17" s="53"/>
      <c r="F17" s="53"/>
      <c r="G17" s="83">
        <v>8</v>
      </c>
      <c r="H17" s="83" t="s">
        <v>1389</v>
      </c>
      <c r="I17" s="83" t="str">
        <f>VLOOKUP(MP_cierre[[#This Row],[OT]],MP_registro[[#All],[OT]:[PROGRAMADO]],9,FALSE)</f>
        <v>G3</v>
      </c>
      <c r="J17" s="170">
        <v>44655</v>
      </c>
      <c r="K17" s="208">
        <v>44661</v>
      </c>
      <c r="L17" s="176">
        <v>0.69305555555555554</v>
      </c>
      <c r="M17" s="176">
        <v>0.71180555555555547</v>
      </c>
      <c r="V17" s="32"/>
      <c r="W17" s="32"/>
      <c r="X17" s="32"/>
    </row>
    <row r="18" spans="2:24" s="61" customFormat="1" ht="25.9" customHeight="1">
      <c r="B18" s="53"/>
      <c r="C18" s="53"/>
      <c r="D18" s="53"/>
      <c r="E18" s="53"/>
      <c r="F18" s="53"/>
      <c r="G18" s="83">
        <v>9</v>
      </c>
      <c r="H18" s="83" t="s">
        <v>1390</v>
      </c>
      <c r="I18" s="83" t="str">
        <f>VLOOKUP(MP_cierre[[#This Row],[OT]],MP_registro[[#All],[OT]:[PROGRAMADO]],9,FALSE)</f>
        <v>G2</v>
      </c>
      <c r="J18" s="170">
        <v>44656</v>
      </c>
      <c r="K18" s="209">
        <v>44657</v>
      </c>
      <c r="L18" s="176">
        <v>0.97222222222222221</v>
      </c>
      <c r="M18" s="176">
        <v>1.0138888888888888</v>
      </c>
    </row>
    <row r="19" spans="2:24" ht="25.9" customHeight="1">
      <c r="B19" s="53"/>
      <c r="C19" s="53"/>
      <c r="D19" s="53"/>
      <c r="E19" s="53"/>
      <c r="F19" s="53"/>
      <c r="G19" s="83">
        <v>10</v>
      </c>
      <c r="H19" s="83" t="s">
        <v>1391</v>
      </c>
      <c r="I19" s="83" t="str">
        <f>VLOOKUP(MP_cierre[[#This Row],[OT]],MP_registro[[#All],[OT]:[PROGRAMADO]],9,FALSE)</f>
        <v>G2</v>
      </c>
      <c r="J19" s="170">
        <v>44657</v>
      </c>
      <c r="K19" s="208">
        <v>44658</v>
      </c>
      <c r="L19" s="176">
        <v>4.1666666666666664E-2</v>
      </c>
      <c r="M19" s="176">
        <v>8.3333333333333329E-2</v>
      </c>
      <c r="V19" s="32"/>
      <c r="W19" s="32"/>
      <c r="X19" s="32"/>
    </row>
    <row r="20" spans="2:24" ht="25.9" customHeight="1">
      <c r="B20" s="53"/>
      <c r="C20" s="53"/>
      <c r="D20" s="53"/>
      <c r="E20" s="53"/>
      <c r="F20" s="53"/>
      <c r="G20" s="83">
        <v>11</v>
      </c>
      <c r="H20" s="83" t="s">
        <v>1392</v>
      </c>
      <c r="I20" s="83" t="str">
        <f>VLOOKUP(MP_cierre[[#This Row],[OT]],MP_registro[[#All],[OT]:[PROGRAMADO]],9,FALSE)</f>
        <v>G1</v>
      </c>
      <c r="J20" s="170">
        <v>44658</v>
      </c>
      <c r="K20" s="208">
        <v>44661</v>
      </c>
      <c r="L20" s="176">
        <v>0.95833333333333337</v>
      </c>
      <c r="M20" s="176">
        <v>1.0159722222222223</v>
      </c>
      <c r="V20" s="32"/>
      <c r="W20" s="32"/>
      <c r="X20" s="32"/>
    </row>
    <row r="21" spans="2:24" ht="25.9" customHeight="1">
      <c r="B21" s="53"/>
      <c r="C21" s="53"/>
      <c r="D21" s="53"/>
      <c r="E21" s="53"/>
      <c r="F21" s="53"/>
      <c r="G21" s="83">
        <v>12</v>
      </c>
      <c r="H21" s="83" t="s">
        <v>1393</v>
      </c>
      <c r="I21" s="83" t="str">
        <f>VLOOKUP(MP_cierre[[#This Row],[OT]],MP_registro[[#All],[OT]:[PROGRAMADO]],9,FALSE)</f>
        <v>G3</v>
      </c>
      <c r="J21" s="170">
        <v>44659</v>
      </c>
      <c r="K21" s="208">
        <v>44664</v>
      </c>
      <c r="L21" s="176">
        <v>0.92013888888888884</v>
      </c>
      <c r="M21" s="176">
        <v>1.0104166666666667</v>
      </c>
      <c r="V21" s="32"/>
      <c r="W21" s="32"/>
      <c r="X21" s="32"/>
    </row>
    <row r="22" spans="2:24" ht="25.9" customHeight="1">
      <c r="B22" s="53"/>
      <c r="C22" s="53"/>
      <c r="D22" s="53"/>
      <c r="E22" s="53"/>
      <c r="F22" s="53"/>
      <c r="G22" s="83">
        <v>13</v>
      </c>
      <c r="H22" s="83" t="s">
        <v>1394</v>
      </c>
      <c r="I22" s="83" t="str">
        <f>VLOOKUP(MP_cierre[[#This Row],[OT]],MP_registro[[#All],[OT]:[PROGRAMADO]],9,FALSE)</f>
        <v>G2</v>
      </c>
      <c r="J22" s="170">
        <v>44660</v>
      </c>
      <c r="K22" s="210">
        <v>44661</v>
      </c>
      <c r="L22" s="176">
        <v>8.3333333333333329E-2</v>
      </c>
      <c r="M22" s="176">
        <v>0.10416666666666667</v>
      </c>
      <c r="V22" s="32"/>
      <c r="W22" s="32"/>
      <c r="X22" s="32"/>
    </row>
    <row r="23" spans="2:24" ht="25.9" customHeight="1">
      <c r="B23" s="53"/>
      <c r="C23" s="53"/>
      <c r="D23" s="53"/>
      <c r="E23" s="53"/>
      <c r="F23" s="53"/>
      <c r="G23" s="83">
        <v>14</v>
      </c>
      <c r="H23" s="83" t="s">
        <v>1395</v>
      </c>
      <c r="I23" s="83" t="str">
        <f>VLOOKUP(MP_cierre[[#This Row],[OT]],MP_registro[[#All],[OT]:[PROGRAMADO]],9,FALSE)</f>
        <v>G3</v>
      </c>
      <c r="J23" s="170">
        <v>44661</v>
      </c>
      <c r="K23" s="208">
        <v>44664</v>
      </c>
      <c r="L23" s="176">
        <v>0.33333333333333331</v>
      </c>
      <c r="M23" s="176">
        <v>0.36249999999999999</v>
      </c>
      <c r="V23" s="32"/>
      <c r="W23" s="32"/>
      <c r="X23" s="32"/>
    </row>
    <row r="24" spans="2:24" ht="25.9" customHeight="1">
      <c r="B24" s="53"/>
      <c r="C24" s="53"/>
      <c r="D24" s="53"/>
      <c r="E24" s="53"/>
      <c r="F24" s="53"/>
      <c r="G24" s="83">
        <v>15</v>
      </c>
      <c r="H24" s="83" t="s">
        <v>1396</v>
      </c>
      <c r="I24" s="83" t="str">
        <f>VLOOKUP(MP_cierre[[#This Row],[OT]],MP_registro[[#All],[OT]:[PROGRAMADO]],9,FALSE)</f>
        <v>G3</v>
      </c>
      <c r="J24" s="170">
        <v>44655</v>
      </c>
      <c r="K24" s="208">
        <v>44661</v>
      </c>
      <c r="L24" s="176">
        <v>0.58680555555555558</v>
      </c>
      <c r="M24" s="176">
        <v>0.61111111111111105</v>
      </c>
      <c r="V24" s="32"/>
      <c r="W24" s="32"/>
      <c r="X24" s="32"/>
    </row>
    <row r="25" spans="2:24" ht="25.9" customHeight="1">
      <c r="B25" s="53"/>
      <c r="C25" s="53"/>
      <c r="D25" s="53"/>
      <c r="E25" s="53"/>
      <c r="F25" s="53"/>
      <c r="G25" s="83">
        <v>16</v>
      </c>
      <c r="H25" s="83" t="s">
        <v>1397</v>
      </c>
      <c r="I25" s="83" t="str">
        <f>VLOOKUP(MP_cierre[[#This Row],[OT]],MP_registro[[#All],[OT]:[PROGRAMADO]],9,FALSE)</f>
        <v>G1</v>
      </c>
      <c r="J25" s="170">
        <v>44655</v>
      </c>
      <c r="K25" s="208">
        <v>44660</v>
      </c>
      <c r="L25" s="176">
        <v>0</v>
      </c>
      <c r="M25" s="176">
        <v>2.2222222222222223E-2</v>
      </c>
      <c r="V25" s="32"/>
      <c r="W25" s="32"/>
      <c r="X25" s="32"/>
    </row>
    <row r="26" spans="2:24" ht="25.9" customHeight="1">
      <c r="B26" s="53"/>
      <c r="C26" s="53"/>
      <c r="D26" s="53"/>
      <c r="E26" s="53"/>
      <c r="F26" s="53"/>
      <c r="G26" s="83">
        <v>17</v>
      </c>
      <c r="H26" s="83" t="s">
        <v>1398</v>
      </c>
      <c r="I26" s="83" t="str">
        <f>VLOOKUP(MP_cierre[[#This Row],[OT]],MP_registro[[#All],[OT]:[PROGRAMADO]],9,FALSE)</f>
        <v>G2</v>
      </c>
      <c r="J26" s="170">
        <v>44655</v>
      </c>
      <c r="K26" s="208">
        <v>44659</v>
      </c>
      <c r="L26" s="176">
        <v>0.125</v>
      </c>
      <c r="M26" s="176">
        <v>0.15625</v>
      </c>
      <c r="V26" s="32"/>
      <c r="W26" s="32"/>
      <c r="X26" s="32"/>
    </row>
    <row r="27" spans="2:24" ht="25.9" customHeight="1">
      <c r="B27" s="53"/>
      <c r="C27" s="53"/>
      <c r="D27" s="53"/>
      <c r="E27" s="53"/>
      <c r="F27" s="53"/>
      <c r="G27" s="83">
        <v>18</v>
      </c>
      <c r="H27" s="83" t="s">
        <v>1399</v>
      </c>
      <c r="I27" s="83" t="str">
        <f>VLOOKUP(MP_cierre[[#This Row],[OT]],MP_registro[[#All],[OT]:[PROGRAMADO]],9,FALSE)</f>
        <v>G3</v>
      </c>
      <c r="J27" s="170">
        <v>44655</v>
      </c>
      <c r="K27" s="208">
        <v>44661</v>
      </c>
      <c r="L27" s="176">
        <v>0.45833333333333331</v>
      </c>
      <c r="M27" s="176">
        <v>0.4826388888888889</v>
      </c>
      <c r="V27" s="32"/>
      <c r="W27" s="32"/>
      <c r="X27" s="32"/>
    </row>
    <row r="28" spans="2:24" ht="25.9" customHeight="1">
      <c r="B28" s="53"/>
      <c r="C28" s="53"/>
      <c r="D28" s="53"/>
      <c r="E28" s="53"/>
      <c r="F28" s="53"/>
      <c r="G28" s="83">
        <v>19</v>
      </c>
      <c r="H28" s="83" t="s">
        <v>1400</v>
      </c>
      <c r="I28" s="83" t="str">
        <f>VLOOKUP(MP_cierre[[#This Row],[OT]],MP_registro[[#All],[OT]:[PROGRAMADO]],9,FALSE)</f>
        <v>G2</v>
      </c>
      <c r="J28" s="170">
        <v>44653</v>
      </c>
      <c r="K28" s="208">
        <v>44656</v>
      </c>
      <c r="L28" s="176">
        <v>0</v>
      </c>
      <c r="M28" s="176">
        <v>3.125E-2</v>
      </c>
      <c r="V28" s="32"/>
      <c r="W28" s="32"/>
      <c r="X28" s="32"/>
    </row>
    <row r="29" spans="2:24" ht="25.9" customHeight="1">
      <c r="B29" s="53"/>
      <c r="C29" s="53"/>
      <c r="D29" s="53"/>
      <c r="E29" s="53"/>
      <c r="F29" s="53"/>
      <c r="G29" s="83">
        <v>20</v>
      </c>
      <c r="H29" s="83" t="s">
        <v>1401</v>
      </c>
      <c r="I29" s="83" t="str">
        <f>VLOOKUP(MP_cierre[[#This Row],[OT]],MP_registro[[#All],[OT]:[PROGRAMADO]],9,FALSE)</f>
        <v>G2</v>
      </c>
      <c r="J29" s="170">
        <v>44654</v>
      </c>
      <c r="K29" s="208">
        <v>44656</v>
      </c>
      <c r="L29" s="176">
        <v>3.125E-2</v>
      </c>
      <c r="M29" s="176">
        <v>6.25E-2</v>
      </c>
      <c r="V29" s="32"/>
      <c r="W29" s="32"/>
      <c r="X29" s="32"/>
    </row>
    <row r="30" spans="2:24" ht="25.9" customHeight="1">
      <c r="B30" s="53"/>
      <c r="C30" s="53"/>
      <c r="D30" s="53"/>
      <c r="E30" s="53"/>
      <c r="F30" s="53"/>
      <c r="G30" s="83">
        <v>21</v>
      </c>
      <c r="H30" s="83" t="s">
        <v>1402</v>
      </c>
      <c r="I30" s="83" t="str">
        <f>VLOOKUP(MP_cierre[[#This Row],[OT]],MP_registro[[#All],[OT]:[PROGRAMADO]],9,FALSE)</f>
        <v>G2</v>
      </c>
      <c r="J30" s="170">
        <v>44655</v>
      </c>
      <c r="K30" s="208">
        <v>44656</v>
      </c>
      <c r="L30" s="176">
        <v>6.25E-2</v>
      </c>
      <c r="M30" s="176">
        <v>9.375E-2</v>
      </c>
      <c r="V30" s="32"/>
      <c r="W30" s="32"/>
      <c r="X30" s="32"/>
    </row>
    <row r="31" spans="2:24" ht="25.9" customHeight="1">
      <c r="B31" s="53"/>
      <c r="C31" s="53"/>
      <c r="D31" s="53"/>
      <c r="E31" s="53"/>
      <c r="F31" s="53"/>
      <c r="G31" s="83">
        <v>22</v>
      </c>
      <c r="H31" s="90" t="s">
        <v>1403</v>
      </c>
      <c r="I31" s="90" t="str">
        <f>VLOOKUP(MP_cierre[[#This Row],[OT]],MP_registro[[#All],[OT]:[PROGRAMADO]],9,FALSE)</f>
        <v>G3</v>
      </c>
      <c r="J31" s="171">
        <v>44656</v>
      </c>
      <c r="K31" s="211">
        <v>44661</v>
      </c>
      <c r="L31" s="177">
        <v>0.35416666666666669</v>
      </c>
      <c r="M31" s="177">
        <v>0.37847222222222227</v>
      </c>
      <c r="V31" s="32"/>
      <c r="W31" s="32"/>
      <c r="X31" s="32"/>
    </row>
    <row r="32" spans="2:24" ht="25.9" customHeight="1">
      <c r="B32" s="53"/>
      <c r="C32" s="53"/>
      <c r="D32" s="53"/>
      <c r="E32" s="53"/>
      <c r="F32" s="53"/>
      <c r="G32" s="83">
        <v>23</v>
      </c>
      <c r="H32" s="83" t="s">
        <v>1404</v>
      </c>
      <c r="I32" s="83" t="str">
        <f>VLOOKUP(MP_cierre[[#This Row],[OT]],MP_registro[[#All],[OT]:[PROGRAMADO]],9,FALSE)</f>
        <v>G3</v>
      </c>
      <c r="J32" s="170">
        <v>44657</v>
      </c>
      <c r="K32" s="172">
        <v>44661</v>
      </c>
      <c r="L32" s="176">
        <v>0.42222222222222222</v>
      </c>
      <c r="M32" s="176">
        <v>0.44097222222222227</v>
      </c>
      <c r="N32" s="53"/>
      <c r="O32" s="56"/>
      <c r="P32" s="56"/>
      <c r="Q32" s="56"/>
      <c r="R32" s="56"/>
      <c r="S32" s="56"/>
      <c r="T32" s="56"/>
      <c r="U32" s="56"/>
      <c r="V32" s="56"/>
      <c r="W32" s="56"/>
      <c r="X32" s="32"/>
    </row>
    <row r="33" spans="2:24" ht="25.9" customHeight="1">
      <c r="B33" s="53"/>
      <c r="C33" s="53"/>
      <c r="D33" s="53"/>
      <c r="E33" s="53"/>
      <c r="F33" s="53"/>
      <c r="G33" s="83">
        <v>24</v>
      </c>
      <c r="H33" s="83" t="s">
        <v>1405</v>
      </c>
      <c r="I33" s="83" t="str">
        <f>VLOOKUP(MP_cierre[[#This Row],[OT]],MP_registro[[#All],[OT]:[PROGRAMADO]],9,FALSE)</f>
        <v>G3</v>
      </c>
      <c r="J33" s="170">
        <v>44658</v>
      </c>
      <c r="K33" s="172">
        <v>44661</v>
      </c>
      <c r="L33" s="176">
        <v>0.38541666666666669</v>
      </c>
      <c r="M33" s="176">
        <v>0.40625</v>
      </c>
      <c r="N33" s="53"/>
      <c r="O33" s="56"/>
      <c r="P33" s="56"/>
      <c r="Q33" s="56"/>
      <c r="R33" s="56"/>
      <c r="S33" s="56"/>
      <c r="T33" s="56"/>
      <c r="U33" s="56"/>
      <c r="V33" s="56"/>
      <c r="W33" s="56"/>
      <c r="X33" s="32"/>
    </row>
    <row r="34" spans="2:24" ht="25.9" customHeight="1">
      <c r="B34" s="53"/>
      <c r="C34" s="53"/>
      <c r="D34" s="53"/>
      <c r="E34" s="53"/>
      <c r="F34" s="53"/>
      <c r="G34" s="83">
        <v>25</v>
      </c>
      <c r="H34" s="83" t="s">
        <v>1406</v>
      </c>
      <c r="I34" s="83" t="str">
        <f>VLOOKUP(MP_cierre[[#This Row],[OT]],MP_registro[[#All],[OT]:[PROGRAMADO]],9,FALSE)</f>
        <v>G1</v>
      </c>
      <c r="J34" s="170">
        <v>44659</v>
      </c>
      <c r="K34" s="172">
        <v>44659</v>
      </c>
      <c r="L34" s="176">
        <v>0.10069444444444443</v>
      </c>
      <c r="M34" s="176">
        <v>0.1111111111111111</v>
      </c>
      <c r="N34" s="53"/>
      <c r="O34" s="56"/>
      <c r="P34" s="56"/>
      <c r="Q34" s="56"/>
      <c r="R34" s="56"/>
      <c r="S34" s="56"/>
      <c r="T34" s="56"/>
      <c r="U34" s="56"/>
      <c r="V34" s="56"/>
      <c r="W34" s="56"/>
      <c r="X34" s="32"/>
    </row>
    <row r="35" spans="2:24" ht="25.9" customHeight="1">
      <c r="B35" s="53"/>
      <c r="C35" s="53"/>
      <c r="D35" s="53"/>
      <c r="E35" s="53"/>
      <c r="F35" s="53"/>
      <c r="G35" s="83">
        <v>26</v>
      </c>
      <c r="H35" s="83" t="s">
        <v>1407</v>
      </c>
      <c r="I35" s="83" t="str">
        <f>VLOOKUP(MP_cierre[[#This Row],[OT]],MP_registro[[#All],[OT]:[PROGRAMADO]],9,FALSE)</f>
        <v>G1</v>
      </c>
      <c r="J35" s="170">
        <v>44660</v>
      </c>
      <c r="K35" s="172">
        <v>44660</v>
      </c>
      <c r="L35" s="176">
        <v>8.3333333333333329E-2</v>
      </c>
      <c r="M35" s="176">
        <v>0.10069444444444443</v>
      </c>
      <c r="N35" s="53"/>
      <c r="O35" s="56"/>
      <c r="P35" s="56"/>
      <c r="Q35" s="56"/>
      <c r="R35" s="56"/>
      <c r="S35" s="56"/>
      <c r="T35" s="56"/>
      <c r="U35" s="56"/>
      <c r="V35" s="56"/>
      <c r="W35" s="56"/>
      <c r="X35" s="32"/>
    </row>
    <row r="36" spans="2:24" ht="25.9" customHeight="1">
      <c r="B36" s="53"/>
      <c r="C36" s="53"/>
      <c r="D36" s="53"/>
      <c r="E36" s="53"/>
      <c r="F36" s="53"/>
      <c r="G36" s="83">
        <v>27</v>
      </c>
      <c r="H36" s="83" t="s">
        <v>1408</v>
      </c>
      <c r="I36" s="83" t="str">
        <f>VLOOKUP(MP_cierre[[#This Row],[OT]],MP_registro[[#All],[OT]:[PROGRAMADO]],9,FALSE)</f>
        <v>G1</v>
      </c>
      <c r="J36" s="170">
        <v>44661</v>
      </c>
      <c r="K36" s="172">
        <v>44661</v>
      </c>
      <c r="L36" s="176">
        <v>6.0416666666666667E-2</v>
      </c>
      <c r="M36" s="176">
        <v>7.0833333333333331E-2</v>
      </c>
      <c r="N36" s="53"/>
      <c r="O36" s="56"/>
      <c r="P36" s="56"/>
      <c r="Q36" s="56"/>
      <c r="R36" s="56"/>
      <c r="S36" s="56"/>
      <c r="T36" s="56"/>
      <c r="U36" s="56"/>
      <c r="V36" s="56"/>
      <c r="W36" s="56"/>
      <c r="X36" s="32"/>
    </row>
    <row r="37" spans="2:24" ht="25.9" customHeight="1">
      <c r="B37" s="53"/>
      <c r="C37" s="53"/>
      <c r="D37" s="53"/>
      <c r="E37" s="53"/>
      <c r="F37" s="53"/>
      <c r="G37" s="83">
        <v>28</v>
      </c>
      <c r="H37" s="83" t="s">
        <v>1409</v>
      </c>
      <c r="I37" s="83" t="str">
        <f>VLOOKUP(MP_cierre[[#This Row],[OT]],MP_registro[[#All],[OT]:[PROGRAMADO]],9,FALSE)</f>
        <v>G1</v>
      </c>
      <c r="J37" s="170">
        <v>44655</v>
      </c>
      <c r="K37" s="172">
        <v>44660</v>
      </c>
      <c r="L37" s="176">
        <v>4.1666666666666664E-2</v>
      </c>
      <c r="M37" s="176">
        <v>0.125</v>
      </c>
      <c r="N37" s="53"/>
      <c r="O37" s="56"/>
      <c r="P37" s="56"/>
      <c r="Q37" s="56"/>
      <c r="R37" s="56"/>
      <c r="S37" s="56"/>
      <c r="T37" s="56"/>
      <c r="U37" s="56"/>
      <c r="V37" s="56"/>
      <c r="W37" s="56"/>
      <c r="X37" s="32"/>
    </row>
    <row r="38" spans="2:24" ht="25.9" customHeight="1">
      <c r="B38" s="53"/>
      <c r="C38" s="53"/>
      <c r="D38" s="53"/>
      <c r="E38" s="53"/>
      <c r="F38" s="53"/>
      <c r="G38" s="83">
        <v>29</v>
      </c>
      <c r="H38" s="83" t="s">
        <v>1410</v>
      </c>
      <c r="I38" s="83" t="str">
        <f>VLOOKUP(MP_cierre[[#This Row],[OT]],MP_registro[[#All],[OT]:[PROGRAMADO]],9,FALSE)</f>
        <v>G2</v>
      </c>
      <c r="J38" s="170">
        <v>44654</v>
      </c>
      <c r="K38" s="172">
        <v>44655</v>
      </c>
      <c r="L38" s="176">
        <v>0.79166666666666663</v>
      </c>
      <c r="M38" s="176">
        <v>0.875</v>
      </c>
      <c r="N38" s="53"/>
      <c r="O38" s="56"/>
      <c r="P38" s="56"/>
      <c r="Q38" s="56"/>
      <c r="R38" s="56"/>
      <c r="S38" s="56"/>
      <c r="T38" s="56"/>
      <c r="U38" s="56"/>
      <c r="V38" s="56"/>
      <c r="W38" s="56"/>
      <c r="X38" s="32"/>
    </row>
    <row r="39" spans="2:24" ht="25.9" customHeight="1">
      <c r="B39" s="53"/>
      <c r="C39" s="53"/>
      <c r="D39" s="53"/>
      <c r="E39" s="53"/>
      <c r="F39" s="53"/>
      <c r="G39" s="83">
        <v>30</v>
      </c>
      <c r="H39" s="83" t="s">
        <v>1411</v>
      </c>
      <c r="I39" s="83" t="str">
        <f>VLOOKUP(MP_cierre[[#This Row],[OT]],MP_registro[[#All],[OT]:[PROGRAMADO]],9,FALSE)</f>
        <v>G4</v>
      </c>
      <c r="J39" s="170">
        <v>44652</v>
      </c>
      <c r="K39" s="172">
        <v>44652</v>
      </c>
      <c r="L39" s="176">
        <v>0.375</v>
      </c>
      <c r="M39" s="176">
        <v>0.45833333333333331</v>
      </c>
      <c r="N39" s="53"/>
      <c r="O39" s="56"/>
      <c r="P39" s="56"/>
      <c r="Q39" s="56"/>
      <c r="R39" s="56"/>
      <c r="S39" s="56"/>
      <c r="T39" s="56"/>
      <c r="U39" s="56"/>
      <c r="V39" s="56"/>
      <c r="W39" s="56"/>
      <c r="X39" s="32"/>
    </row>
    <row r="40" spans="2:24" ht="25.9" customHeight="1">
      <c r="B40" s="53"/>
      <c r="C40" s="53"/>
      <c r="D40" s="53"/>
      <c r="E40" s="53"/>
      <c r="F40" s="53"/>
      <c r="G40" s="83">
        <v>31</v>
      </c>
      <c r="H40" s="83" t="s">
        <v>1412</v>
      </c>
      <c r="I40" s="83" t="str">
        <f>VLOOKUP(MP_cierre[[#This Row],[OT]],MP_registro[[#All],[OT]:[PROGRAMADO]],9,FALSE)</f>
        <v>G4</v>
      </c>
      <c r="J40" s="170">
        <v>44658</v>
      </c>
      <c r="K40" s="172">
        <v>44658</v>
      </c>
      <c r="L40" s="176">
        <v>0.33333333333333331</v>
      </c>
      <c r="M40" s="176">
        <v>0.41666666666666669</v>
      </c>
      <c r="N40" s="53"/>
      <c r="O40" s="56"/>
      <c r="P40" s="56"/>
      <c r="Q40" s="56"/>
      <c r="R40" s="56"/>
      <c r="S40" s="56"/>
      <c r="T40" s="56"/>
      <c r="U40" s="56"/>
      <c r="V40" s="56"/>
      <c r="W40" s="56"/>
      <c r="X40" s="32"/>
    </row>
    <row r="41" spans="2:24" ht="25.9" customHeight="1">
      <c r="B41" s="53"/>
      <c r="C41" s="53"/>
      <c r="D41" s="53"/>
      <c r="E41" s="53"/>
      <c r="F41" s="53"/>
      <c r="G41" s="83">
        <v>32</v>
      </c>
      <c r="H41" s="83" t="s">
        <v>1413</v>
      </c>
      <c r="I41" s="83" t="str">
        <f>VLOOKUP(MP_cierre[[#This Row],[OT]],MP_registro[[#All],[OT]:[PROGRAMADO]],9,FALSE)</f>
        <v>G4</v>
      </c>
      <c r="J41" s="170">
        <v>44661</v>
      </c>
      <c r="K41" s="172">
        <v>44661</v>
      </c>
      <c r="L41" s="176">
        <v>0.33333333333333331</v>
      </c>
      <c r="M41" s="176">
        <v>0.41666666666666669</v>
      </c>
      <c r="N41" s="53"/>
      <c r="O41" s="56"/>
      <c r="P41" s="56"/>
      <c r="Q41" s="56"/>
      <c r="R41" s="56"/>
      <c r="S41" s="56"/>
      <c r="T41" s="56"/>
      <c r="U41" s="56"/>
      <c r="V41" s="56"/>
      <c r="W41" s="56"/>
      <c r="X41" s="32"/>
    </row>
    <row r="42" spans="2:24" ht="25.9" customHeight="1">
      <c r="B42" s="53"/>
      <c r="C42" s="53"/>
      <c r="D42" s="53"/>
      <c r="E42" s="53"/>
      <c r="F42" s="53"/>
      <c r="G42" s="83">
        <v>33</v>
      </c>
      <c r="H42" s="83" t="s">
        <v>1414</v>
      </c>
      <c r="I42" s="83" t="str">
        <f>VLOOKUP(MP_cierre[[#This Row],[OT]],MP_registro[[#All],[OT]:[PROGRAMADO]],9,FALSE)</f>
        <v>G4</v>
      </c>
      <c r="J42" s="170">
        <v>44661</v>
      </c>
      <c r="K42" s="172">
        <v>44662</v>
      </c>
      <c r="L42" s="176">
        <v>0.625</v>
      </c>
      <c r="M42" s="176">
        <v>0.70833333333333337</v>
      </c>
      <c r="N42" s="97"/>
      <c r="O42" s="56"/>
      <c r="P42" s="56"/>
      <c r="Q42" s="56"/>
      <c r="R42" s="56"/>
      <c r="S42" s="56"/>
      <c r="T42" s="56"/>
      <c r="U42" s="56"/>
      <c r="V42" s="56"/>
      <c r="W42" s="56"/>
      <c r="X42" s="32"/>
    </row>
    <row r="43" spans="2:24" ht="25.9" customHeight="1">
      <c r="B43" s="53"/>
      <c r="C43" s="53"/>
      <c r="D43" s="53"/>
      <c r="E43" s="53"/>
      <c r="F43" s="53"/>
      <c r="G43" s="83">
        <v>34</v>
      </c>
      <c r="H43" s="83" t="s">
        <v>1415</v>
      </c>
      <c r="I43" s="83" t="str">
        <f>VLOOKUP(MP_cierre[[#This Row],[OT]],MP_registro[[#All],[OT]:[PROGRAMADO]],9,FALSE)</f>
        <v>G1</v>
      </c>
      <c r="J43" s="170">
        <v>44652</v>
      </c>
      <c r="K43" s="172">
        <v>44652</v>
      </c>
      <c r="L43" s="176">
        <v>0.39999999999999997</v>
      </c>
      <c r="M43" s="176">
        <v>0.43055555555555558</v>
      </c>
      <c r="N43" s="97"/>
      <c r="O43" s="56"/>
      <c r="P43" s="56"/>
      <c r="Q43" s="56"/>
      <c r="R43" s="56"/>
      <c r="S43" s="56"/>
      <c r="T43" s="56"/>
      <c r="U43" s="56"/>
      <c r="V43" s="56"/>
      <c r="W43" s="56"/>
      <c r="X43" s="32"/>
    </row>
    <row r="44" spans="2:24" s="60" customFormat="1" ht="25.9" customHeight="1">
      <c r="B44" s="53"/>
      <c r="C44" s="53"/>
      <c r="D44" s="53"/>
      <c r="E44" s="53"/>
      <c r="F44" s="53"/>
      <c r="G44" s="83">
        <v>35</v>
      </c>
      <c r="H44" s="90" t="s">
        <v>1416</v>
      </c>
      <c r="I44" s="90" t="str">
        <f>VLOOKUP(MP_cierre[[#This Row],[OT]],MP_registro[[#All],[OT]:[PROGRAMADO]],9,FALSE)</f>
        <v>G2</v>
      </c>
      <c r="J44" s="171">
        <v>44659</v>
      </c>
      <c r="K44" s="173">
        <v>44661</v>
      </c>
      <c r="L44" s="177">
        <v>0.875</v>
      </c>
      <c r="M44" s="177">
        <v>0.91666666666666663</v>
      </c>
      <c r="N44" s="97"/>
      <c r="O44" s="93"/>
      <c r="P44" s="93"/>
      <c r="Q44" s="93"/>
      <c r="R44" s="93"/>
      <c r="S44" s="93"/>
      <c r="T44" s="93"/>
      <c r="U44" s="93"/>
      <c r="V44" s="93"/>
      <c r="W44" s="93"/>
    </row>
    <row r="45" spans="2:24" s="62" customFormat="1" ht="25.9" customHeight="1">
      <c r="B45" s="53"/>
      <c r="C45" s="53"/>
      <c r="D45" s="53"/>
      <c r="E45" s="53"/>
      <c r="F45" s="53"/>
      <c r="G45" s="83">
        <v>36</v>
      </c>
      <c r="H45" s="90" t="s">
        <v>1417</v>
      </c>
      <c r="I45" s="90" t="str">
        <f>VLOOKUP(MP_cierre[[#This Row],[OT]],MP_registro[[#All],[OT]:[PROGRAMADO]],9,FALSE)</f>
        <v>G3</v>
      </c>
      <c r="J45" s="171">
        <v>44656</v>
      </c>
      <c r="K45" s="173">
        <v>44663</v>
      </c>
      <c r="L45" s="177">
        <v>0.4375</v>
      </c>
      <c r="M45" s="177">
        <v>0.4513888888888889</v>
      </c>
      <c r="N45" s="53"/>
      <c r="O45" s="84"/>
      <c r="P45" s="84"/>
      <c r="Q45" s="84"/>
      <c r="R45" s="84"/>
      <c r="S45" s="84"/>
      <c r="T45" s="84"/>
      <c r="U45" s="84"/>
      <c r="V45" s="84"/>
      <c r="W45" s="84"/>
    </row>
    <row r="46" spans="2:24" s="62" customFormat="1" ht="25.9" customHeight="1">
      <c r="B46" s="53"/>
      <c r="C46" s="53"/>
      <c r="D46" s="53"/>
      <c r="E46" s="53"/>
      <c r="F46" s="53"/>
      <c r="G46" s="83">
        <v>37</v>
      </c>
      <c r="H46" s="90" t="s">
        <v>1418</v>
      </c>
      <c r="I46" s="90" t="str">
        <f>VLOOKUP(MP_cierre[[#This Row],[OT]],MP_registro[[#All],[OT]:[PROGRAMADO]],9,FALSE)</f>
        <v>G1</v>
      </c>
      <c r="J46" s="171">
        <v>44653</v>
      </c>
      <c r="K46" s="173">
        <v>44653</v>
      </c>
      <c r="L46" s="177">
        <v>0.39374999999999999</v>
      </c>
      <c r="M46" s="177">
        <v>0.41875000000000001</v>
      </c>
      <c r="N46" s="97"/>
      <c r="O46" s="84"/>
      <c r="P46" s="84"/>
      <c r="Q46" s="84"/>
      <c r="R46" s="84"/>
      <c r="S46" s="84"/>
      <c r="T46" s="84"/>
      <c r="U46" s="84"/>
      <c r="V46" s="84"/>
      <c r="W46" s="84"/>
    </row>
    <row r="47" spans="2:24" s="62" customFormat="1" ht="25.9" customHeight="1">
      <c r="B47" s="53"/>
      <c r="C47" s="53"/>
      <c r="D47" s="53"/>
      <c r="E47" s="53"/>
      <c r="F47" s="53"/>
      <c r="G47" s="83">
        <v>38</v>
      </c>
      <c r="H47" s="90" t="s">
        <v>1419</v>
      </c>
      <c r="I47" s="90" t="str">
        <f>VLOOKUP(MP_cierre[[#This Row],[OT]],MP_registro[[#All],[OT]:[PROGRAMADO]],9,FALSE)</f>
        <v>G2</v>
      </c>
      <c r="J47" s="171">
        <v>44660</v>
      </c>
      <c r="K47" s="173">
        <v>44661</v>
      </c>
      <c r="L47" s="177">
        <v>5.2083333333333336E-2</v>
      </c>
      <c r="M47" s="177">
        <v>8.3333333333333329E-2</v>
      </c>
      <c r="N47" s="104"/>
      <c r="O47" s="84"/>
      <c r="P47" s="84"/>
      <c r="Q47" s="84"/>
      <c r="R47" s="84"/>
      <c r="S47" s="84"/>
      <c r="T47" s="84"/>
      <c r="U47" s="84"/>
      <c r="V47" s="84"/>
      <c r="W47" s="84"/>
    </row>
    <row r="48" spans="2:24" s="76" customFormat="1" ht="25.9" customHeight="1">
      <c r="B48" s="53"/>
      <c r="C48" s="53"/>
      <c r="D48" s="53"/>
      <c r="E48" s="53"/>
      <c r="F48" s="53"/>
      <c r="G48" s="83">
        <v>39</v>
      </c>
      <c r="H48" s="83" t="s">
        <v>1420</v>
      </c>
      <c r="I48" s="83" t="str">
        <f>VLOOKUP(MP_cierre[[#This Row],[OT]],MP_registro[[#All],[OT]:[PROGRAMADO]],9,FALSE)</f>
        <v>G3</v>
      </c>
      <c r="J48" s="170">
        <v>44652</v>
      </c>
      <c r="K48" s="172">
        <v>44664</v>
      </c>
      <c r="L48" s="176">
        <v>0.54166666666666663</v>
      </c>
      <c r="M48" s="176">
        <v>0.55555555555555558</v>
      </c>
      <c r="N48" s="109"/>
      <c r="O48" s="110"/>
      <c r="P48" s="110"/>
      <c r="Q48" s="110"/>
      <c r="R48" s="110"/>
      <c r="S48" s="110"/>
      <c r="T48" s="110"/>
      <c r="U48" s="110"/>
      <c r="V48" s="110"/>
      <c r="W48" s="110"/>
    </row>
    <row r="49" spans="2:23" s="76" customFormat="1" ht="25.9" customHeight="1">
      <c r="B49" s="53"/>
      <c r="C49" s="53"/>
      <c r="D49" s="53"/>
      <c r="E49" s="53"/>
      <c r="F49" s="53"/>
      <c r="G49" s="83">
        <v>40</v>
      </c>
      <c r="H49" s="83" t="s">
        <v>1421</v>
      </c>
      <c r="I49" s="83" t="str">
        <f>VLOOKUP(MP_cierre[[#This Row],[OT]],MP_registro[[#All],[OT]:[PROGRAMADO]],9,FALSE)</f>
        <v>G1</v>
      </c>
      <c r="J49" s="170">
        <v>44659</v>
      </c>
      <c r="K49" s="172">
        <v>44659</v>
      </c>
      <c r="L49" s="176">
        <v>0.42708333333333331</v>
      </c>
      <c r="M49" s="176">
        <v>0.45624999999999999</v>
      </c>
      <c r="N49" s="104"/>
      <c r="O49" s="110"/>
      <c r="P49" s="110"/>
      <c r="Q49" s="110"/>
      <c r="R49" s="110"/>
      <c r="S49" s="110"/>
      <c r="T49" s="110"/>
      <c r="U49" s="110"/>
      <c r="V49" s="110"/>
      <c r="W49" s="110"/>
    </row>
    <row r="50" spans="2:23" s="76" customFormat="1" ht="25.9" customHeight="1">
      <c r="B50" s="53"/>
      <c r="C50" s="53"/>
      <c r="D50" s="53"/>
      <c r="E50" s="53"/>
      <c r="F50" s="53"/>
      <c r="G50" s="83">
        <v>41</v>
      </c>
      <c r="H50" s="83" t="s">
        <v>1422</v>
      </c>
      <c r="I50" s="83" t="str">
        <f>VLOOKUP(MP_cierre[[#This Row],[OT]],MP_registro[[#All],[OT]:[PROGRAMADO]],9,FALSE)</f>
        <v>G2</v>
      </c>
      <c r="J50" s="170">
        <v>44653</v>
      </c>
      <c r="K50" s="172">
        <v>44654</v>
      </c>
      <c r="L50" s="176">
        <v>0.10416666666666667</v>
      </c>
      <c r="M50" s="176">
        <v>0.125</v>
      </c>
      <c r="N50" s="104"/>
      <c r="O50" s="110"/>
      <c r="P50" s="110"/>
      <c r="Q50" s="110"/>
      <c r="R50" s="110"/>
      <c r="S50" s="110"/>
      <c r="T50" s="110"/>
      <c r="U50" s="110"/>
      <c r="V50" s="110"/>
      <c r="W50" s="110"/>
    </row>
    <row r="51" spans="2:23" s="62" customFormat="1" ht="25.9" customHeight="1">
      <c r="B51" s="53"/>
      <c r="C51" s="53"/>
      <c r="D51" s="53"/>
      <c r="E51" s="53"/>
      <c r="F51" s="53"/>
      <c r="G51" s="83">
        <v>42</v>
      </c>
      <c r="H51" s="83" t="s">
        <v>1423</v>
      </c>
      <c r="I51" s="83" t="str">
        <f>VLOOKUP(MP_cierre[[#This Row],[OT]],MP_registro[[#All],[OT]:[PROGRAMADO]],9,FALSE)</f>
        <v>G3</v>
      </c>
      <c r="J51" s="170">
        <v>44660</v>
      </c>
      <c r="K51" s="172">
        <v>44663</v>
      </c>
      <c r="L51" s="176">
        <v>0.45833333333333331</v>
      </c>
      <c r="M51" s="176">
        <v>0.47222222222222227</v>
      </c>
      <c r="N51" s="114"/>
      <c r="O51" s="84"/>
      <c r="P51" s="84"/>
      <c r="Q51" s="84"/>
      <c r="R51" s="84"/>
      <c r="S51" s="84"/>
      <c r="T51" s="84"/>
      <c r="U51" s="84"/>
      <c r="V51" s="84"/>
      <c r="W51" s="84"/>
    </row>
    <row r="52" spans="2:23" s="62" customFormat="1" ht="25.9" customHeight="1">
      <c r="B52" s="53"/>
      <c r="C52" s="53"/>
      <c r="D52" s="53"/>
      <c r="E52" s="53"/>
      <c r="F52" s="53"/>
      <c r="G52" s="83">
        <v>43</v>
      </c>
      <c r="H52" s="90" t="s">
        <v>1424</v>
      </c>
      <c r="I52" s="90" t="str">
        <f>VLOOKUP(MP_cierre[[#This Row],[OT]],MP_registro[[#All],[OT]:[PROGRAMADO]],9,FALSE)</f>
        <v>G1</v>
      </c>
      <c r="J52" s="171">
        <v>44652</v>
      </c>
      <c r="K52" s="173">
        <v>44652</v>
      </c>
      <c r="L52" s="177">
        <v>0.43611111111111112</v>
      </c>
      <c r="M52" s="177">
        <v>0.46180555555555558</v>
      </c>
      <c r="N52" s="97"/>
      <c r="O52" s="84"/>
      <c r="P52" s="84"/>
      <c r="Q52" s="84"/>
      <c r="R52" s="84"/>
      <c r="S52" s="84"/>
      <c r="T52" s="84"/>
      <c r="U52" s="84"/>
      <c r="V52" s="84"/>
      <c r="W52" s="84"/>
    </row>
    <row r="53" spans="2:23" s="62" customFormat="1" ht="25.9" customHeight="1">
      <c r="B53" s="53"/>
      <c r="C53" s="53"/>
      <c r="D53" s="53"/>
      <c r="E53" s="53"/>
      <c r="F53" s="53"/>
      <c r="G53" s="83">
        <v>44</v>
      </c>
      <c r="H53" s="83" t="s">
        <v>1425</v>
      </c>
      <c r="I53" s="83" t="str">
        <f>VLOOKUP(MP_cierre[[#This Row],[OT]],MP_registro[[#All],[OT]:[PROGRAMADO]],9,FALSE)</f>
        <v>G2</v>
      </c>
      <c r="J53" s="170">
        <v>44659</v>
      </c>
      <c r="K53" s="172">
        <v>44660</v>
      </c>
      <c r="L53" s="176">
        <v>0.83333333333333337</v>
      </c>
      <c r="M53" s="176">
        <v>0.88541666666666663</v>
      </c>
      <c r="N53" s="97"/>
      <c r="O53" s="84"/>
      <c r="P53" s="84"/>
      <c r="Q53" s="84"/>
      <c r="R53" s="84"/>
      <c r="S53" s="84"/>
      <c r="T53" s="84"/>
      <c r="U53" s="84"/>
      <c r="V53" s="84"/>
      <c r="W53" s="84"/>
    </row>
    <row r="54" spans="2:23" s="62" customFormat="1" ht="25.9" customHeight="1">
      <c r="B54" s="53"/>
      <c r="C54" s="53"/>
      <c r="D54" s="53"/>
      <c r="E54" s="53"/>
      <c r="F54" s="53"/>
      <c r="G54" s="83">
        <v>45</v>
      </c>
      <c r="H54" s="83" t="s">
        <v>1426</v>
      </c>
      <c r="I54" s="83" t="str">
        <f>VLOOKUP(MP_cierre[[#This Row],[OT]],MP_registro[[#All],[OT]:[PROGRAMADO]],9,FALSE)</f>
        <v>G3</v>
      </c>
      <c r="J54" s="170">
        <v>44653</v>
      </c>
      <c r="K54" s="174">
        <v>44663</v>
      </c>
      <c r="L54" s="176">
        <v>0.69444444444444453</v>
      </c>
      <c r="M54" s="176">
        <v>0.70833333333333337</v>
      </c>
      <c r="N54" s="97"/>
      <c r="O54" s="84"/>
      <c r="P54" s="84"/>
      <c r="Q54" s="84"/>
      <c r="R54" s="84"/>
      <c r="S54" s="84"/>
      <c r="T54" s="84"/>
      <c r="U54" s="84"/>
      <c r="V54" s="84"/>
      <c r="W54" s="84"/>
    </row>
    <row r="55" spans="2:23" s="62" customFormat="1" ht="25.9" customHeight="1">
      <c r="B55" s="53"/>
      <c r="C55" s="53"/>
      <c r="D55" s="53"/>
      <c r="E55" s="53"/>
      <c r="F55" s="53"/>
      <c r="G55" s="83">
        <v>46</v>
      </c>
      <c r="H55" s="83" t="s">
        <v>1427</v>
      </c>
      <c r="I55" s="83" t="str">
        <f>VLOOKUP(MP_cierre[[#This Row],[OT]],MP_registro[[#All],[OT]:[PROGRAMADO]],9,FALSE)</f>
        <v>G1</v>
      </c>
      <c r="J55" s="170">
        <v>44660</v>
      </c>
      <c r="K55" s="174">
        <v>44660</v>
      </c>
      <c r="L55" s="176">
        <v>0.42291666666666666</v>
      </c>
      <c r="M55" s="176">
        <v>0.4513888888888889</v>
      </c>
      <c r="N55" s="97"/>
      <c r="O55" s="84"/>
      <c r="P55" s="84"/>
      <c r="Q55" s="84"/>
      <c r="R55" s="84"/>
      <c r="S55" s="84"/>
      <c r="T55" s="84"/>
      <c r="U55" s="84"/>
      <c r="V55" s="84"/>
      <c r="W55" s="84"/>
    </row>
    <row r="56" spans="2:23" s="62" customFormat="1" ht="25.9" customHeight="1">
      <c r="B56" s="53"/>
      <c r="C56" s="53"/>
      <c r="D56" s="53"/>
      <c r="E56" s="53"/>
      <c r="F56" s="53"/>
      <c r="G56" s="83">
        <v>47</v>
      </c>
      <c r="H56" s="83" t="s">
        <v>1428</v>
      </c>
      <c r="I56" s="83" t="str">
        <f>VLOOKUP(MP_cierre[[#This Row],[OT]],MP_registro[[#All],[OT]:[PROGRAMADO]],9,FALSE)</f>
        <v>G2</v>
      </c>
      <c r="J56" s="170">
        <v>44652</v>
      </c>
      <c r="K56" s="172">
        <v>44655</v>
      </c>
      <c r="L56" s="176">
        <v>8.3333333333333329E-2</v>
      </c>
      <c r="M56" s="176">
        <v>0.125</v>
      </c>
      <c r="N56" s="97"/>
      <c r="O56" s="84"/>
      <c r="P56" s="84"/>
      <c r="Q56" s="84"/>
      <c r="R56" s="84"/>
      <c r="S56" s="84"/>
      <c r="T56" s="84"/>
      <c r="U56" s="84"/>
      <c r="V56" s="84"/>
      <c r="W56" s="84"/>
    </row>
    <row r="57" spans="2:23" s="62" customFormat="1" ht="25.9" customHeight="1">
      <c r="B57" s="53"/>
      <c r="C57" s="53"/>
      <c r="D57" s="53"/>
      <c r="E57" s="53"/>
      <c r="F57" s="53"/>
      <c r="G57" s="83">
        <v>48</v>
      </c>
      <c r="H57" s="83" t="s">
        <v>1429</v>
      </c>
      <c r="I57" s="83" t="str">
        <f>VLOOKUP(MP_cierre[[#This Row],[OT]],MP_registro[[#All],[OT]:[PROGRAMADO]],9,FALSE)</f>
        <v>G3</v>
      </c>
      <c r="J57" s="170">
        <v>44659</v>
      </c>
      <c r="K57" s="172">
        <v>44663</v>
      </c>
      <c r="L57" s="176">
        <v>0.375</v>
      </c>
      <c r="M57" s="176">
        <v>0.3923611111111111</v>
      </c>
      <c r="N57" s="109"/>
      <c r="O57" s="84"/>
      <c r="P57" s="84"/>
      <c r="Q57" s="84"/>
      <c r="R57" s="84"/>
      <c r="S57" s="84"/>
      <c r="T57" s="84"/>
      <c r="U57" s="84"/>
      <c r="V57" s="84"/>
      <c r="W57" s="84"/>
    </row>
    <row r="58" spans="2:23" s="62" customFormat="1" ht="25.9" customHeight="1">
      <c r="B58" s="53"/>
      <c r="C58" s="53"/>
      <c r="D58" s="53"/>
      <c r="E58" s="53"/>
      <c r="F58" s="53"/>
      <c r="G58" s="83">
        <v>49</v>
      </c>
      <c r="H58" s="83" t="s">
        <v>1430</v>
      </c>
      <c r="I58" s="83" t="str">
        <f>VLOOKUP(MP_cierre[[#This Row],[OT]],MP_registro[[#All],[OT]:[PROGRAMADO]],9,FALSE)</f>
        <v>G1</v>
      </c>
      <c r="J58" s="170">
        <v>44654</v>
      </c>
      <c r="K58" s="172">
        <v>44654</v>
      </c>
      <c r="L58" s="176">
        <v>0.42708333333333331</v>
      </c>
      <c r="M58" s="176">
        <v>0.45347222222222222</v>
      </c>
      <c r="N58" s="109"/>
      <c r="O58" s="84"/>
      <c r="P58" s="84"/>
      <c r="Q58" s="84"/>
      <c r="R58" s="84"/>
      <c r="S58" s="84"/>
      <c r="T58" s="84"/>
      <c r="U58" s="84"/>
      <c r="V58" s="84"/>
      <c r="W58" s="84"/>
    </row>
    <row r="59" spans="2:23" s="62" customFormat="1" ht="25.9" customHeight="1">
      <c r="B59" s="53"/>
      <c r="C59" s="53"/>
      <c r="D59" s="53"/>
      <c r="E59" s="53"/>
      <c r="F59" s="53"/>
      <c r="G59" s="83">
        <v>50</v>
      </c>
      <c r="H59" s="90" t="s">
        <v>1431</v>
      </c>
      <c r="I59" s="90" t="str">
        <f>VLOOKUP(MP_cierre[[#This Row],[OT]],MP_registro[[#All],[OT]:[PROGRAMADO]],9,FALSE)</f>
        <v>G2</v>
      </c>
      <c r="J59" s="171">
        <v>44661</v>
      </c>
      <c r="K59" s="173">
        <v>44662</v>
      </c>
      <c r="L59" s="177">
        <v>0.20833333333333334</v>
      </c>
      <c r="M59" s="177">
        <v>0.22916666666666666</v>
      </c>
      <c r="N59" s="109"/>
      <c r="O59" s="84"/>
      <c r="P59" s="84"/>
      <c r="Q59" s="84"/>
      <c r="R59" s="84"/>
      <c r="S59" s="84"/>
      <c r="T59" s="84"/>
      <c r="U59" s="84"/>
      <c r="V59" s="84"/>
      <c r="W59" s="84"/>
    </row>
    <row r="60" spans="2:23" s="62" customFormat="1" ht="25.9" customHeight="1">
      <c r="B60" s="53"/>
      <c r="C60" s="53"/>
      <c r="D60" s="53"/>
      <c r="E60" s="53"/>
      <c r="F60" s="53"/>
      <c r="G60" s="83">
        <v>51</v>
      </c>
      <c r="H60" s="83" t="s">
        <v>1432</v>
      </c>
      <c r="I60" s="83" t="str">
        <f>VLOOKUP(MP_cierre[[#This Row],[OT]],MP_registro[[#All],[OT]:[PROGRAMADO]],9,FALSE)</f>
        <v>G3</v>
      </c>
      <c r="J60" s="170">
        <v>44656</v>
      </c>
      <c r="K60" s="172">
        <v>44663</v>
      </c>
      <c r="L60" s="176">
        <v>0.66666666666666663</v>
      </c>
      <c r="M60" s="176">
        <v>0.68055555555555547</v>
      </c>
      <c r="N60" s="109"/>
      <c r="O60" s="84"/>
      <c r="P60" s="84"/>
      <c r="Q60" s="84"/>
      <c r="R60" s="84"/>
      <c r="S60" s="84"/>
      <c r="T60" s="84"/>
      <c r="U60" s="84"/>
      <c r="V60" s="84"/>
      <c r="W60" s="84"/>
    </row>
    <row r="61" spans="2:23" s="62" customFormat="1" ht="25.9" customHeight="1">
      <c r="B61" s="53"/>
      <c r="C61" s="53"/>
      <c r="D61" s="53"/>
      <c r="E61" s="53"/>
      <c r="F61" s="53"/>
      <c r="G61" s="83">
        <v>52</v>
      </c>
      <c r="H61" s="83" t="s">
        <v>1433</v>
      </c>
      <c r="I61" s="83" t="str">
        <f>VLOOKUP(MP_cierre[[#This Row],[OT]],MP_registro[[#All],[OT]:[PROGRAMADO]],9,FALSE)</f>
        <v>G1</v>
      </c>
      <c r="J61" s="170">
        <v>44655</v>
      </c>
      <c r="K61" s="172">
        <v>44655</v>
      </c>
      <c r="L61" s="176">
        <v>0.39374999999999999</v>
      </c>
      <c r="M61" s="176">
        <v>0.42083333333333334</v>
      </c>
      <c r="N61" s="109"/>
      <c r="O61" s="84"/>
      <c r="P61" s="84"/>
      <c r="Q61" s="84"/>
      <c r="R61" s="84"/>
      <c r="S61" s="84"/>
      <c r="T61" s="84"/>
      <c r="U61" s="84"/>
      <c r="V61" s="84"/>
      <c r="W61" s="84"/>
    </row>
    <row r="62" spans="2:23" s="62" customFormat="1" ht="25.9" customHeight="1">
      <c r="B62" s="53"/>
      <c r="C62" s="53"/>
      <c r="D62" s="53"/>
      <c r="E62" s="53"/>
      <c r="F62" s="53"/>
      <c r="G62" s="83">
        <v>53</v>
      </c>
      <c r="H62" s="83" t="s">
        <v>1434</v>
      </c>
      <c r="I62" s="83" t="str">
        <f>VLOOKUP(MP_cierre[[#This Row],[OT]],MP_registro[[#All],[OT]:[PROGRAMADO]],9,FALSE)</f>
        <v>G2</v>
      </c>
      <c r="J62" s="170">
        <v>44655</v>
      </c>
      <c r="K62" s="172">
        <v>44655</v>
      </c>
      <c r="L62" s="176">
        <v>0.91666666666666663</v>
      </c>
      <c r="M62" s="176">
        <v>0.95833333333333337</v>
      </c>
      <c r="N62" s="109"/>
      <c r="O62" s="84"/>
      <c r="P62" s="84"/>
      <c r="Q62" s="84"/>
      <c r="R62" s="84"/>
      <c r="S62" s="84"/>
      <c r="T62" s="84"/>
      <c r="U62" s="84"/>
      <c r="V62" s="84"/>
      <c r="W62" s="84"/>
    </row>
    <row r="63" spans="2:23" s="62" customFormat="1" ht="25.9" customHeight="1">
      <c r="B63" s="53"/>
      <c r="C63" s="53"/>
      <c r="D63" s="53"/>
      <c r="E63" s="53"/>
      <c r="F63" s="53"/>
      <c r="G63" s="83">
        <v>54</v>
      </c>
      <c r="H63" s="83" t="s">
        <v>1435</v>
      </c>
      <c r="I63" s="83" t="str">
        <f>VLOOKUP(MP_cierre[[#This Row],[OT]],MP_registro[[#All],[OT]:[PROGRAMADO]],9,FALSE)</f>
        <v>G3</v>
      </c>
      <c r="J63" s="170">
        <v>44655</v>
      </c>
      <c r="K63" s="172">
        <v>44663</v>
      </c>
      <c r="L63" s="176">
        <v>0.58333333333333337</v>
      </c>
      <c r="M63" s="176">
        <v>0.59722222222222221</v>
      </c>
      <c r="N63" s="109"/>
      <c r="O63" s="84"/>
      <c r="P63" s="84"/>
      <c r="Q63" s="84"/>
      <c r="R63" s="84"/>
      <c r="S63" s="84"/>
      <c r="T63" s="84"/>
      <c r="U63" s="84"/>
      <c r="V63" s="84"/>
      <c r="W63" s="84"/>
    </row>
    <row r="64" spans="2:23" s="62" customFormat="1" ht="25.9" customHeight="1">
      <c r="B64" s="53"/>
      <c r="C64" s="53"/>
      <c r="D64" s="53"/>
      <c r="E64" s="53"/>
      <c r="F64" s="53"/>
      <c r="G64" s="83">
        <v>55</v>
      </c>
      <c r="H64" s="83" t="s">
        <v>1436</v>
      </c>
      <c r="I64" s="83" t="str">
        <f>VLOOKUP(MP_cierre[[#This Row],[OT]],MP_registro[[#All],[OT]:[PROGRAMADO]],9,FALSE)</f>
        <v>G1</v>
      </c>
      <c r="J64" s="170">
        <v>44655</v>
      </c>
      <c r="K64" s="172">
        <v>44655</v>
      </c>
      <c r="L64" s="176">
        <v>0.57500000000000007</v>
      </c>
      <c r="M64" s="176">
        <v>0.60138888888888886</v>
      </c>
      <c r="N64" s="109"/>
      <c r="O64" s="84"/>
      <c r="P64" s="84"/>
      <c r="Q64" s="84"/>
      <c r="R64" s="84"/>
      <c r="S64" s="84"/>
      <c r="T64" s="84"/>
      <c r="U64" s="84"/>
      <c r="V64" s="84"/>
      <c r="W64" s="84"/>
    </row>
    <row r="65" spans="2:27" s="62" customFormat="1" ht="25.9" customHeight="1">
      <c r="B65" s="53"/>
      <c r="C65" s="53"/>
      <c r="D65" s="53"/>
      <c r="E65" s="53"/>
      <c r="F65" s="53"/>
      <c r="G65" s="83">
        <v>56</v>
      </c>
      <c r="H65" s="90" t="s">
        <v>1437</v>
      </c>
      <c r="I65" s="90" t="str">
        <f>VLOOKUP(MP_cierre[[#This Row],[OT]],MP_registro[[#All],[OT]:[PROGRAMADO]],9,FALSE)</f>
        <v>G2</v>
      </c>
      <c r="J65" s="171">
        <v>44655</v>
      </c>
      <c r="K65" s="173">
        <v>44655</v>
      </c>
      <c r="L65" s="177">
        <v>0.25</v>
      </c>
      <c r="M65" s="177">
        <v>0.27083333333333331</v>
      </c>
      <c r="N65" s="109"/>
      <c r="O65" s="84"/>
      <c r="P65" s="84"/>
      <c r="Q65" s="84"/>
      <c r="R65" s="84"/>
      <c r="S65" s="84"/>
      <c r="T65" s="84"/>
      <c r="U65" s="84"/>
      <c r="V65" s="84"/>
      <c r="W65" s="84"/>
    </row>
    <row r="66" spans="2:27" s="62" customFormat="1" ht="25.9" customHeight="1">
      <c r="B66" s="53"/>
      <c r="C66" s="53"/>
      <c r="D66" s="53"/>
      <c r="E66" s="53"/>
      <c r="F66" s="53"/>
      <c r="G66" s="83">
        <v>57</v>
      </c>
      <c r="H66" s="83" t="s">
        <v>1438</v>
      </c>
      <c r="I66" s="83" t="str">
        <f>VLOOKUP(MP_cierre[[#This Row],[OT]],MP_registro[[#All],[OT]:[PROGRAMADO]],9,FALSE)</f>
        <v>G3</v>
      </c>
      <c r="J66" s="170">
        <v>44655</v>
      </c>
      <c r="K66" s="172">
        <v>44663</v>
      </c>
      <c r="L66" s="176">
        <v>0.72777777777777775</v>
      </c>
      <c r="M66" s="176">
        <v>0.73958333333333337</v>
      </c>
      <c r="N66" s="109"/>
      <c r="O66" s="84"/>
      <c r="P66" s="84"/>
      <c r="Q66" s="84"/>
      <c r="R66" s="84"/>
      <c r="S66" s="84"/>
      <c r="T66" s="84"/>
      <c r="U66" s="84"/>
      <c r="V66" s="84"/>
      <c r="W66" s="84"/>
    </row>
    <row r="67" spans="2:27" s="62" customFormat="1" ht="25.9" customHeight="1">
      <c r="B67" s="53"/>
      <c r="C67" s="53"/>
      <c r="D67" s="53"/>
      <c r="E67" s="53"/>
      <c r="F67" s="53"/>
      <c r="G67" s="83">
        <v>58</v>
      </c>
      <c r="H67" s="83" t="s">
        <v>1439</v>
      </c>
      <c r="I67" s="83" t="str">
        <f>VLOOKUP(MP_cierre[[#This Row],[OT]],MP_registro[[#All],[OT]:[PROGRAMADO]],9,FALSE)</f>
        <v>G1</v>
      </c>
      <c r="J67" s="170">
        <v>44656</v>
      </c>
      <c r="K67" s="172">
        <v>44656</v>
      </c>
      <c r="L67" s="176">
        <v>0.42222222222222222</v>
      </c>
      <c r="M67" s="176">
        <v>0.44722222222222219</v>
      </c>
      <c r="N67" s="109"/>
      <c r="O67" s="84"/>
      <c r="P67" s="84"/>
      <c r="Q67" s="84"/>
      <c r="R67" s="84"/>
      <c r="S67" s="84"/>
      <c r="T67" s="84"/>
      <c r="U67" s="84"/>
      <c r="V67" s="84"/>
      <c r="W67" s="84"/>
    </row>
    <row r="68" spans="2:27" s="62" customFormat="1" ht="25.9" customHeight="1">
      <c r="B68" s="53"/>
      <c r="C68" s="53"/>
      <c r="D68" s="53"/>
      <c r="E68" s="53"/>
      <c r="F68" s="53"/>
      <c r="G68" s="83">
        <v>59</v>
      </c>
      <c r="H68" s="83" t="s">
        <v>1440</v>
      </c>
      <c r="I68" s="83" t="str">
        <f>VLOOKUP(MP_cierre[[#This Row],[OT]],MP_registro[[#All],[OT]:[PROGRAMADO]],9,FALSE)</f>
        <v>G2</v>
      </c>
      <c r="J68" s="170">
        <v>44652</v>
      </c>
      <c r="K68" s="172">
        <v>44652</v>
      </c>
      <c r="L68" s="176">
        <v>0.91666666666666663</v>
      </c>
      <c r="M68" s="176">
        <v>0.95833333333333337</v>
      </c>
      <c r="N68" s="109"/>
      <c r="O68" s="84"/>
      <c r="P68" s="84"/>
      <c r="Q68" s="84"/>
      <c r="R68" s="84"/>
      <c r="S68" s="84"/>
      <c r="T68" s="84"/>
      <c r="U68" s="84"/>
      <c r="V68" s="84"/>
      <c r="W68" s="84"/>
    </row>
    <row r="69" spans="2:27" s="62" customFormat="1" ht="25.9" customHeight="1">
      <c r="B69" s="53"/>
      <c r="C69" s="53"/>
      <c r="D69" s="53"/>
      <c r="E69" s="53"/>
      <c r="F69" s="53"/>
      <c r="G69" s="83">
        <v>60</v>
      </c>
      <c r="H69" s="90" t="s">
        <v>1441</v>
      </c>
      <c r="I69" s="90" t="str">
        <f>VLOOKUP(MP_cierre[[#This Row],[OT]],MP_registro[[#All],[OT]:[PROGRAMADO]],9,FALSE)</f>
        <v>G3</v>
      </c>
      <c r="J69" s="171">
        <v>44659</v>
      </c>
      <c r="K69" s="173">
        <v>44663</v>
      </c>
      <c r="L69" s="177">
        <v>0.63541666666666663</v>
      </c>
      <c r="M69" s="177">
        <v>0.64930555555555558</v>
      </c>
      <c r="N69" s="109"/>
      <c r="O69" s="84"/>
      <c r="P69" s="84"/>
      <c r="Q69" s="84"/>
      <c r="R69" s="84"/>
      <c r="S69" s="84"/>
      <c r="T69" s="84"/>
      <c r="U69" s="84"/>
      <c r="V69" s="84"/>
      <c r="W69" s="84"/>
    </row>
    <row r="70" spans="2:27" s="62" customFormat="1" ht="25.9" customHeight="1">
      <c r="B70" s="53"/>
      <c r="C70" s="53"/>
      <c r="D70" s="53"/>
      <c r="E70" s="53"/>
      <c r="F70" s="53"/>
      <c r="G70" s="83">
        <v>61</v>
      </c>
      <c r="H70" s="83" t="s">
        <v>1442</v>
      </c>
      <c r="I70" s="83" t="str">
        <f>VLOOKUP(MP_cierre[[#This Row],[OT]],MP_registro[[#All],[OT]:[PROGRAMADO]],9,FALSE)</f>
        <v>G1</v>
      </c>
      <c r="J70" s="170">
        <v>44662</v>
      </c>
      <c r="K70" s="172">
        <v>44666</v>
      </c>
      <c r="L70" s="176">
        <v>4.7222222222222221E-2</v>
      </c>
      <c r="M70" s="176">
        <v>7.4999999999999997E-2</v>
      </c>
      <c r="N70" s="123"/>
      <c r="O70" s="84"/>
      <c r="P70" s="84"/>
      <c r="Q70" s="84"/>
      <c r="R70" s="84"/>
      <c r="S70" s="84"/>
      <c r="T70" s="84"/>
      <c r="U70" s="84"/>
      <c r="V70" s="84"/>
      <c r="W70" s="84"/>
    </row>
    <row r="71" spans="2:27" s="62" customFormat="1" ht="25.9" customHeight="1">
      <c r="B71" s="53"/>
      <c r="C71" s="53"/>
      <c r="D71" s="53"/>
      <c r="E71" s="53"/>
      <c r="F71" s="53"/>
      <c r="G71" s="83">
        <v>62</v>
      </c>
      <c r="H71" s="83" t="s">
        <v>1443</v>
      </c>
      <c r="I71" s="83" t="str">
        <f>VLOOKUP(MP_cierre[[#This Row],[OT]],MP_registro[[#All],[OT]:[PROGRAMADO]],9,FALSE)</f>
        <v>G2</v>
      </c>
      <c r="J71" s="170">
        <v>44663</v>
      </c>
      <c r="K71" s="172">
        <v>44664</v>
      </c>
      <c r="L71" s="176">
        <v>0.54166666666666663</v>
      </c>
      <c r="M71" s="176">
        <v>0.58333333333333337</v>
      </c>
      <c r="N71" s="123"/>
      <c r="O71" s="84"/>
      <c r="P71" s="84"/>
      <c r="Q71" s="84"/>
      <c r="R71" s="84"/>
      <c r="S71" s="84"/>
      <c r="T71" s="84"/>
      <c r="U71" s="84"/>
      <c r="V71" s="84"/>
      <c r="W71" s="84"/>
    </row>
    <row r="72" spans="2:27" s="62" customFormat="1" ht="25.9" customHeight="1">
      <c r="B72" s="53"/>
      <c r="C72" s="53"/>
      <c r="D72" s="53"/>
      <c r="E72" s="53"/>
      <c r="F72" s="53"/>
      <c r="G72" s="83">
        <v>63</v>
      </c>
      <c r="H72" s="90" t="s">
        <v>1444</v>
      </c>
      <c r="I72" s="90" t="str">
        <f>VLOOKUP(MP_cierre[[#This Row],[OT]],MP_registro[[#All],[OT]:[PROGRAMADO]],9,FALSE)</f>
        <v>G3</v>
      </c>
      <c r="J72" s="171">
        <v>44664</v>
      </c>
      <c r="K72" s="173">
        <v>44664</v>
      </c>
      <c r="L72" s="177">
        <v>5.9027777777777783E-2</v>
      </c>
      <c r="M72" s="177">
        <v>0.11805555555555557</v>
      </c>
      <c r="N72" s="123"/>
      <c r="O72" s="84"/>
      <c r="P72" s="84"/>
      <c r="Q72" s="84"/>
      <c r="R72" s="84"/>
      <c r="S72" s="84"/>
      <c r="T72" s="84"/>
      <c r="U72" s="84"/>
      <c r="V72" s="84"/>
      <c r="W72" s="84"/>
    </row>
    <row r="73" spans="2:27" s="62" customFormat="1" ht="25.9" customHeight="1">
      <c r="B73" s="53"/>
      <c r="C73" s="53"/>
      <c r="D73" s="53"/>
      <c r="E73" s="53"/>
      <c r="F73" s="53"/>
      <c r="G73" s="83">
        <v>64</v>
      </c>
      <c r="H73" s="83" t="s">
        <v>1445</v>
      </c>
      <c r="I73" s="83" t="str">
        <f>VLOOKUP(MP_cierre[[#This Row],[OT]],MP_registro[[#All],[OT]:[PROGRAMADO]],9,FALSE)</f>
        <v>G1</v>
      </c>
      <c r="J73" s="170">
        <v>44665</v>
      </c>
      <c r="K73" s="172">
        <v>44666</v>
      </c>
      <c r="L73" s="176">
        <v>0.83611111111111114</v>
      </c>
      <c r="M73" s="176">
        <v>0.8618055555555556</v>
      </c>
      <c r="N73" s="123"/>
      <c r="O73" s="84"/>
      <c r="P73" s="84"/>
      <c r="Q73" s="84"/>
      <c r="R73" s="84"/>
      <c r="S73" s="84"/>
      <c r="T73" s="84"/>
      <c r="U73" s="84"/>
      <c r="V73" s="84"/>
      <c r="W73" s="84"/>
    </row>
    <row r="74" spans="2:27" s="62" customFormat="1" ht="25.9" customHeight="1">
      <c r="B74" s="53"/>
      <c r="C74" s="53"/>
      <c r="D74" s="53"/>
      <c r="E74" s="53"/>
      <c r="F74" s="53"/>
      <c r="G74" s="83">
        <v>65</v>
      </c>
      <c r="H74" s="90" t="s">
        <v>1446</v>
      </c>
      <c r="I74" s="90" t="str">
        <f>VLOOKUP(MP_cierre[[#This Row],[OT]],MP_registro[[#All],[OT]:[PROGRAMADO]],9,FALSE)</f>
        <v>G2</v>
      </c>
      <c r="J74" s="171">
        <v>44666</v>
      </c>
      <c r="K74" s="173">
        <v>44671</v>
      </c>
      <c r="L74" s="177">
        <v>0.41666666666666669</v>
      </c>
      <c r="M74" s="177">
        <v>0.45833333333333331</v>
      </c>
      <c r="N74" s="123"/>
      <c r="O74" s="84"/>
      <c r="P74" s="84"/>
      <c r="Q74" s="84"/>
      <c r="R74" s="84"/>
      <c r="S74" s="84"/>
      <c r="T74" s="84"/>
      <c r="U74" s="84"/>
      <c r="V74" s="84"/>
      <c r="W74" s="84"/>
    </row>
    <row r="75" spans="2:27" s="62" customFormat="1" ht="25.9" customHeight="1">
      <c r="B75" s="53"/>
      <c r="C75" s="53"/>
      <c r="D75" s="53"/>
      <c r="E75" s="53"/>
      <c r="F75" s="53"/>
      <c r="G75" s="83">
        <v>66</v>
      </c>
      <c r="H75" s="83" t="s">
        <v>1447</v>
      </c>
      <c r="I75" s="83" t="str">
        <f>VLOOKUP(MP_cierre[[#This Row],[OT]],MP_registro[[#All],[OT]:[PROGRAMADO]],9,FALSE)</f>
        <v>G3</v>
      </c>
      <c r="J75" s="170">
        <v>44667</v>
      </c>
      <c r="K75" s="172">
        <v>44667</v>
      </c>
      <c r="L75" s="176">
        <v>0.12152777777777778</v>
      </c>
      <c r="M75" s="176">
        <v>0.18055555555555555</v>
      </c>
      <c r="N75" s="120"/>
      <c r="O75" s="121"/>
      <c r="P75" s="122"/>
      <c r="Q75" s="119"/>
      <c r="R75" s="123"/>
      <c r="S75" s="84"/>
      <c r="T75" s="84"/>
      <c r="U75" s="84"/>
      <c r="V75" s="84"/>
      <c r="W75" s="84"/>
      <c r="X75" s="84"/>
      <c r="Y75" s="84"/>
      <c r="Z75" s="84"/>
      <c r="AA75" s="84"/>
    </row>
    <row r="76" spans="2:27" s="62" customFormat="1" ht="25.9" customHeight="1">
      <c r="B76" s="53"/>
      <c r="C76" s="53"/>
      <c r="D76" s="53"/>
      <c r="E76" s="53"/>
      <c r="F76" s="53"/>
      <c r="G76" s="83">
        <v>67</v>
      </c>
      <c r="H76" s="83" t="s">
        <v>1448</v>
      </c>
      <c r="I76" s="83" t="str">
        <f>VLOOKUP(MP_cierre[[#This Row],[OT]],MP_registro[[#All],[OT]:[PROGRAMADO]],9,FALSE)</f>
        <v>G1</v>
      </c>
      <c r="J76" s="170">
        <v>44668</v>
      </c>
      <c r="K76" s="172">
        <v>44668</v>
      </c>
      <c r="L76" s="176">
        <v>0.89583333333333337</v>
      </c>
      <c r="M76" s="176">
        <v>0.92013888888888884</v>
      </c>
      <c r="N76" s="120"/>
      <c r="O76" s="121"/>
      <c r="P76" s="122"/>
      <c r="Q76" s="119"/>
      <c r="R76" s="123"/>
      <c r="S76" s="84"/>
      <c r="T76" s="84"/>
      <c r="U76" s="84"/>
      <c r="V76" s="84"/>
      <c r="W76" s="84"/>
      <c r="X76" s="84"/>
      <c r="Y76" s="84"/>
      <c r="Z76" s="84"/>
      <c r="AA76" s="84"/>
    </row>
    <row r="77" spans="2:27" s="62" customFormat="1" ht="25.9" customHeight="1">
      <c r="B77" s="53"/>
      <c r="C77" s="53"/>
      <c r="D77" s="53"/>
      <c r="E77" s="53"/>
      <c r="F77" s="53"/>
      <c r="G77" s="83">
        <v>68</v>
      </c>
      <c r="H77" s="83" t="s">
        <v>1449</v>
      </c>
      <c r="I77" s="83" t="str">
        <f>VLOOKUP(MP_cierre[[#This Row],[OT]],MP_registro[[#All],[OT]:[PROGRAMADO]],9,FALSE)</f>
        <v>G2</v>
      </c>
      <c r="J77" s="170">
        <v>44662</v>
      </c>
      <c r="K77" s="172">
        <v>44668</v>
      </c>
      <c r="L77" s="176">
        <v>0.625</v>
      </c>
      <c r="M77" s="176">
        <v>0.65625</v>
      </c>
      <c r="N77" s="120"/>
      <c r="O77" s="121"/>
      <c r="P77" s="122"/>
      <c r="Q77" s="119"/>
      <c r="R77" s="123"/>
      <c r="S77" s="84"/>
      <c r="T77" s="84"/>
      <c r="U77" s="84"/>
      <c r="V77" s="84"/>
      <c r="W77" s="84"/>
      <c r="X77" s="84"/>
      <c r="Y77" s="84"/>
      <c r="Z77" s="84"/>
      <c r="AA77" s="84"/>
    </row>
    <row r="78" spans="2:27" s="62" customFormat="1" ht="25.9" customHeight="1">
      <c r="B78" s="53"/>
      <c r="C78" s="53"/>
      <c r="D78" s="53"/>
      <c r="E78" s="53"/>
      <c r="F78" s="53"/>
      <c r="G78" s="83">
        <v>69</v>
      </c>
      <c r="H78" s="83" t="s">
        <v>1450</v>
      </c>
      <c r="I78" s="83" t="str">
        <f>VLOOKUP(MP_cierre[[#This Row],[OT]],MP_registro[[#All],[OT]:[PROGRAMADO]],9,FALSE)</f>
        <v>G3</v>
      </c>
      <c r="J78" s="170">
        <v>44663</v>
      </c>
      <c r="K78" s="172">
        <v>44663</v>
      </c>
      <c r="L78" s="176">
        <v>0.46736111111111112</v>
      </c>
      <c r="M78" s="176">
        <v>0.4770833333333333</v>
      </c>
      <c r="N78" s="120"/>
      <c r="O78" s="121"/>
      <c r="P78" s="122"/>
      <c r="Q78" s="119"/>
      <c r="R78" s="123"/>
      <c r="S78" s="84"/>
      <c r="T78" s="84"/>
      <c r="U78" s="84"/>
      <c r="V78" s="84"/>
      <c r="W78" s="84"/>
      <c r="X78" s="84"/>
      <c r="Y78" s="84"/>
      <c r="Z78" s="84"/>
      <c r="AA78" s="84"/>
    </row>
    <row r="79" spans="2:27" s="62" customFormat="1" ht="25.9" customHeight="1">
      <c r="B79" s="53"/>
      <c r="C79" s="53"/>
      <c r="D79" s="53"/>
      <c r="E79" s="53"/>
      <c r="F79" s="53"/>
      <c r="G79" s="83">
        <v>70</v>
      </c>
      <c r="H79" s="83" t="s">
        <v>1451</v>
      </c>
      <c r="I79" s="83" t="str">
        <f>VLOOKUP(MP_cierre[[#This Row],[OT]],MP_registro[[#All],[OT]:[PROGRAMADO]],9,FALSE)</f>
        <v>G1</v>
      </c>
      <c r="J79" s="170">
        <v>44664</v>
      </c>
      <c r="K79" s="172">
        <v>44670</v>
      </c>
      <c r="L79" s="176">
        <v>0.84444444444444444</v>
      </c>
      <c r="M79" s="176">
        <v>0.8666666666666667</v>
      </c>
      <c r="N79" s="116"/>
      <c r="O79" s="121"/>
      <c r="P79" s="122"/>
      <c r="Q79" s="124"/>
      <c r="R79" s="123"/>
      <c r="S79" s="84"/>
      <c r="T79" s="84"/>
      <c r="U79" s="84"/>
      <c r="V79" s="84"/>
      <c r="W79" s="84"/>
      <c r="X79" s="84"/>
      <c r="Y79" s="84"/>
      <c r="Z79" s="84"/>
      <c r="AA79" s="84"/>
    </row>
    <row r="80" spans="2:27" s="62" customFormat="1" ht="25.9" customHeight="1">
      <c r="B80" s="53"/>
      <c r="C80" s="53"/>
      <c r="D80" s="53"/>
      <c r="E80" s="53"/>
      <c r="F80" s="53"/>
      <c r="G80" s="83">
        <v>71</v>
      </c>
      <c r="H80" s="83" t="s">
        <v>1452</v>
      </c>
      <c r="I80" s="83" t="str">
        <f>VLOOKUP(MP_cierre[[#This Row],[OT]],MP_registro[[#All],[OT]:[PROGRAMADO]],9,FALSE)</f>
        <v>G2</v>
      </c>
      <c r="J80" s="170">
        <v>44665</v>
      </c>
      <c r="K80" s="172">
        <v>44668</v>
      </c>
      <c r="L80" s="176">
        <v>0.65625</v>
      </c>
      <c r="M80" s="176">
        <v>0.6875</v>
      </c>
      <c r="N80" s="116"/>
      <c r="O80" s="121"/>
      <c r="P80" s="122"/>
      <c r="Q80" s="124"/>
      <c r="R80" s="123"/>
      <c r="S80" s="84"/>
      <c r="T80" s="84"/>
      <c r="U80" s="84"/>
      <c r="V80" s="84"/>
      <c r="W80" s="84"/>
      <c r="X80" s="84"/>
      <c r="Y80" s="84"/>
      <c r="Z80" s="84"/>
      <c r="AA80" s="84"/>
    </row>
    <row r="81" spans="2:27" s="62" customFormat="1" ht="25.9" customHeight="1">
      <c r="B81" s="53"/>
      <c r="C81" s="53"/>
      <c r="D81" s="53"/>
      <c r="E81" s="53"/>
      <c r="F81" s="53"/>
      <c r="G81" s="83">
        <v>72</v>
      </c>
      <c r="H81" s="83" t="s">
        <v>1453</v>
      </c>
      <c r="I81" s="83" t="str">
        <f>VLOOKUP(MP_cierre[[#This Row],[OT]],MP_registro[[#All],[OT]:[PROGRAMADO]],9,FALSE)</f>
        <v>G3</v>
      </c>
      <c r="J81" s="170">
        <v>44666</v>
      </c>
      <c r="K81" s="172">
        <v>44667</v>
      </c>
      <c r="L81" s="176">
        <v>0.98611111111111116</v>
      </c>
      <c r="M81" s="176">
        <v>0.99722222222222223</v>
      </c>
      <c r="N81" s="116"/>
      <c r="O81" s="121"/>
      <c r="P81" s="122"/>
      <c r="Q81" s="124"/>
      <c r="R81" s="123"/>
      <c r="S81" s="84"/>
      <c r="T81" s="84"/>
      <c r="U81" s="84"/>
      <c r="V81" s="84"/>
      <c r="W81" s="84"/>
      <c r="X81" s="84"/>
      <c r="Y81" s="84"/>
      <c r="Z81" s="84"/>
      <c r="AA81" s="84"/>
    </row>
    <row r="82" spans="2:27" s="62" customFormat="1" ht="25.9" customHeight="1">
      <c r="B82" s="53"/>
      <c r="C82" s="53"/>
      <c r="D82" s="53"/>
      <c r="E82" s="53"/>
      <c r="F82" s="53"/>
      <c r="G82" s="83">
        <v>73</v>
      </c>
      <c r="H82" s="83" t="s">
        <v>1454</v>
      </c>
      <c r="I82" s="83" t="str">
        <f>VLOOKUP(MP_cierre[[#This Row],[OT]],MP_registro[[#All],[OT]:[PROGRAMADO]],9,FALSE)</f>
        <v>G1</v>
      </c>
      <c r="J82" s="170">
        <v>44662</v>
      </c>
      <c r="K82" s="172">
        <v>44662</v>
      </c>
      <c r="L82" s="176">
        <v>3.125E-2</v>
      </c>
      <c r="M82" s="176">
        <v>7.6388888888888895E-2</v>
      </c>
      <c r="N82" s="116"/>
      <c r="O82" s="121"/>
      <c r="P82" s="122"/>
      <c r="Q82" s="124"/>
      <c r="R82" s="123"/>
      <c r="S82" s="84"/>
      <c r="T82" s="84"/>
      <c r="U82" s="84"/>
      <c r="V82" s="84"/>
      <c r="W82" s="84"/>
      <c r="X82" s="84"/>
      <c r="Y82" s="84"/>
      <c r="Z82" s="84"/>
      <c r="AA82" s="84"/>
    </row>
    <row r="83" spans="2:27" s="62" customFormat="1" ht="25.9" customHeight="1">
      <c r="B83" s="53"/>
      <c r="C83" s="53"/>
      <c r="D83" s="53"/>
      <c r="E83" s="53"/>
      <c r="F83" s="53"/>
      <c r="G83" s="83">
        <v>74</v>
      </c>
      <c r="H83" s="83" t="s">
        <v>1455</v>
      </c>
      <c r="I83" s="83" t="str">
        <f>VLOOKUP(MP_cierre[[#This Row],[OT]],MP_registro[[#All],[OT]:[PROGRAMADO]],9,FALSE)</f>
        <v>G3</v>
      </c>
      <c r="J83" s="170">
        <v>44662</v>
      </c>
      <c r="K83" s="172">
        <v>44662</v>
      </c>
      <c r="L83" s="176">
        <v>9.0277777777777787E-3</v>
      </c>
      <c r="M83" s="176">
        <v>2.2916666666666669E-2</v>
      </c>
      <c r="N83" s="116"/>
      <c r="O83" s="121"/>
      <c r="P83" s="122"/>
      <c r="Q83" s="124"/>
      <c r="R83" s="123"/>
      <c r="S83" s="84"/>
      <c r="T83" s="84"/>
      <c r="U83" s="84"/>
      <c r="V83" s="84"/>
      <c r="W83" s="84"/>
      <c r="X83" s="84"/>
      <c r="Y83" s="84"/>
      <c r="Z83" s="84"/>
      <c r="AA83" s="84"/>
    </row>
    <row r="84" spans="2:27" s="62" customFormat="1" ht="25.9" customHeight="1">
      <c r="B84" s="53"/>
      <c r="C84" s="53"/>
      <c r="D84" s="53"/>
      <c r="E84" s="53"/>
      <c r="F84" s="53"/>
      <c r="G84" s="83">
        <v>75</v>
      </c>
      <c r="H84" s="83" t="s">
        <v>1456</v>
      </c>
      <c r="I84" s="83" t="str">
        <f>VLOOKUP(MP_cierre[[#This Row],[OT]],MP_registro[[#All],[OT]:[PROGRAMADO]],9,FALSE)</f>
        <v>G4</v>
      </c>
      <c r="J84" s="170">
        <v>44667</v>
      </c>
      <c r="K84" s="172">
        <v>44667</v>
      </c>
      <c r="L84" s="176">
        <v>0.375</v>
      </c>
      <c r="M84" s="176">
        <v>0.45833333333333331</v>
      </c>
      <c r="N84" s="116"/>
      <c r="O84" s="121"/>
      <c r="P84" s="122"/>
      <c r="Q84" s="124"/>
      <c r="R84" s="123"/>
      <c r="S84" s="84"/>
      <c r="T84" s="84"/>
      <c r="U84" s="84"/>
      <c r="V84" s="84"/>
      <c r="W84" s="84"/>
      <c r="X84" s="84"/>
      <c r="Y84" s="84"/>
      <c r="Z84" s="84"/>
      <c r="AA84" s="84"/>
    </row>
    <row r="85" spans="2:27" s="62" customFormat="1" ht="25.9" customHeight="1">
      <c r="B85" s="53"/>
      <c r="C85" s="53"/>
      <c r="D85" s="53"/>
      <c r="E85" s="53"/>
      <c r="F85" s="53"/>
      <c r="G85" s="83">
        <v>76</v>
      </c>
      <c r="H85" s="83" t="s">
        <v>1457</v>
      </c>
      <c r="I85" s="83" t="str">
        <f>VLOOKUP(MP_cierre[[#This Row],[OT]],MP_registro[[#All],[OT]:[PROGRAMADO]],9,FALSE)</f>
        <v>G4</v>
      </c>
      <c r="J85" s="170">
        <v>44668</v>
      </c>
      <c r="K85" s="172">
        <v>44668</v>
      </c>
      <c r="L85" s="176">
        <v>0.33333333333333331</v>
      </c>
      <c r="M85" s="176">
        <v>0.41666666666666669</v>
      </c>
      <c r="N85" s="101"/>
      <c r="O85" s="101"/>
      <c r="P85" s="102"/>
      <c r="Q85" s="103"/>
      <c r="R85" s="104"/>
      <c r="S85" s="84"/>
      <c r="T85" s="84"/>
      <c r="U85" s="84"/>
      <c r="V85" s="84"/>
      <c r="W85" s="84"/>
      <c r="X85" s="84"/>
      <c r="Y85" s="84"/>
      <c r="Z85" s="84"/>
      <c r="AA85" s="84"/>
    </row>
    <row r="86" spans="2:27" s="62" customFormat="1" ht="25.9" customHeight="1">
      <c r="B86" s="53"/>
      <c r="C86" s="53"/>
      <c r="D86" s="53"/>
      <c r="E86" s="53"/>
      <c r="F86" s="53"/>
      <c r="G86" s="83">
        <v>77</v>
      </c>
      <c r="H86" s="83" t="s">
        <v>1458</v>
      </c>
      <c r="I86" s="83" t="str">
        <f>VLOOKUP(MP_cierre[[#This Row],[OT]],MP_registro[[#All],[OT]:[PROGRAMADO]],9,FALSE)</f>
        <v>G4</v>
      </c>
      <c r="J86" s="170">
        <v>44665</v>
      </c>
      <c r="K86" s="172">
        <v>44665</v>
      </c>
      <c r="L86" s="176">
        <v>0.33333333333333331</v>
      </c>
      <c r="M86" s="176">
        <v>0.41666666666666669</v>
      </c>
      <c r="N86" s="101"/>
      <c r="O86" s="101"/>
      <c r="P86" s="102"/>
      <c r="Q86" s="103"/>
      <c r="R86" s="104"/>
      <c r="S86" s="84"/>
      <c r="T86" s="84"/>
      <c r="U86" s="84"/>
      <c r="V86" s="84"/>
      <c r="W86" s="84"/>
      <c r="X86" s="84"/>
      <c r="Y86" s="84"/>
      <c r="Z86" s="84"/>
      <c r="AA86" s="84"/>
    </row>
    <row r="87" spans="2:27" s="62" customFormat="1" ht="25.9" customHeight="1">
      <c r="B87" s="53"/>
      <c r="C87" s="53"/>
      <c r="D87" s="53"/>
      <c r="E87" s="53"/>
      <c r="F87" s="53"/>
      <c r="G87" s="83">
        <v>78</v>
      </c>
      <c r="H87" s="83" t="s">
        <v>1459</v>
      </c>
      <c r="I87" s="83" t="str">
        <f>VLOOKUP(MP_cierre[[#This Row],[OT]],MP_registro[[#All],[OT]:[PROGRAMADO]],9,FALSE)</f>
        <v>G4</v>
      </c>
      <c r="J87" s="170">
        <v>44664</v>
      </c>
      <c r="K87" s="172">
        <v>44664</v>
      </c>
      <c r="L87" s="176">
        <v>0.33333333333333331</v>
      </c>
      <c r="M87" s="176">
        <v>0.4375</v>
      </c>
      <c r="N87" s="95"/>
      <c r="O87" s="95"/>
      <c r="P87" s="53"/>
      <c r="Q87" s="54"/>
      <c r="R87" s="97"/>
      <c r="S87" s="84"/>
      <c r="T87" s="84"/>
      <c r="U87" s="84"/>
      <c r="V87" s="84"/>
      <c r="W87" s="84"/>
      <c r="X87" s="84"/>
      <c r="Y87" s="84"/>
      <c r="Z87" s="84"/>
      <c r="AA87" s="84"/>
    </row>
    <row r="88" spans="2:27" s="62" customFormat="1" ht="25.9" customHeight="1">
      <c r="B88" s="53"/>
      <c r="C88" s="53"/>
      <c r="D88" s="53"/>
      <c r="E88" s="53"/>
      <c r="F88" s="53"/>
      <c r="G88" s="83">
        <v>79</v>
      </c>
      <c r="H88" s="83" t="s">
        <v>1460</v>
      </c>
      <c r="I88" s="83" t="str">
        <f>VLOOKUP(MP_cierre[[#This Row],[OT]],MP_registro[[#All],[OT]:[PROGRAMADO]],9,FALSE)</f>
        <v>G4</v>
      </c>
      <c r="J88" s="170">
        <v>44663</v>
      </c>
      <c r="K88" s="172">
        <v>44663</v>
      </c>
      <c r="L88" s="176">
        <v>0.66666666666666663</v>
      </c>
      <c r="M88" s="176">
        <v>0.72916666666666663</v>
      </c>
      <c r="N88" s="93"/>
      <c r="O88" s="95"/>
      <c r="P88" s="53"/>
      <c r="Q88" s="54"/>
      <c r="R88" s="97"/>
      <c r="S88" s="84"/>
      <c r="T88" s="84"/>
      <c r="U88" s="84"/>
      <c r="V88" s="84"/>
      <c r="W88" s="84"/>
      <c r="X88" s="84"/>
      <c r="Y88" s="84"/>
      <c r="Z88" s="84"/>
      <c r="AA88" s="84"/>
    </row>
    <row r="89" spans="2:27" s="62" customFormat="1" ht="25.9" customHeight="1">
      <c r="B89" s="53"/>
      <c r="C89" s="53"/>
      <c r="D89" s="53"/>
      <c r="E89" s="53"/>
      <c r="F89" s="53"/>
      <c r="G89" s="83">
        <v>80</v>
      </c>
      <c r="H89" s="83" t="s">
        <v>1461</v>
      </c>
      <c r="I89" s="83" t="str">
        <f>VLOOKUP(MP_cierre[[#This Row],[OT]],MP_registro[[#All],[OT]:[PROGRAMADO]],9,FALSE)</f>
        <v>G4</v>
      </c>
      <c r="J89" s="170">
        <v>44662</v>
      </c>
      <c r="K89" s="172">
        <v>44662</v>
      </c>
      <c r="L89" s="176">
        <v>0.47916666666666669</v>
      </c>
      <c r="M89" s="176">
        <v>0.54166666666666663</v>
      </c>
      <c r="N89" s="93"/>
      <c r="O89" s="95"/>
      <c r="P89" s="53"/>
      <c r="Q89" s="54"/>
      <c r="R89" s="97"/>
      <c r="S89" s="84"/>
      <c r="T89" s="84"/>
      <c r="U89" s="84"/>
      <c r="V89" s="84"/>
      <c r="W89" s="84"/>
      <c r="X89" s="84"/>
      <c r="Y89" s="84"/>
      <c r="Z89" s="84"/>
      <c r="AA89" s="84"/>
    </row>
    <row r="90" spans="2:27" s="62" customFormat="1" ht="25.9" customHeight="1">
      <c r="B90" s="53"/>
      <c r="C90" s="53"/>
      <c r="D90" s="53"/>
      <c r="E90" s="53"/>
      <c r="F90" s="53"/>
      <c r="G90" s="83">
        <v>81</v>
      </c>
      <c r="H90" s="83" t="s">
        <v>1462</v>
      </c>
      <c r="I90" s="83" t="str">
        <f>VLOOKUP(MP_cierre[[#This Row],[OT]],MP_registro[[#All],[OT]:[PROGRAMADO]],9,FALSE)</f>
        <v>G4</v>
      </c>
      <c r="J90" s="170">
        <v>44665</v>
      </c>
      <c r="K90" s="172">
        <v>44665</v>
      </c>
      <c r="L90" s="176">
        <v>0.45833333333333331</v>
      </c>
      <c r="M90" s="176">
        <v>0.52083333333333337</v>
      </c>
      <c r="N90" s="100"/>
      <c r="O90" s="101"/>
      <c r="P90" s="102"/>
      <c r="Q90" s="103"/>
      <c r="R90" s="104"/>
      <c r="S90" s="84"/>
      <c r="T90" s="84"/>
      <c r="U90" s="84"/>
      <c r="V90" s="84"/>
      <c r="W90" s="84"/>
      <c r="X90" s="84"/>
      <c r="Y90" s="84"/>
      <c r="Z90" s="84"/>
      <c r="AA90" s="84"/>
    </row>
    <row r="91" spans="2:27" s="62" customFormat="1" ht="25.9" customHeight="1">
      <c r="B91" s="53"/>
      <c r="C91" s="53"/>
      <c r="D91" s="53"/>
      <c r="E91" s="53"/>
      <c r="F91" s="53"/>
      <c r="G91" s="83">
        <v>82</v>
      </c>
      <c r="H91" s="83" t="s">
        <v>1463</v>
      </c>
      <c r="I91" s="83" t="str">
        <f>VLOOKUP(MP_cierre[[#This Row],[OT]],MP_registro[[#All],[OT]:[PROGRAMADO]],9,FALSE)</f>
        <v>G4</v>
      </c>
      <c r="J91" s="170">
        <v>44665</v>
      </c>
      <c r="K91" s="172">
        <v>44665</v>
      </c>
      <c r="L91" s="176">
        <v>0.45833333333333331</v>
      </c>
      <c r="M91" s="176">
        <v>0.52083333333333337</v>
      </c>
      <c r="N91" s="100"/>
      <c r="O91" s="101"/>
      <c r="P91" s="102"/>
      <c r="Q91" s="103"/>
      <c r="R91" s="104"/>
      <c r="S91" s="84"/>
      <c r="T91" s="84"/>
      <c r="U91" s="84"/>
      <c r="V91" s="84"/>
      <c r="W91" s="84"/>
      <c r="X91" s="84"/>
      <c r="Y91" s="84"/>
      <c r="Z91" s="84"/>
      <c r="AA91" s="84"/>
    </row>
    <row r="92" spans="2:27" s="62" customFormat="1" ht="25.9" customHeight="1">
      <c r="B92" s="53"/>
      <c r="C92" s="53"/>
      <c r="D92" s="53"/>
      <c r="E92" s="53"/>
      <c r="F92" s="53"/>
      <c r="G92" s="83">
        <v>83</v>
      </c>
      <c r="H92" s="83" t="s">
        <v>1464</v>
      </c>
      <c r="I92" s="83" t="str">
        <f>VLOOKUP(MP_cierre[[#This Row],[OT]],MP_registro[[#All],[OT]:[PROGRAMADO]],9,FALSE)</f>
        <v>G4</v>
      </c>
      <c r="J92" s="170">
        <v>44664</v>
      </c>
      <c r="K92" s="172">
        <v>44664</v>
      </c>
      <c r="L92" s="176">
        <v>0.45833333333333331</v>
      </c>
      <c r="M92" s="176">
        <v>0.52083333333333337</v>
      </c>
      <c r="N92" s="100"/>
      <c r="O92" s="101"/>
      <c r="P92" s="102"/>
      <c r="Q92" s="103"/>
      <c r="R92" s="104"/>
      <c r="S92" s="84"/>
      <c r="T92" s="84"/>
      <c r="U92" s="84"/>
      <c r="V92" s="84"/>
      <c r="W92" s="84"/>
      <c r="X92" s="84"/>
      <c r="Y92" s="84"/>
      <c r="Z92" s="84"/>
      <c r="AA92" s="84"/>
    </row>
    <row r="93" spans="2:27" s="62" customFormat="1" ht="25.9" customHeight="1">
      <c r="B93" s="53"/>
      <c r="C93" s="53"/>
      <c r="D93" s="53"/>
      <c r="E93" s="53"/>
      <c r="F93" s="53"/>
      <c r="G93" s="83">
        <v>84</v>
      </c>
      <c r="H93" s="83" t="s">
        <v>1465</v>
      </c>
      <c r="I93" s="83" t="str">
        <f>VLOOKUP(MP_cierre[[#This Row],[OT]],MP_registro[[#All],[OT]:[PROGRAMADO]],9,FALSE)</f>
        <v>G4</v>
      </c>
      <c r="J93" s="170">
        <v>44663</v>
      </c>
      <c r="K93" s="172">
        <v>44663</v>
      </c>
      <c r="L93" s="176">
        <v>0.45833333333333331</v>
      </c>
      <c r="M93" s="176">
        <v>0.52083333333333337</v>
      </c>
      <c r="N93" s="100"/>
      <c r="O93" s="101"/>
      <c r="P93" s="102"/>
      <c r="Q93" s="103"/>
      <c r="R93" s="104"/>
      <c r="S93" s="84"/>
      <c r="T93" s="84"/>
      <c r="U93" s="84"/>
      <c r="V93" s="84"/>
      <c r="W93" s="84"/>
      <c r="X93" s="84"/>
      <c r="Y93" s="84"/>
      <c r="Z93" s="84"/>
      <c r="AA93" s="84"/>
    </row>
    <row r="94" spans="2:27" s="62" customFormat="1" ht="25.9" customHeight="1">
      <c r="B94" s="53"/>
      <c r="C94" s="53"/>
      <c r="D94" s="53"/>
      <c r="E94" s="53"/>
      <c r="F94" s="53"/>
      <c r="G94" s="83">
        <v>85</v>
      </c>
      <c r="H94" s="83" t="s">
        <v>1466</v>
      </c>
      <c r="I94" s="83" t="str">
        <f>VLOOKUP(MP_cierre[[#This Row],[OT]],MP_registro[[#All],[OT]:[PROGRAMADO]],9,FALSE)</f>
        <v>G4</v>
      </c>
      <c r="J94" s="170">
        <v>44662</v>
      </c>
      <c r="K94" s="172">
        <v>44662</v>
      </c>
      <c r="L94" s="176">
        <v>0.45833333333333331</v>
      </c>
      <c r="M94" s="176">
        <v>0.52083333333333337</v>
      </c>
      <c r="N94" s="100"/>
      <c r="O94" s="101"/>
      <c r="P94" s="102"/>
      <c r="Q94" s="103"/>
      <c r="R94" s="104"/>
      <c r="S94" s="84"/>
      <c r="T94" s="84"/>
      <c r="U94" s="84"/>
      <c r="V94" s="84"/>
      <c r="W94" s="84"/>
      <c r="X94" s="84"/>
      <c r="Y94" s="84"/>
      <c r="Z94" s="84"/>
      <c r="AA94" s="84"/>
    </row>
    <row r="95" spans="2:27" s="62" customFormat="1" ht="25.9" customHeight="1">
      <c r="B95" s="53"/>
      <c r="C95" s="53"/>
      <c r="D95" s="53"/>
      <c r="E95" s="53"/>
      <c r="F95" s="53"/>
      <c r="G95" s="83">
        <v>86</v>
      </c>
      <c r="H95" s="83" t="s">
        <v>1467</v>
      </c>
      <c r="I95" s="83" t="str">
        <f>VLOOKUP(MP_cierre[[#This Row],[OT]],MP_registro[[#All],[OT]:[PROGRAMADO]],9,FALSE)</f>
        <v>G1</v>
      </c>
      <c r="J95" s="170">
        <v>44666</v>
      </c>
      <c r="K95" s="172">
        <v>44669</v>
      </c>
      <c r="L95" s="176">
        <v>0.96597222222222223</v>
      </c>
      <c r="M95" s="176">
        <v>0.98749999999999993</v>
      </c>
      <c r="N95" s="100"/>
      <c r="O95" s="101"/>
      <c r="P95" s="102"/>
      <c r="Q95" s="103"/>
      <c r="R95" s="104"/>
      <c r="S95" s="84"/>
      <c r="T95" s="84"/>
      <c r="U95" s="84"/>
      <c r="V95" s="84"/>
      <c r="W95" s="84"/>
      <c r="X95" s="84"/>
      <c r="Y95" s="84"/>
      <c r="Z95" s="84"/>
      <c r="AA95" s="84"/>
    </row>
    <row r="96" spans="2:27" s="62" customFormat="1" ht="25.9" customHeight="1">
      <c r="B96" s="53"/>
      <c r="C96" s="53"/>
      <c r="D96" s="53"/>
      <c r="E96" s="53"/>
      <c r="F96" s="53"/>
      <c r="G96" s="83">
        <v>87</v>
      </c>
      <c r="H96" s="83" t="s">
        <v>1468</v>
      </c>
      <c r="I96" s="83" t="str">
        <f>VLOOKUP(MP_cierre[[#This Row],[OT]],MP_registro[[#All],[OT]:[PROGRAMADO]],9,FALSE)</f>
        <v>G1</v>
      </c>
      <c r="J96" s="170">
        <v>44663</v>
      </c>
      <c r="K96" s="172">
        <v>44669</v>
      </c>
      <c r="L96" s="176">
        <v>0.92361111111111116</v>
      </c>
      <c r="M96" s="176">
        <v>0.94027777777777777</v>
      </c>
      <c r="N96" s="100"/>
      <c r="O96" s="101"/>
      <c r="P96" s="102"/>
      <c r="Q96" s="103"/>
      <c r="R96" s="104"/>
      <c r="S96" s="84"/>
      <c r="T96" s="84"/>
      <c r="U96" s="84"/>
      <c r="V96" s="84"/>
      <c r="W96" s="84"/>
      <c r="X96" s="84"/>
      <c r="Y96" s="84"/>
      <c r="Z96" s="84"/>
      <c r="AA96" s="84"/>
    </row>
    <row r="97" spans="2:27" s="62" customFormat="1" ht="25.9" customHeight="1">
      <c r="B97" s="53"/>
      <c r="C97" s="53"/>
      <c r="D97" s="53"/>
      <c r="E97" s="53"/>
      <c r="F97" s="53"/>
      <c r="G97" s="83">
        <v>88</v>
      </c>
      <c r="H97" s="83" t="s">
        <v>1469</v>
      </c>
      <c r="I97" s="83" t="str">
        <f>VLOOKUP(MP_cierre[[#This Row],[OT]],MP_registro[[#All],[OT]:[PROGRAMADO]],9,FALSE)</f>
        <v>G1</v>
      </c>
      <c r="J97" s="170">
        <v>44667</v>
      </c>
      <c r="K97" s="172">
        <v>44668</v>
      </c>
      <c r="L97" s="176">
        <v>0.86805555555555547</v>
      </c>
      <c r="M97" s="176">
        <v>0.89166666666666661</v>
      </c>
      <c r="N97" s="100"/>
      <c r="O97" s="101"/>
      <c r="P97" s="102"/>
      <c r="Q97" s="103"/>
      <c r="R97" s="104"/>
      <c r="S97" s="84"/>
      <c r="T97" s="84"/>
      <c r="U97" s="84"/>
      <c r="V97" s="84"/>
      <c r="W97" s="84"/>
      <c r="X97" s="84"/>
      <c r="Y97" s="84"/>
      <c r="Z97" s="84"/>
      <c r="AA97" s="84"/>
    </row>
    <row r="98" spans="2:27" s="62" customFormat="1" ht="25.9" customHeight="1">
      <c r="B98" s="53"/>
      <c r="C98" s="53"/>
      <c r="D98" s="53"/>
      <c r="E98" s="53"/>
      <c r="F98" s="53"/>
      <c r="G98" s="83">
        <v>89</v>
      </c>
      <c r="H98" s="83" t="s">
        <v>1470</v>
      </c>
      <c r="I98" s="83" t="str">
        <f>VLOOKUP(MP_cierre[[#This Row],[OT]],MP_registro[[#All],[OT]:[PROGRAMADO]],9,FALSE)</f>
        <v>G1</v>
      </c>
      <c r="J98" s="170">
        <v>44666</v>
      </c>
      <c r="K98" s="172">
        <v>44668</v>
      </c>
      <c r="L98" s="176">
        <v>0.84166666666666667</v>
      </c>
      <c r="M98" s="176">
        <v>0.85972222222222217</v>
      </c>
      <c r="N98" s="100"/>
      <c r="O98" s="101"/>
      <c r="P98" s="102"/>
      <c r="Q98" s="103"/>
      <c r="R98" s="104"/>
      <c r="S98" s="84"/>
      <c r="T98" s="84"/>
      <c r="U98" s="84"/>
      <c r="V98" s="84"/>
      <c r="W98" s="84"/>
      <c r="X98" s="84"/>
      <c r="Y98" s="84"/>
      <c r="Z98" s="84"/>
      <c r="AA98" s="84"/>
    </row>
    <row r="99" spans="2:27" s="62" customFormat="1" ht="25.9" customHeight="1">
      <c r="B99" s="53"/>
      <c r="C99" s="53"/>
      <c r="D99" s="53"/>
      <c r="E99" s="53"/>
      <c r="F99" s="53"/>
      <c r="G99" s="83">
        <v>90</v>
      </c>
      <c r="H99" s="83" t="s">
        <v>1471</v>
      </c>
      <c r="I99" s="83" t="str">
        <f>VLOOKUP(MP_cierre[[#This Row],[OT]],MP_registro[[#All],[OT]:[PROGRAMADO]],9,FALSE)</f>
        <v>G1</v>
      </c>
      <c r="J99" s="170">
        <v>44667</v>
      </c>
      <c r="K99" s="172">
        <v>44669</v>
      </c>
      <c r="L99" s="176">
        <v>0.88750000000000007</v>
      </c>
      <c r="M99" s="176">
        <v>0.91249999999999998</v>
      </c>
      <c r="N99" s="100"/>
      <c r="O99" s="101"/>
      <c r="P99" s="102"/>
      <c r="Q99" s="103"/>
      <c r="R99" s="104"/>
      <c r="S99" s="84"/>
      <c r="T99" s="84"/>
      <c r="U99" s="84"/>
      <c r="V99" s="84"/>
      <c r="W99" s="84"/>
      <c r="X99" s="84"/>
      <c r="Y99" s="84"/>
      <c r="Z99" s="84"/>
      <c r="AA99" s="84"/>
    </row>
    <row r="100" spans="2:27" s="62" customFormat="1" ht="25.9" customHeight="1">
      <c r="B100" s="53"/>
      <c r="C100" s="53"/>
      <c r="D100" s="53"/>
      <c r="E100" s="53"/>
      <c r="F100" s="53"/>
      <c r="G100" s="83">
        <v>91</v>
      </c>
      <c r="H100" s="83" t="s">
        <v>1472</v>
      </c>
      <c r="I100" s="83" t="str">
        <f>VLOOKUP(MP_cierre[[#This Row],[OT]],MP_registro[[#All],[OT]:[PROGRAMADO]],9,FALSE)</f>
        <v>G1</v>
      </c>
      <c r="J100" s="170">
        <v>44666</v>
      </c>
      <c r="K100" s="172">
        <v>44668</v>
      </c>
      <c r="L100" s="176">
        <v>0.90833333333333333</v>
      </c>
      <c r="M100" s="176">
        <v>0.93055555555555547</v>
      </c>
      <c r="N100" s="100"/>
      <c r="O100" s="101"/>
      <c r="P100" s="102"/>
      <c r="Q100" s="103"/>
      <c r="R100" s="104"/>
      <c r="S100" s="84"/>
      <c r="T100" s="84"/>
      <c r="U100" s="84"/>
      <c r="V100" s="84"/>
      <c r="W100" s="84"/>
      <c r="X100" s="84"/>
      <c r="Y100" s="84"/>
      <c r="Z100" s="84"/>
      <c r="AA100" s="84"/>
    </row>
    <row r="101" spans="2:27" s="62" customFormat="1" ht="25.9" customHeight="1">
      <c r="B101" s="53"/>
      <c r="C101" s="53"/>
      <c r="D101" s="53"/>
      <c r="E101" s="53"/>
      <c r="F101" s="53"/>
      <c r="G101" s="83">
        <v>92</v>
      </c>
      <c r="H101" s="83" t="s">
        <v>1473</v>
      </c>
      <c r="I101" s="83" t="str">
        <f>VLOOKUP(MP_cierre[[#This Row],[OT]],MP_registro[[#All],[OT]:[PROGRAMADO]],9,FALSE)</f>
        <v>G2</v>
      </c>
      <c r="J101" s="170">
        <v>44667</v>
      </c>
      <c r="K101" s="172">
        <v>44667</v>
      </c>
      <c r="L101" s="176">
        <v>0.42708333333333331</v>
      </c>
      <c r="M101" s="176">
        <v>0.44097222222222227</v>
      </c>
      <c r="N101" s="100"/>
      <c r="O101" s="101"/>
      <c r="P101" s="102"/>
      <c r="Q101" s="103"/>
      <c r="R101" s="104"/>
      <c r="S101" s="84"/>
      <c r="T101" s="84"/>
      <c r="U101" s="84"/>
      <c r="V101" s="84"/>
      <c r="W101" s="84"/>
      <c r="X101" s="84"/>
      <c r="Y101" s="84"/>
      <c r="Z101" s="84"/>
      <c r="AA101" s="84"/>
    </row>
    <row r="102" spans="2:27" s="62" customFormat="1" ht="25.9" customHeight="1">
      <c r="B102" s="53"/>
      <c r="C102" s="53"/>
      <c r="D102" s="53"/>
      <c r="E102" s="53"/>
      <c r="F102" s="53"/>
      <c r="G102" s="83">
        <v>93</v>
      </c>
      <c r="H102" s="83" t="s">
        <v>1474</v>
      </c>
      <c r="I102" s="83" t="str">
        <f>VLOOKUP(MP_cierre[[#This Row],[OT]],MP_registro[[#All],[OT]:[PROGRAMADO]],9,FALSE)</f>
        <v>G2</v>
      </c>
      <c r="J102" s="170">
        <v>44666</v>
      </c>
      <c r="K102" s="172">
        <v>44667</v>
      </c>
      <c r="L102" s="176">
        <v>0.45833333333333331</v>
      </c>
      <c r="M102" s="176">
        <v>0.5</v>
      </c>
      <c r="N102" s="100"/>
      <c r="O102" s="101"/>
      <c r="P102" s="102"/>
      <c r="Q102" s="103"/>
      <c r="R102" s="104"/>
      <c r="S102" s="84"/>
      <c r="T102" s="84"/>
      <c r="U102" s="84"/>
      <c r="V102" s="84"/>
      <c r="W102" s="84"/>
      <c r="X102" s="84"/>
      <c r="Y102" s="84"/>
      <c r="Z102" s="84"/>
      <c r="AA102" s="84"/>
    </row>
    <row r="103" spans="2:27" s="62" customFormat="1" ht="25.9" customHeight="1">
      <c r="B103" s="53"/>
      <c r="C103" s="53"/>
      <c r="D103" s="53"/>
      <c r="E103" s="53"/>
      <c r="F103" s="53"/>
      <c r="G103" s="83">
        <v>94</v>
      </c>
      <c r="H103" s="83" t="s">
        <v>1475</v>
      </c>
      <c r="I103" s="83" t="str">
        <f>VLOOKUP(MP_cierre[[#This Row],[OT]],MP_registro[[#All],[OT]:[PROGRAMADO]],9,FALSE)</f>
        <v>G2</v>
      </c>
      <c r="J103" s="170">
        <v>44668</v>
      </c>
      <c r="K103" s="172">
        <v>44669</v>
      </c>
      <c r="L103" s="176">
        <v>0.45833333333333331</v>
      </c>
      <c r="M103" s="176">
        <v>0.47916666666666669</v>
      </c>
      <c r="N103" s="100"/>
      <c r="O103" s="101"/>
      <c r="P103" s="102"/>
      <c r="Q103" s="103"/>
      <c r="R103" s="104"/>
      <c r="S103" s="84"/>
      <c r="T103" s="84"/>
      <c r="U103" s="84"/>
      <c r="V103" s="84"/>
      <c r="W103" s="84"/>
      <c r="X103" s="84"/>
      <c r="Y103" s="84"/>
      <c r="Z103" s="84"/>
      <c r="AA103" s="84"/>
    </row>
    <row r="104" spans="2:27" s="62" customFormat="1" ht="25.9" customHeight="1">
      <c r="B104" s="53"/>
      <c r="C104" s="85"/>
      <c r="D104" s="53"/>
      <c r="E104" s="53"/>
      <c r="F104" s="84"/>
      <c r="G104" s="83">
        <v>95</v>
      </c>
      <c r="H104" s="83" t="s">
        <v>1476</v>
      </c>
      <c r="I104" s="83" t="str">
        <f>VLOOKUP(MP_cierre[[#This Row],[OT]],MP_registro[[#All],[OT]:[PROGRAMADO]],9,FALSE)</f>
        <v>G2</v>
      </c>
      <c r="J104" s="170">
        <v>44663</v>
      </c>
      <c r="K104" s="175">
        <v>44665</v>
      </c>
      <c r="L104" s="176">
        <v>0.375</v>
      </c>
      <c r="M104" s="176">
        <v>0.41666666666666669</v>
      </c>
      <c r="N104" s="84"/>
      <c r="O104" s="84"/>
      <c r="P104" s="84"/>
      <c r="Q104" s="53"/>
      <c r="R104" s="53"/>
      <c r="S104" s="53"/>
      <c r="T104" s="93"/>
      <c r="U104" s="126"/>
      <c r="V104" s="93"/>
      <c r="W104" s="93"/>
      <c r="X104" s="95"/>
      <c r="Y104" s="53"/>
      <c r="Z104" s="54"/>
      <c r="AA104" s="97"/>
    </row>
    <row r="105" spans="2:27" s="62" customFormat="1" ht="25.9" customHeight="1">
      <c r="B105" s="53"/>
      <c r="C105" s="85"/>
      <c r="D105" s="53"/>
      <c r="E105" s="53"/>
      <c r="F105" s="84"/>
      <c r="G105" s="83">
        <v>96</v>
      </c>
      <c r="H105" s="83" t="s">
        <v>1477</v>
      </c>
      <c r="I105" s="83" t="str">
        <f>VLOOKUP(MP_cierre[[#This Row],[OT]],MP_registro[[#All],[OT]:[PROGRAMADO]],9,FALSE)</f>
        <v>G2</v>
      </c>
      <c r="J105" s="170">
        <v>44662</v>
      </c>
      <c r="K105" s="175">
        <v>44666</v>
      </c>
      <c r="L105" s="176">
        <v>0.41666666666666669</v>
      </c>
      <c r="M105" s="176">
        <v>0.45833333333333331</v>
      </c>
      <c r="N105" s="84"/>
      <c r="O105" s="84"/>
      <c r="P105" s="84"/>
      <c r="Q105" s="53"/>
      <c r="R105" s="53"/>
      <c r="S105" s="53"/>
      <c r="T105" s="93"/>
      <c r="U105" s="126"/>
      <c r="V105" s="93"/>
      <c r="W105" s="93"/>
      <c r="X105" s="95"/>
      <c r="Y105" s="53"/>
      <c r="Z105" s="54"/>
      <c r="AA105" s="97"/>
    </row>
    <row r="106" spans="2:27" s="62" customFormat="1" ht="25.9" customHeight="1">
      <c r="B106" s="53"/>
      <c r="C106" s="85"/>
      <c r="D106" s="53"/>
      <c r="E106" s="53"/>
      <c r="F106" s="84"/>
      <c r="G106" s="83">
        <v>97</v>
      </c>
      <c r="H106" s="83" t="s">
        <v>1478</v>
      </c>
      <c r="I106" s="83" t="str">
        <f>VLOOKUP(MP_cierre[[#This Row],[OT]],MP_registro[[#All],[OT]:[PROGRAMADO]],9,FALSE)</f>
        <v>G2</v>
      </c>
      <c r="J106" s="170">
        <v>44662</v>
      </c>
      <c r="K106" s="175">
        <v>44665</v>
      </c>
      <c r="L106" s="176">
        <v>0.33333333333333331</v>
      </c>
      <c r="M106" s="176">
        <v>0.375</v>
      </c>
      <c r="N106" s="84"/>
      <c r="O106" s="84"/>
      <c r="P106" s="84"/>
      <c r="Q106" s="53"/>
      <c r="R106" s="53"/>
      <c r="S106" s="53"/>
      <c r="T106" s="93"/>
      <c r="U106" s="126"/>
      <c r="V106" s="93"/>
      <c r="W106" s="93"/>
      <c r="X106" s="95"/>
      <c r="Y106" s="53"/>
      <c r="Z106" s="54"/>
      <c r="AA106" s="97"/>
    </row>
    <row r="107" spans="2:27" s="62" customFormat="1" ht="25.9" customHeight="1">
      <c r="B107" s="53"/>
      <c r="C107" s="85"/>
      <c r="D107" s="53"/>
      <c r="E107" s="53"/>
      <c r="F107" s="84"/>
      <c r="G107" s="83">
        <v>98</v>
      </c>
      <c r="H107" s="83" t="s">
        <v>1479</v>
      </c>
      <c r="I107" s="83" t="str">
        <f>VLOOKUP(MP_cierre[[#This Row],[OT]],MP_registro[[#All],[OT]:[PROGRAMADO]],9,FALSE)</f>
        <v>G3</v>
      </c>
      <c r="J107" s="170">
        <v>44662</v>
      </c>
      <c r="K107" s="175">
        <v>44662</v>
      </c>
      <c r="L107" s="176">
        <v>0.91041666666666676</v>
      </c>
      <c r="M107" s="176">
        <v>0.93611111111111101</v>
      </c>
      <c r="N107" s="84"/>
      <c r="O107" s="84"/>
      <c r="P107" s="84"/>
      <c r="Q107" s="53"/>
      <c r="R107" s="53"/>
      <c r="S107" s="53"/>
      <c r="T107" s="93"/>
      <c r="U107" s="126"/>
      <c r="V107" s="93"/>
      <c r="W107" s="93"/>
      <c r="X107" s="95"/>
      <c r="Y107" s="53"/>
      <c r="Z107" s="54"/>
      <c r="AA107" s="97"/>
    </row>
    <row r="108" spans="2:27" s="62" customFormat="1" ht="25.9" customHeight="1">
      <c r="B108" s="53"/>
      <c r="C108" s="85"/>
      <c r="D108" s="53"/>
      <c r="E108" s="53"/>
      <c r="F108" s="84"/>
      <c r="G108" s="83">
        <v>99</v>
      </c>
      <c r="H108" s="83" t="s">
        <v>1480</v>
      </c>
      <c r="I108" s="83" t="str">
        <f>VLOOKUP(MP_cierre[[#This Row],[OT]],MP_registro[[#All],[OT]:[PROGRAMADO]],9,FALSE)</f>
        <v>G3</v>
      </c>
      <c r="J108" s="170">
        <v>44662</v>
      </c>
      <c r="K108" s="175">
        <v>44663</v>
      </c>
      <c r="L108" s="176">
        <v>0.93888888888888899</v>
      </c>
      <c r="M108" s="176">
        <v>0.96458333333333324</v>
      </c>
      <c r="N108" s="84"/>
      <c r="O108" s="84"/>
      <c r="P108" s="84"/>
      <c r="Q108" s="53"/>
      <c r="R108" s="53"/>
      <c r="S108" s="53"/>
      <c r="T108" s="93"/>
      <c r="U108" s="93"/>
      <c r="V108" s="93"/>
      <c r="W108" s="93"/>
      <c r="X108" s="95"/>
      <c r="Y108" s="53"/>
      <c r="Z108" s="53"/>
      <c r="AA108" s="97"/>
    </row>
    <row r="109" spans="2:27" s="62" customFormat="1" ht="25.9" customHeight="1">
      <c r="B109" s="53"/>
      <c r="C109" s="85"/>
      <c r="D109" s="53"/>
      <c r="E109" s="53"/>
      <c r="F109" s="84"/>
      <c r="G109" s="83">
        <v>100</v>
      </c>
      <c r="H109" s="83" t="s">
        <v>1481</v>
      </c>
      <c r="I109" s="83" t="str">
        <f>VLOOKUP(MP_cierre[[#This Row],[OT]],MP_registro[[#All],[OT]:[PROGRAMADO]],9,FALSE)</f>
        <v>G3</v>
      </c>
      <c r="J109" s="170">
        <v>44662</v>
      </c>
      <c r="K109" s="175">
        <v>44662</v>
      </c>
      <c r="L109" s="176">
        <v>0.96944444444444444</v>
      </c>
      <c r="M109" s="176">
        <v>0.99583333333333324</v>
      </c>
      <c r="N109" s="84"/>
      <c r="O109" s="84"/>
      <c r="P109" s="84"/>
      <c r="Q109" s="53"/>
      <c r="R109" s="53"/>
      <c r="S109" s="53"/>
      <c r="T109" s="93"/>
      <c r="U109" s="126"/>
      <c r="V109" s="93"/>
      <c r="W109" s="93"/>
      <c r="X109" s="95"/>
      <c r="Y109" s="53"/>
      <c r="Z109" s="54"/>
      <c r="AA109" s="97"/>
    </row>
    <row r="110" spans="2:27" s="62" customFormat="1" ht="25.9" customHeight="1">
      <c r="B110" s="53"/>
      <c r="C110" s="85"/>
      <c r="D110" s="53"/>
      <c r="E110" s="53"/>
      <c r="F110" s="84"/>
      <c r="G110" s="83">
        <v>101</v>
      </c>
      <c r="H110" s="83" t="s">
        <v>1482</v>
      </c>
      <c r="I110" s="83" t="str">
        <f>VLOOKUP(MP_cierre[[#This Row],[OT]],MP_registro[[#All],[OT]:[PROGRAMADO]],9,FALSE)</f>
        <v>G3</v>
      </c>
      <c r="J110" s="170">
        <v>44662</v>
      </c>
      <c r="K110" s="175">
        <v>44662</v>
      </c>
      <c r="L110" s="176">
        <v>1.0090277777777776</v>
      </c>
      <c r="M110" s="176">
        <v>3.5416666666666666E-2</v>
      </c>
      <c r="N110" s="84"/>
      <c r="O110" s="84"/>
      <c r="P110" s="84"/>
      <c r="Q110" s="53"/>
      <c r="R110" s="53"/>
      <c r="S110" s="53"/>
      <c r="T110" s="93"/>
      <c r="U110" s="93"/>
      <c r="V110" s="93"/>
      <c r="W110" s="93"/>
      <c r="X110" s="95"/>
      <c r="Y110" s="53"/>
      <c r="Z110" s="54"/>
      <c r="AA110" s="97"/>
    </row>
    <row r="111" spans="2:27" s="62" customFormat="1" ht="25.9" customHeight="1">
      <c r="B111" s="53"/>
      <c r="C111" s="85"/>
      <c r="D111" s="53"/>
      <c r="E111" s="53"/>
      <c r="F111" s="53"/>
      <c r="G111" s="83">
        <v>102</v>
      </c>
      <c r="H111" s="83" t="s">
        <v>1483</v>
      </c>
      <c r="I111" s="83" t="str">
        <f>VLOOKUP(MP_cierre[[#This Row],[OT]],MP_registro[[#All],[OT]:[PROGRAMADO]],9,FALSE)</f>
        <v>G3</v>
      </c>
      <c r="J111" s="170">
        <v>44663</v>
      </c>
      <c r="K111" s="175">
        <v>44663</v>
      </c>
      <c r="L111" s="176">
        <v>0.90208333333333324</v>
      </c>
      <c r="M111" s="176">
        <v>0.92847222222222225</v>
      </c>
      <c r="N111" s="53"/>
      <c r="O111" s="53"/>
      <c r="P111" s="53"/>
      <c r="Q111" s="53"/>
      <c r="R111" s="53"/>
      <c r="S111" s="53"/>
      <c r="T111" s="93"/>
      <c r="U111" s="126"/>
      <c r="V111" s="93"/>
      <c r="W111" s="93"/>
      <c r="X111" s="95"/>
      <c r="Y111" s="53"/>
      <c r="Z111" s="54"/>
      <c r="AA111" s="97"/>
    </row>
    <row r="112" spans="2:27" s="62" customFormat="1" ht="25.9" customHeight="1">
      <c r="B112" s="53"/>
      <c r="C112" s="85"/>
      <c r="D112" s="53"/>
      <c r="E112" s="53"/>
      <c r="F112" s="53"/>
      <c r="G112" s="83">
        <v>103</v>
      </c>
      <c r="H112" s="83" t="s">
        <v>1484</v>
      </c>
      <c r="I112" s="83" t="str">
        <f>VLOOKUP(MP_cierre[[#This Row],[OT]],MP_registro[[#All],[OT]:[PROGRAMADO]],9,FALSE)</f>
        <v>G3</v>
      </c>
      <c r="J112" s="170">
        <v>44666</v>
      </c>
      <c r="K112" s="175">
        <v>44669</v>
      </c>
      <c r="L112" s="176">
        <v>0.91875000000000007</v>
      </c>
      <c r="M112" s="176">
        <v>0.94444444444444453</v>
      </c>
      <c r="N112" s="53"/>
      <c r="O112" s="53"/>
      <c r="P112" s="53"/>
      <c r="Q112" s="53"/>
      <c r="R112" s="53"/>
      <c r="S112" s="53"/>
      <c r="T112" s="93"/>
      <c r="U112" s="126"/>
      <c r="V112" s="93"/>
      <c r="W112" s="93"/>
      <c r="X112" s="95"/>
      <c r="Y112" s="53"/>
      <c r="Z112" s="54"/>
      <c r="AA112" s="97"/>
    </row>
    <row r="113" spans="2:27" s="62" customFormat="1" ht="25.9" customHeight="1">
      <c r="B113" s="53"/>
      <c r="C113" s="85"/>
      <c r="D113" s="53"/>
      <c r="E113" s="53"/>
      <c r="F113" s="53"/>
      <c r="G113" s="83">
        <v>104</v>
      </c>
      <c r="H113" s="83" t="s">
        <v>1485</v>
      </c>
      <c r="I113" s="83" t="str">
        <f>VLOOKUP(MP_cierre[[#This Row],[OT]],MP_registro[[#All],[OT]:[PROGRAMADO]],9,FALSE)</f>
        <v>G1</v>
      </c>
      <c r="J113" s="170">
        <v>44692</v>
      </c>
      <c r="K113" s="175">
        <v>44700</v>
      </c>
      <c r="L113" s="176">
        <v>0.48055555555555557</v>
      </c>
      <c r="M113" s="176">
        <v>0.50972222222222219</v>
      </c>
      <c r="N113" s="53"/>
      <c r="O113" s="53"/>
      <c r="P113" s="53"/>
      <c r="Q113" s="53"/>
      <c r="R113" s="53"/>
      <c r="S113" s="53"/>
      <c r="T113" s="93"/>
      <c r="U113" s="126"/>
      <c r="V113" s="93"/>
      <c r="W113" s="93"/>
      <c r="X113" s="95"/>
      <c r="Y113" s="53"/>
      <c r="Z113" s="54"/>
      <c r="AA113" s="97"/>
    </row>
    <row r="114" spans="2:27" s="62" customFormat="1" ht="25.9" customHeight="1">
      <c r="B114" s="53"/>
      <c r="C114" s="85"/>
      <c r="D114" s="53"/>
      <c r="E114" s="53"/>
      <c r="F114" s="53"/>
      <c r="G114" s="83">
        <v>105</v>
      </c>
      <c r="H114" s="83" t="s">
        <v>1486</v>
      </c>
      <c r="I114" s="83" t="str">
        <f>VLOOKUP(MP_cierre[[#This Row],[OT]],MP_registro[[#All],[OT]:[PROGRAMADO]],9,FALSE)</f>
        <v>G3</v>
      </c>
      <c r="J114" s="170">
        <v>44688</v>
      </c>
      <c r="K114" s="175">
        <v>44695</v>
      </c>
      <c r="L114" s="176">
        <v>0.69791666666666663</v>
      </c>
      <c r="M114" s="176">
        <v>0.72430555555555554</v>
      </c>
      <c r="N114" s="13"/>
      <c r="O114" s="53"/>
      <c r="P114" s="53"/>
      <c r="Q114" s="53"/>
      <c r="R114" s="53"/>
      <c r="S114" s="53"/>
      <c r="T114" s="93"/>
      <c r="U114" s="126"/>
      <c r="V114" s="93"/>
      <c r="W114" s="93"/>
      <c r="X114" s="95"/>
      <c r="Y114" s="53"/>
      <c r="Z114" s="54"/>
      <c r="AA114" s="97"/>
    </row>
    <row r="115" spans="2:27" s="62" customFormat="1" ht="25.9" customHeight="1">
      <c r="B115" s="53"/>
      <c r="C115" s="86"/>
      <c r="D115" s="53"/>
      <c r="E115" s="53"/>
      <c r="F115" s="53"/>
      <c r="G115" s="83">
        <v>106</v>
      </c>
      <c r="H115" s="83" t="s">
        <v>1487</v>
      </c>
      <c r="I115" s="83" t="str">
        <f>VLOOKUP(MP_cierre[[#This Row],[OT]],MP_registro[[#All],[OT]:[PROGRAMADO]],9,FALSE)</f>
        <v>G1</v>
      </c>
      <c r="J115" s="170">
        <v>44686</v>
      </c>
      <c r="K115" s="175">
        <v>44690</v>
      </c>
      <c r="L115" s="176">
        <v>8.3333333333333329E-2</v>
      </c>
      <c r="M115" s="176">
        <v>0.12152777777777778</v>
      </c>
      <c r="N115" s="12"/>
      <c r="O115" s="53"/>
      <c r="P115" s="53"/>
      <c r="Q115" s="53"/>
      <c r="R115" s="53"/>
      <c r="S115" s="53"/>
      <c r="T115" s="93"/>
      <c r="U115" s="126"/>
      <c r="V115" s="93"/>
      <c r="W115" s="93"/>
      <c r="X115" s="95"/>
      <c r="Y115" s="53"/>
      <c r="Z115" s="54"/>
      <c r="AA115" s="97"/>
    </row>
    <row r="116" spans="2:27" s="62" customFormat="1" ht="25.9" customHeight="1">
      <c r="B116" s="87"/>
      <c r="C116" s="86"/>
      <c r="D116" s="53"/>
      <c r="E116" s="53"/>
      <c r="F116" s="87"/>
      <c r="G116" s="83">
        <v>107</v>
      </c>
      <c r="H116" s="83" t="s">
        <v>1488</v>
      </c>
      <c r="I116" s="83" t="str">
        <f>VLOOKUP(MP_cierre[[#This Row],[OT]],MP_registro[[#All],[OT]:[PROGRAMADO]],9,FALSE)</f>
        <v>G3</v>
      </c>
      <c r="J116" s="170">
        <v>44687</v>
      </c>
      <c r="K116" s="175">
        <v>44696</v>
      </c>
      <c r="L116" s="176">
        <v>0.41666666666666669</v>
      </c>
      <c r="M116" s="176">
        <v>0.44097222222222227</v>
      </c>
      <c r="N116" s="87"/>
      <c r="O116" s="87"/>
      <c r="P116" s="53"/>
      <c r="Q116" s="87"/>
      <c r="R116" s="53"/>
      <c r="S116" s="87"/>
      <c r="T116" s="128"/>
      <c r="U116" s="128"/>
      <c r="V116" s="128"/>
      <c r="W116" s="128"/>
      <c r="X116" s="129"/>
      <c r="Y116" s="87"/>
      <c r="Z116" s="87"/>
      <c r="AA116" s="130"/>
    </row>
    <row r="117" spans="2:27" s="62" customFormat="1" ht="25.9" customHeight="1">
      <c r="B117" s="53"/>
      <c r="C117" s="86"/>
      <c r="D117" s="53"/>
      <c r="E117" s="53"/>
      <c r="F117" s="53"/>
      <c r="G117" s="83">
        <v>108</v>
      </c>
      <c r="H117" s="83" t="s">
        <v>1489</v>
      </c>
      <c r="I117" s="83" t="str">
        <f>VLOOKUP(MP_cierre[[#This Row],[OT]],MP_registro[[#All],[OT]:[PROGRAMADO]],9,FALSE)</f>
        <v>G1</v>
      </c>
      <c r="J117" s="170">
        <v>44691</v>
      </c>
      <c r="K117" s="175">
        <v>44692</v>
      </c>
      <c r="L117" s="176">
        <v>0.90138888888888891</v>
      </c>
      <c r="M117" s="176">
        <v>0.44166666666666665</v>
      </c>
      <c r="N117" s="53"/>
      <c r="O117" s="53"/>
      <c r="P117" s="53"/>
      <c r="Q117" s="53"/>
      <c r="R117" s="53"/>
      <c r="S117" s="53"/>
      <c r="T117" s="93"/>
      <c r="U117" s="93"/>
      <c r="V117" s="93"/>
      <c r="W117" s="93"/>
      <c r="X117" s="95"/>
      <c r="Y117" s="53"/>
      <c r="Z117" s="53"/>
      <c r="AA117" s="97"/>
    </row>
    <row r="118" spans="2:27" s="62" customFormat="1" ht="25.9" customHeight="1">
      <c r="B118" s="53"/>
      <c r="C118" s="86"/>
      <c r="D118" s="53"/>
      <c r="E118" s="53"/>
      <c r="F118" s="53"/>
      <c r="G118" s="83">
        <v>109</v>
      </c>
      <c r="H118" s="83" t="s">
        <v>1490</v>
      </c>
      <c r="I118" s="83" t="str">
        <f>VLOOKUP(MP_cierre[[#This Row],[OT]],MP_registro[[#All],[OT]:[PROGRAMADO]],9,FALSE)</f>
        <v>G3</v>
      </c>
      <c r="J118" s="170">
        <v>44686</v>
      </c>
      <c r="K118" s="175">
        <v>44694</v>
      </c>
      <c r="L118" s="176">
        <v>0.69444444444444453</v>
      </c>
      <c r="M118" s="176">
        <v>0.71527777777777779</v>
      </c>
      <c r="N118" s="53"/>
      <c r="O118" s="53"/>
      <c r="P118" s="53"/>
      <c r="Q118" s="53"/>
      <c r="R118" s="53"/>
      <c r="S118" s="53"/>
      <c r="T118" s="93"/>
      <c r="U118" s="93"/>
      <c r="V118" s="93"/>
      <c r="W118" s="93"/>
      <c r="X118" s="95"/>
      <c r="Y118" s="53"/>
      <c r="Z118" s="53"/>
      <c r="AA118" s="97"/>
    </row>
    <row r="119" spans="2:27" s="62" customFormat="1" ht="25.9" customHeight="1">
      <c r="B119" s="53"/>
      <c r="C119" s="86"/>
      <c r="D119" s="53"/>
      <c r="E119" s="53"/>
      <c r="F119" s="53"/>
      <c r="G119" s="83">
        <v>110</v>
      </c>
      <c r="H119" s="83" t="s">
        <v>1491</v>
      </c>
      <c r="I119" s="83" t="str">
        <f>VLOOKUP(MP_cierre[[#This Row],[OT]],MP_registro[[#All],[OT]:[PROGRAMADO]],9,FALSE)</f>
        <v>G1</v>
      </c>
      <c r="J119" s="170">
        <v>44690</v>
      </c>
      <c r="K119" s="175">
        <v>44691</v>
      </c>
      <c r="L119" s="176">
        <v>0.125</v>
      </c>
      <c r="M119" s="176">
        <v>0.16111111111111112</v>
      </c>
      <c r="N119" s="13"/>
      <c r="O119" s="53"/>
      <c r="P119" s="53"/>
      <c r="Q119" s="53"/>
      <c r="R119" s="53"/>
      <c r="S119" s="53"/>
      <c r="T119" s="93"/>
      <c r="U119" s="126"/>
      <c r="V119" s="93"/>
      <c r="W119" s="93"/>
      <c r="X119" s="95"/>
      <c r="Y119" s="53"/>
      <c r="Z119" s="54"/>
      <c r="AA119" s="97"/>
    </row>
    <row r="120" spans="2:27" s="62" customFormat="1" ht="25.9" customHeight="1">
      <c r="B120" s="53"/>
      <c r="C120" s="86"/>
      <c r="D120" s="53"/>
      <c r="E120" s="53"/>
      <c r="F120" s="53"/>
      <c r="G120" s="83">
        <v>111</v>
      </c>
      <c r="H120" s="83" t="s">
        <v>1492</v>
      </c>
      <c r="I120" s="83" t="str">
        <f>VLOOKUP(MP_cierre[[#This Row],[OT]],MP_registro[[#All],[OT]:[PROGRAMADO]],9,FALSE)</f>
        <v>G3</v>
      </c>
      <c r="J120" s="170">
        <v>44687</v>
      </c>
      <c r="K120" s="175">
        <v>44694</v>
      </c>
      <c r="L120" s="176">
        <v>0.72569444444444453</v>
      </c>
      <c r="M120" s="176">
        <v>0.74305555555555547</v>
      </c>
      <c r="N120" s="53"/>
      <c r="O120" s="53"/>
      <c r="P120" s="53"/>
      <c r="Q120" s="53"/>
      <c r="R120" s="53"/>
      <c r="S120" s="53"/>
      <c r="T120" s="93"/>
      <c r="U120" s="93"/>
      <c r="V120" s="93"/>
      <c r="W120" s="93"/>
      <c r="X120" s="95"/>
      <c r="Y120" s="53"/>
      <c r="Z120" s="53"/>
      <c r="AA120" s="97"/>
    </row>
    <row r="121" spans="2:27" s="62" customFormat="1" ht="25.9" customHeight="1">
      <c r="B121" s="53"/>
      <c r="C121" s="86"/>
      <c r="D121" s="53"/>
      <c r="E121" s="53"/>
      <c r="F121" s="53"/>
      <c r="G121" s="83">
        <v>112</v>
      </c>
      <c r="H121" s="83" t="s">
        <v>1493</v>
      </c>
      <c r="I121" s="83" t="str">
        <f>VLOOKUP(MP_cierre[[#This Row],[OT]],MP_registro[[#All],[OT]:[PROGRAMADO]],9,FALSE)</f>
        <v>G1</v>
      </c>
      <c r="J121" s="170">
        <v>44689</v>
      </c>
      <c r="K121" s="175">
        <v>44690</v>
      </c>
      <c r="L121" s="176">
        <v>0.97222222222222221</v>
      </c>
      <c r="M121" s="176">
        <v>24</v>
      </c>
      <c r="N121" s="53"/>
      <c r="O121" s="53"/>
      <c r="P121" s="53"/>
      <c r="Q121" s="53"/>
      <c r="R121" s="53"/>
      <c r="S121" s="53"/>
      <c r="T121" s="93"/>
      <c r="U121" s="93"/>
      <c r="V121" s="93"/>
      <c r="W121" s="93"/>
      <c r="X121" s="95"/>
      <c r="Y121" s="53"/>
      <c r="Z121" s="53"/>
      <c r="AA121" s="97"/>
    </row>
    <row r="122" spans="2:27" s="62" customFormat="1" ht="25.9" customHeight="1">
      <c r="B122" s="53"/>
      <c r="C122" s="86"/>
      <c r="D122" s="53"/>
      <c r="E122" s="53"/>
      <c r="F122" s="53"/>
      <c r="G122" s="83">
        <v>113</v>
      </c>
      <c r="H122" s="83" t="s">
        <v>1494</v>
      </c>
      <c r="I122" s="83" t="str">
        <f>VLOOKUP(MP_cierre[[#This Row],[OT]],MP_registro[[#All],[OT]:[PROGRAMADO]],9,FALSE)</f>
        <v>G3</v>
      </c>
      <c r="J122" s="170">
        <v>44691</v>
      </c>
      <c r="K122" s="175">
        <v>44693</v>
      </c>
      <c r="L122" s="176">
        <v>0.45833333333333331</v>
      </c>
      <c r="M122" s="176">
        <v>0.4770833333333333</v>
      </c>
      <c r="N122" s="53"/>
      <c r="O122" s="53"/>
      <c r="P122" s="53"/>
      <c r="Q122" s="53"/>
      <c r="R122" s="53"/>
      <c r="S122" s="53"/>
      <c r="T122" s="93"/>
      <c r="U122" s="93"/>
      <c r="V122" s="93"/>
      <c r="W122" s="93"/>
      <c r="X122" s="95"/>
      <c r="Y122" s="53"/>
      <c r="Z122" s="53"/>
      <c r="AA122" s="97"/>
    </row>
    <row r="123" spans="2:27" s="62" customFormat="1" ht="25.9" customHeight="1">
      <c r="B123" s="53"/>
      <c r="C123" s="86"/>
      <c r="D123" s="53"/>
      <c r="E123" s="53"/>
      <c r="F123" s="53"/>
      <c r="G123" s="83">
        <v>114</v>
      </c>
      <c r="H123" s="83" t="s">
        <v>1495</v>
      </c>
      <c r="I123" s="83" t="str">
        <f>VLOOKUP(MP_cierre[[#This Row],[OT]],MP_registro[[#All],[OT]:[PROGRAMADO]],9,FALSE)</f>
        <v>G2</v>
      </c>
      <c r="J123" s="170">
        <v>44696</v>
      </c>
      <c r="K123" s="175">
        <v>44695</v>
      </c>
      <c r="L123" s="176">
        <v>0.875</v>
      </c>
      <c r="M123" s="176">
        <v>0.90625</v>
      </c>
      <c r="N123" s="53"/>
      <c r="O123" s="53"/>
      <c r="P123" s="53"/>
      <c r="Q123" s="53"/>
      <c r="R123" s="53"/>
      <c r="S123" s="53"/>
      <c r="T123" s="93"/>
      <c r="U123" s="126"/>
      <c r="V123" s="93"/>
      <c r="W123" s="93"/>
      <c r="X123" s="95"/>
      <c r="Y123" s="53"/>
      <c r="Z123" s="54"/>
      <c r="AA123" s="97"/>
    </row>
    <row r="124" spans="2:27" s="62" customFormat="1" ht="25.9" customHeight="1">
      <c r="B124" s="53"/>
      <c r="C124" s="86"/>
      <c r="D124" s="53"/>
      <c r="E124" s="53"/>
      <c r="F124" s="53"/>
      <c r="G124" s="83">
        <v>115</v>
      </c>
      <c r="H124" s="83" t="s">
        <v>1496</v>
      </c>
      <c r="I124" s="83" t="str">
        <f>VLOOKUP(MP_cierre[[#This Row],[OT]],MP_registro[[#All],[OT]:[PROGRAMADO]],9,FALSE)</f>
        <v>G2</v>
      </c>
      <c r="J124" s="170">
        <v>44696</v>
      </c>
      <c r="K124" s="175">
        <v>44695</v>
      </c>
      <c r="L124" s="176">
        <v>0.90625</v>
      </c>
      <c r="M124" s="176">
        <v>0.9375</v>
      </c>
      <c r="N124" s="53"/>
      <c r="O124" s="53"/>
      <c r="P124" s="53"/>
      <c r="Q124" s="53"/>
      <c r="R124" s="53"/>
      <c r="S124" s="53"/>
      <c r="T124" s="93"/>
      <c r="U124" s="126"/>
      <c r="V124" s="93"/>
      <c r="W124" s="93"/>
      <c r="X124" s="95"/>
      <c r="Y124" s="53"/>
      <c r="Z124" s="54"/>
      <c r="AA124" s="97"/>
    </row>
    <row r="125" spans="2:27" s="62" customFormat="1" ht="25.9" customHeight="1">
      <c r="B125" s="53"/>
      <c r="C125" s="86"/>
      <c r="D125" s="53"/>
      <c r="E125" s="53"/>
      <c r="F125" s="53"/>
      <c r="G125" s="83">
        <v>116</v>
      </c>
      <c r="H125" s="83" t="s">
        <v>1497</v>
      </c>
      <c r="I125" s="83" t="str">
        <f>VLOOKUP(MP_cierre[[#This Row],[OT]],MP_registro[[#All],[OT]:[PROGRAMADO]],9,FALSE)</f>
        <v>G2</v>
      </c>
      <c r="J125" s="170">
        <v>44696</v>
      </c>
      <c r="K125" s="175">
        <v>44695</v>
      </c>
      <c r="L125" s="176">
        <v>0.9375</v>
      </c>
      <c r="M125" s="176">
        <v>0.96875</v>
      </c>
      <c r="N125" s="53"/>
      <c r="O125" s="53"/>
      <c r="P125" s="53"/>
      <c r="Q125" s="53"/>
      <c r="R125" s="53"/>
      <c r="S125" s="53"/>
      <c r="T125" s="93"/>
      <c r="U125" s="126"/>
      <c r="V125" s="93"/>
      <c r="W125" s="93"/>
      <c r="X125" s="95"/>
      <c r="Y125" s="53"/>
      <c r="Z125" s="54"/>
      <c r="AA125" s="97"/>
    </row>
    <row r="126" spans="2:27" s="62" customFormat="1" ht="25.9" customHeight="1">
      <c r="B126" s="53"/>
      <c r="C126" s="86"/>
      <c r="D126" s="53"/>
      <c r="E126" s="53"/>
      <c r="F126" s="53"/>
      <c r="G126" s="83">
        <v>117</v>
      </c>
      <c r="H126" s="83" t="s">
        <v>1498</v>
      </c>
      <c r="I126" s="83" t="str">
        <f>VLOOKUP(MP_cierre[[#This Row],[OT]],MP_registro[[#All],[OT]:[PROGRAMADO]],9,FALSE)</f>
        <v>G2</v>
      </c>
      <c r="J126" s="170">
        <v>44696</v>
      </c>
      <c r="K126" s="175">
        <v>44695</v>
      </c>
      <c r="L126" s="176">
        <v>0.96875</v>
      </c>
      <c r="M126" s="176">
        <v>24</v>
      </c>
      <c r="N126" s="53"/>
      <c r="O126" s="53"/>
      <c r="P126" s="53"/>
      <c r="Q126" s="53"/>
      <c r="R126" s="53"/>
      <c r="S126" s="53"/>
      <c r="T126" s="93"/>
      <c r="U126" s="126"/>
      <c r="V126" s="93"/>
      <c r="W126" s="93"/>
      <c r="X126" s="95"/>
      <c r="Y126" s="53"/>
      <c r="Z126" s="54"/>
      <c r="AA126" s="97"/>
    </row>
    <row r="127" spans="2:27" s="62" customFormat="1" ht="25.9" customHeight="1">
      <c r="B127" s="53"/>
      <c r="C127" s="86"/>
      <c r="D127" s="53"/>
      <c r="E127" s="53"/>
      <c r="F127" s="53"/>
      <c r="G127" s="83">
        <v>118</v>
      </c>
      <c r="H127" s="83" t="s">
        <v>1499</v>
      </c>
      <c r="I127" s="83" t="str">
        <f>VLOOKUP(MP_cierre[[#This Row],[OT]],MP_registro[[#All],[OT]:[PROGRAMADO]],9,FALSE)</f>
        <v>G2</v>
      </c>
      <c r="J127" s="170">
        <v>44696</v>
      </c>
      <c r="K127" s="175">
        <v>44696</v>
      </c>
      <c r="L127" s="176">
        <v>24</v>
      </c>
      <c r="M127" s="176">
        <v>3.125E-2</v>
      </c>
      <c r="N127" s="53"/>
      <c r="O127" s="53"/>
      <c r="P127" s="53"/>
      <c r="Q127" s="53"/>
      <c r="R127" s="53"/>
      <c r="S127" s="53"/>
      <c r="T127" s="93"/>
      <c r="U127" s="126"/>
      <c r="V127" s="93"/>
      <c r="W127" s="93"/>
      <c r="X127" s="95"/>
      <c r="Y127" s="53"/>
      <c r="Z127" s="54"/>
      <c r="AA127" s="97"/>
    </row>
    <row r="128" spans="2:27" s="62" customFormat="1" ht="25.9" customHeight="1">
      <c r="B128" s="53"/>
      <c r="C128" s="86"/>
      <c r="D128" s="53"/>
      <c r="E128" s="53"/>
      <c r="F128" s="53"/>
      <c r="G128" s="83">
        <v>119</v>
      </c>
      <c r="H128" s="83" t="s">
        <v>1500</v>
      </c>
      <c r="I128" s="83" t="str">
        <f>VLOOKUP(MP_cierre[[#This Row],[OT]],MP_registro[[#All],[OT]:[PROGRAMADO]],9,FALSE)</f>
        <v>G1</v>
      </c>
      <c r="J128" s="170">
        <v>44692</v>
      </c>
      <c r="K128" s="175">
        <v>44706</v>
      </c>
      <c r="L128" s="181">
        <v>0.58333333333333337</v>
      </c>
      <c r="M128" s="181">
        <v>0.61458333333333337</v>
      </c>
      <c r="N128" s="12"/>
      <c r="O128" s="53"/>
      <c r="P128" s="53"/>
      <c r="Q128" s="53"/>
      <c r="R128" s="53"/>
      <c r="S128" s="53"/>
      <c r="T128" s="93"/>
      <c r="U128" s="126"/>
      <c r="V128" s="93"/>
      <c r="W128" s="93"/>
      <c r="X128" s="95"/>
      <c r="Y128" s="53"/>
      <c r="Z128" s="54"/>
      <c r="AA128" s="97"/>
    </row>
    <row r="129" spans="2:27" s="62" customFormat="1" ht="25.9" customHeight="1">
      <c r="B129" s="53"/>
      <c r="C129" s="86"/>
      <c r="D129" s="53"/>
      <c r="E129" s="53"/>
      <c r="F129" s="53"/>
      <c r="G129" s="83">
        <v>120</v>
      </c>
      <c r="H129" s="83" t="s">
        <v>1501</v>
      </c>
      <c r="I129" s="83" t="str">
        <f>VLOOKUP(MP_cierre[[#This Row],[OT]],MP_registro[[#All],[OT]:[PROGRAMADO]],9,FALSE)</f>
        <v>G3</v>
      </c>
      <c r="J129" s="170">
        <v>44692</v>
      </c>
      <c r="K129" s="175">
        <v>44693</v>
      </c>
      <c r="L129" s="181">
        <v>0.375</v>
      </c>
      <c r="M129" s="181">
        <v>0.41666666666666669</v>
      </c>
      <c r="N129" s="53"/>
      <c r="O129" s="53"/>
      <c r="P129" s="53"/>
      <c r="Q129" s="53"/>
      <c r="R129" s="53"/>
      <c r="S129" s="53"/>
      <c r="T129" s="93"/>
      <c r="U129" s="93"/>
      <c r="V129" s="93"/>
      <c r="W129" s="93"/>
      <c r="X129" s="95"/>
      <c r="Y129" s="53"/>
      <c r="Z129" s="53"/>
      <c r="AA129" s="97"/>
    </row>
    <row r="130" spans="2:27" s="62" customFormat="1" ht="25.9" customHeight="1">
      <c r="B130" s="53"/>
      <c r="C130" s="86"/>
      <c r="D130" s="53"/>
      <c r="E130" s="53"/>
      <c r="F130" s="53"/>
      <c r="G130" s="83">
        <v>121</v>
      </c>
      <c r="H130" s="83" t="s">
        <v>1502</v>
      </c>
      <c r="I130" s="83" t="str">
        <f>VLOOKUP(MP_cierre[[#This Row],[OT]],MP_registro[[#All],[OT]:[PROGRAMADO]],9,FALSE)</f>
        <v>G1</v>
      </c>
      <c r="J130" s="170">
        <v>44690</v>
      </c>
      <c r="K130" s="175">
        <v>44691</v>
      </c>
      <c r="L130" s="181">
        <v>0.96527777777777779</v>
      </c>
      <c r="M130" s="181">
        <v>1.0166666666666666</v>
      </c>
      <c r="N130" s="53"/>
      <c r="O130" s="53"/>
      <c r="P130" s="53"/>
      <c r="Q130" s="53"/>
      <c r="R130" s="53"/>
      <c r="S130" s="53"/>
      <c r="T130" s="93"/>
      <c r="U130" s="126"/>
      <c r="V130" s="126"/>
      <c r="W130" s="93"/>
      <c r="X130" s="95"/>
      <c r="Y130" s="53"/>
      <c r="Z130" s="54"/>
      <c r="AA130" s="97"/>
    </row>
    <row r="131" spans="2:27" s="62" customFormat="1" ht="25.9" customHeight="1">
      <c r="B131" s="53"/>
      <c r="C131" s="86"/>
      <c r="D131" s="53"/>
      <c r="E131" s="53"/>
      <c r="F131" s="53"/>
      <c r="G131" s="83">
        <v>122</v>
      </c>
      <c r="H131" s="83" t="s">
        <v>1503</v>
      </c>
      <c r="I131" s="83" t="str">
        <f>VLOOKUP(MP_cierre[[#This Row],[OT]],MP_registro[[#All],[OT]:[PROGRAMADO]],9,FALSE)</f>
        <v>G4</v>
      </c>
      <c r="J131" s="170">
        <v>44688</v>
      </c>
      <c r="K131" s="175">
        <v>44689</v>
      </c>
      <c r="L131" s="181">
        <v>0.33333333333333331</v>
      </c>
      <c r="M131" s="181">
        <v>0.41666666666666669</v>
      </c>
      <c r="N131" s="53"/>
      <c r="O131" s="53"/>
      <c r="P131" s="53"/>
      <c r="Q131" s="53"/>
      <c r="R131" s="53"/>
      <c r="S131" s="53"/>
      <c r="T131" s="93"/>
      <c r="U131" s="126"/>
      <c r="V131" s="93"/>
      <c r="W131" s="93"/>
      <c r="X131" s="95"/>
      <c r="Y131" s="53"/>
      <c r="Z131" s="54"/>
      <c r="AA131" s="97"/>
    </row>
    <row r="132" spans="2:27" s="62" customFormat="1" ht="25.9" customHeight="1">
      <c r="B132" s="53"/>
      <c r="C132" s="86"/>
      <c r="D132" s="53"/>
      <c r="E132" s="53"/>
      <c r="F132" s="53"/>
      <c r="G132" s="83">
        <v>123</v>
      </c>
      <c r="H132" s="83" t="s">
        <v>1504</v>
      </c>
      <c r="I132" s="83" t="str">
        <f>VLOOKUP(MP_cierre[[#This Row],[OT]],MP_registro[[#All],[OT]:[PROGRAMADO]],9,FALSE)</f>
        <v>G4</v>
      </c>
      <c r="J132" s="170">
        <v>44695</v>
      </c>
      <c r="K132" s="175">
        <v>44696</v>
      </c>
      <c r="L132" s="181">
        <v>0.33333333333333331</v>
      </c>
      <c r="M132" s="181">
        <v>0.41666666666666669</v>
      </c>
      <c r="N132" s="53"/>
      <c r="O132" s="53"/>
      <c r="P132" s="53"/>
      <c r="Q132" s="53"/>
      <c r="R132" s="53"/>
      <c r="S132" s="53"/>
      <c r="T132" s="93"/>
      <c r="U132" s="126"/>
      <c r="V132" s="93"/>
      <c r="W132" s="93"/>
      <c r="X132" s="95"/>
      <c r="Y132" s="53"/>
      <c r="Z132" s="54"/>
      <c r="AA132" s="97"/>
    </row>
    <row r="133" spans="2:27" s="62" customFormat="1" ht="25.9" customHeight="1">
      <c r="B133" s="53"/>
      <c r="C133" s="86"/>
      <c r="D133" s="53"/>
      <c r="E133" s="53"/>
      <c r="F133" s="53"/>
      <c r="G133" s="83">
        <v>124</v>
      </c>
      <c r="H133" s="83" t="s">
        <v>1505</v>
      </c>
      <c r="I133" s="83" t="str">
        <f>VLOOKUP(MP_cierre[[#This Row],[OT]],MP_registro[[#All],[OT]:[PROGRAMADO]],9,FALSE)</f>
        <v>G4</v>
      </c>
      <c r="J133" s="170">
        <v>44694</v>
      </c>
      <c r="K133" s="175">
        <v>44695</v>
      </c>
      <c r="L133" s="181">
        <v>0.39583333333333331</v>
      </c>
      <c r="M133" s="181">
        <v>0.4375</v>
      </c>
      <c r="N133" s="53"/>
      <c r="O133" s="53"/>
      <c r="P133" s="53"/>
      <c r="Q133" s="53"/>
      <c r="R133" s="53"/>
      <c r="S133" s="53"/>
      <c r="T133" s="93"/>
      <c r="U133" s="126"/>
      <c r="V133" s="93"/>
      <c r="W133" s="93"/>
      <c r="X133" s="95"/>
      <c r="Y133" s="53"/>
      <c r="Z133" s="54"/>
      <c r="AA133" s="97"/>
    </row>
    <row r="134" spans="2:27" s="62" customFormat="1" ht="25.9" customHeight="1">
      <c r="B134" s="53"/>
      <c r="C134" s="86"/>
      <c r="D134" s="53"/>
      <c r="E134" s="53"/>
      <c r="F134" s="53"/>
      <c r="G134" s="83">
        <v>125</v>
      </c>
      <c r="H134" s="83" t="s">
        <v>1506</v>
      </c>
      <c r="I134" s="83" t="str">
        <f>VLOOKUP(MP_cierre[[#This Row],[OT]],MP_registro[[#All],[OT]:[PROGRAMADO]],9,FALSE)</f>
        <v>G4</v>
      </c>
      <c r="J134" s="170">
        <v>44693</v>
      </c>
      <c r="K134" s="175">
        <v>44694</v>
      </c>
      <c r="L134" s="181">
        <v>0.35416666666666669</v>
      </c>
      <c r="M134" s="181">
        <v>0.4375</v>
      </c>
      <c r="N134" s="53"/>
      <c r="O134" s="53"/>
      <c r="P134" s="53"/>
      <c r="Q134" s="53"/>
      <c r="R134" s="53"/>
      <c r="S134" s="53"/>
      <c r="T134" s="93"/>
      <c r="U134" s="126"/>
      <c r="V134" s="93"/>
      <c r="W134" s="93"/>
      <c r="X134" s="95"/>
      <c r="Y134" s="53"/>
      <c r="Z134" s="54"/>
      <c r="AA134" s="97"/>
    </row>
    <row r="135" spans="2:27" s="62" customFormat="1" ht="25.9" customHeight="1">
      <c r="B135" s="53"/>
      <c r="C135" s="86"/>
      <c r="D135" s="88"/>
      <c r="E135" s="88"/>
      <c r="F135" s="88"/>
      <c r="G135" s="83">
        <v>126</v>
      </c>
      <c r="H135" s="83" t="s">
        <v>1507</v>
      </c>
      <c r="I135" s="83" t="str">
        <f>VLOOKUP(MP_cierre[[#This Row],[OT]],MP_registro[[#All],[OT]:[PROGRAMADO]],9,FALSE)</f>
        <v>G4</v>
      </c>
      <c r="J135" s="170">
        <v>44692</v>
      </c>
      <c r="K135" s="175">
        <v>44693</v>
      </c>
      <c r="L135" s="181">
        <v>0.375</v>
      </c>
      <c r="M135" s="181">
        <v>0.45833333333333331</v>
      </c>
      <c r="N135" s="53"/>
      <c r="O135" s="53"/>
      <c r="P135" s="53"/>
      <c r="Q135" s="53"/>
      <c r="R135" s="53"/>
      <c r="S135" s="53"/>
      <c r="T135" s="93"/>
      <c r="U135" s="126"/>
      <c r="V135" s="93"/>
      <c r="W135" s="93"/>
      <c r="X135" s="95"/>
      <c r="Y135" s="53"/>
      <c r="Z135" s="54"/>
      <c r="AA135" s="97"/>
    </row>
    <row r="136" spans="2:27" s="62" customFormat="1" ht="25.9" customHeight="1">
      <c r="B136" s="53"/>
      <c r="C136" s="86"/>
      <c r="D136" s="88"/>
      <c r="E136" s="88"/>
      <c r="F136" s="88"/>
      <c r="G136" s="83">
        <v>127</v>
      </c>
      <c r="H136" s="83" t="s">
        <v>1508</v>
      </c>
      <c r="I136" s="83" t="str">
        <f>VLOOKUP(MP_cierre[[#This Row],[OT]],MP_registro[[#All],[OT]:[PROGRAMADO]],9,FALSE)</f>
        <v>G4</v>
      </c>
      <c r="J136" s="170">
        <v>44691</v>
      </c>
      <c r="K136" s="175">
        <v>44692</v>
      </c>
      <c r="L136" s="181">
        <v>0.375</v>
      </c>
      <c r="M136" s="181">
        <v>0.45833333333333331</v>
      </c>
      <c r="N136" s="53"/>
      <c r="O136" s="53"/>
      <c r="P136" s="53"/>
      <c r="Q136" s="53"/>
      <c r="R136" s="53"/>
      <c r="S136" s="53"/>
      <c r="T136" s="93"/>
      <c r="U136" s="126"/>
      <c r="V136" s="93"/>
      <c r="W136" s="93"/>
      <c r="X136" s="95"/>
      <c r="Y136" s="53"/>
      <c r="Z136" s="54"/>
      <c r="AA136" s="97"/>
    </row>
    <row r="137" spans="2:27" s="62" customFormat="1" ht="25.9" customHeight="1">
      <c r="B137" s="53"/>
      <c r="C137" s="86"/>
      <c r="D137" s="88"/>
      <c r="E137" s="88"/>
      <c r="F137" s="88"/>
      <c r="G137" s="83">
        <v>128</v>
      </c>
      <c r="H137" s="83" t="s">
        <v>1509</v>
      </c>
      <c r="I137" s="83" t="str">
        <f>VLOOKUP(MP_cierre[[#This Row],[OT]],MP_registro[[#All],[OT]:[PROGRAMADO]],9,FALSE)</f>
        <v>G4</v>
      </c>
      <c r="J137" s="170">
        <v>44692</v>
      </c>
      <c r="K137" s="175">
        <v>44693</v>
      </c>
      <c r="L137" s="176">
        <v>0.4375</v>
      </c>
      <c r="M137" s="176">
        <v>0.5</v>
      </c>
      <c r="N137" s="53"/>
      <c r="O137" s="53"/>
      <c r="P137" s="53"/>
      <c r="Q137" s="53"/>
      <c r="R137" s="53"/>
      <c r="S137" s="53"/>
      <c r="T137" s="93"/>
      <c r="U137" s="126"/>
      <c r="V137" s="93"/>
      <c r="W137" s="93"/>
      <c r="X137" s="95"/>
      <c r="Y137" s="53"/>
      <c r="Z137" s="54"/>
      <c r="AA137" s="97"/>
    </row>
    <row r="138" spans="2:27" s="62" customFormat="1" ht="25.9" customHeight="1">
      <c r="B138" s="53"/>
      <c r="C138" s="86"/>
      <c r="D138" s="88"/>
      <c r="E138" s="88"/>
      <c r="F138" s="88"/>
      <c r="G138" s="83">
        <v>129</v>
      </c>
      <c r="H138" s="83" t="s">
        <v>1510</v>
      </c>
      <c r="I138" s="83" t="str">
        <f>VLOOKUP(MP_cierre[[#This Row],[OT]],MP_registro[[#All],[OT]:[PROGRAMADO]],9,FALSE)</f>
        <v>G4</v>
      </c>
      <c r="J138" s="170">
        <v>44695</v>
      </c>
      <c r="K138" s="175">
        <v>44696</v>
      </c>
      <c r="L138" s="176">
        <v>0.4375</v>
      </c>
      <c r="M138" s="176">
        <v>0.52083333333333337</v>
      </c>
      <c r="N138" s="53"/>
      <c r="O138" s="53"/>
      <c r="P138" s="53"/>
      <c r="Q138" s="53"/>
      <c r="R138" s="53"/>
      <c r="S138" s="53"/>
      <c r="T138" s="93"/>
      <c r="U138" s="126"/>
      <c r="V138" s="93"/>
      <c r="W138" s="93"/>
      <c r="X138" s="95"/>
      <c r="Y138" s="53"/>
      <c r="Z138" s="54"/>
      <c r="AA138" s="97"/>
    </row>
    <row r="139" spans="2:27" s="62" customFormat="1" ht="25.9" customHeight="1">
      <c r="B139" s="53"/>
      <c r="C139" s="86"/>
      <c r="D139" s="88"/>
      <c r="E139" s="88"/>
      <c r="F139" s="88"/>
      <c r="G139" s="83">
        <v>130</v>
      </c>
      <c r="H139" s="83" t="s">
        <v>1511</v>
      </c>
      <c r="I139" s="83" t="str">
        <f>VLOOKUP(MP_cierre[[#This Row],[OT]],MP_registro[[#All],[OT]:[PROGRAMADO]],9,FALSE)</f>
        <v>G4</v>
      </c>
      <c r="J139" s="170">
        <v>44695</v>
      </c>
      <c r="K139" s="175">
        <v>44696</v>
      </c>
      <c r="L139" s="176">
        <v>0.625</v>
      </c>
      <c r="M139" s="176">
        <v>0.70833333333333337</v>
      </c>
      <c r="N139" s="53"/>
      <c r="O139" s="53"/>
      <c r="P139" s="53"/>
      <c r="Q139" s="53"/>
      <c r="R139" s="53"/>
      <c r="S139" s="53"/>
      <c r="T139" s="93"/>
      <c r="U139" s="126"/>
      <c r="V139" s="93"/>
      <c r="W139" s="93"/>
      <c r="X139" s="95"/>
      <c r="Y139" s="53"/>
      <c r="Z139" s="54"/>
      <c r="AA139" s="97"/>
    </row>
    <row r="140" spans="2:27" s="62" customFormat="1" ht="25.9" customHeight="1">
      <c r="B140" s="53"/>
      <c r="C140" s="86"/>
      <c r="D140" s="88"/>
      <c r="E140" s="88"/>
      <c r="F140" s="88"/>
      <c r="G140" s="83">
        <v>131</v>
      </c>
      <c r="H140" s="83" t="s">
        <v>1512</v>
      </c>
      <c r="I140" s="83" t="str">
        <f>VLOOKUP(MP_cierre[[#This Row],[OT]],MP_registro[[#All],[OT]:[PROGRAMADO]],9,FALSE)</f>
        <v>G4</v>
      </c>
      <c r="J140" s="170">
        <v>44694</v>
      </c>
      <c r="K140" s="175">
        <v>44695</v>
      </c>
      <c r="L140" s="176">
        <v>0.45833333333333331</v>
      </c>
      <c r="M140" s="176">
        <v>0.52083333333333337</v>
      </c>
      <c r="N140" s="53"/>
      <c r="O140" s="53"/>
      <c r="P140" s="53"/>
      <c r="Q140" s="53"/>
      <c r="R140" s="53"/>
      <c r="S140" s="53"/>
      <c r="T140" s="93"/>
      <c r="U140" s="126"/>
      <c r="V140" s="93"/>
      <c r="W140" s="93"/>
      <c r="X140" s="95"/>
      <c r="Y140" s="53"/>
      <c r="Z140" s="54"/>
      <c r="AA140" s="97"/>
    </row>
    <row r="141" spans="2:27" s="62" customFormat="1" ht="25.9" customHeight="1">
      <c r="B141" s="53"/>
      <c r="C141" s="86"/>
      <c r="D141" s="53"/>
      <c r="E141" s="53"/>
      <c r="F141" s="53"/>
      <c r="G141" s="83">
        <v>132</v>
      </c>
      <c r="H141" s="83" t="s">
        <v>1513</v>
      </c>
      <c r="I141" s="83" t="str">
        <f>VLOOKUP(MP_cierre[[#This Row],[OT]],MP_registro[[#All],[OT]:[PROGRAMADO]],9,FALSE)</f>
        <v>G4</v>
      </c>
      <c r="J141" s="170">
        <v>44693</v>
      </c>
      <c r="K141" s="175">
        <v>44694</v>
      </c>
      <c r="L141" s="176">
        <v>0.625</v>
      </c>
      <c r="M141" s="176">
        <v>0.70833333333333337</v>
      </c>
      <c r="N141" s="53"/>
      <c r="O141" s="53"/>
      <c r="P141" s="53"/>
      <c r="Q141" s="53"/>
      <c r="R141" s="53"/>
      <c r="S141" s="53"/>
      <c r="T141" s="93"/>
      <c r="U141" s="126"/>
      <c r="V141" s="93"/>
      <c r="W141" s="93"/>
      <c r="X141" s="95"/>
      <c r="Y141" s="53"/>
      <c r="Z141" s="54"/>
      <c r="AA141" s="97"/>
    </row>
    <row r="142" spans="2:27" s="62" customFormat="1" ht="25.9" customHeight="1">
      <c r="B142" s="53"/>
      <c r="C142" s="86"/>
      <c r="D142" s="53"/>
      <c r="E142" s="53"/>
      <c r="F142" s="53"/>
      <c r="G142" s="83">
        <v>133</v>
      </c>
      <c r="H142" s="83" t="s">
        <v>1514</v>
      </c>
      <c r="I142" s="83" t="str">
        <f>VLOOKUP(MP_cierre[[#This Row],[OT]],MP_registro[[#All],[OT]:[PROGRAMADO]],9,FALSE)</f>
        <v>G4</v>
      </c>
      <c r="J142" s="170">
        <v>44692</v>
      </c>
      <c r="K142" s="175">
        <v>44693</v>
      </c>
      <c r="L142" s="176">
        <v>0.625</v>
      </c>
      <c r="M142" s="176">
        <v>0.70833333333333337</v>
      </c>
      <c r="N142" s="53"/>
      <c r="O142" s="53"/>
      <c r="P142" s="53"/>
      <c r="Q142" s="53"/>
      <c r="R142" s="53"/>
      <c r="S142" s="53"/>
      <c r="T142" s="93"/>
      <c r="U142" s="126"/>
      <c r="V142" s="93"/>
      <c r="W142" s="93"/>
      <c r="X142" s="95"/>
      <c r="Y142" s="53"/>
      <c r="Z142" s="54"/>
      <c r="AA142" s="97"/>
    </row>
    <row r="143" spans="2:27" s="62" customFormat="1" ht="25.9" customHeight="1">
      <c r="B143" s="53"/>
      <c r="C143" s="86"/>
      <c r="D143" s="53"/>
      <c r="E143" s="53"/>
      <c r="F143" s="53"/>
      <c r="G143" s="83">
        <v>134</v>
      </c>
      <c r="H143" s="83" t="s">
        <v>1515</v>
      </c>
      <c r="I143" s="83" t="str">
        <f>VLOOKUP(MP_cierre[[#This Row],[OT]],MP_registro[[#All],[OT]:[PROGRAMADO]],9,FALSE)</f>
        <v>G3</v>
      </c>
      <c r="J143" s="170">
        <v>44690</v>
      </c>
      <c r="K143" s="175">
        <v>44691</v>
      </c>
      <c r="L143" s="176">
        <v>0.41666666666666669</v>
      </c>
      <c r="M143" s="176">
        <v>0.4375</v>
      </c>
      <c r="N143" s="53"/>
      <c r="O143" s="53"/>
      <c r="P143" s="53"/>
      <c r="Q143" s="53"/>
      <c r="R143" s="53"/>
      <c r="S143" s="53"/>
      <c r="T143" s="93"/>
      <c r="U143" s="126"/>
      <c r="V143" s="93"/>
      <c r="W143" s="93"/>
      <c r="X143" s="95"/>
      <c r="Y143" s="53"/>
      <c r="Z143" s="54"/>
      <c r="AA143" s="97"/>
    </row>
    <row r="144" spans="2:27" s="62" customFormat="1" ht="25.9" customHeight="1">
      <c r="B144" s="53"/>
      <c r="C144" s="86"/>
      <c r="D144" s="53"/>
      <c r="E144" s="53"/>
      <c r="F144" s="53"/>
      <c r="G144" s="83">
        <v>135</v>
      </c>
      <c r="H144" s="83" t="s">
        <v>1516</v>
      </c>
      <c r="I144" s="83" t="str">
        <f>VLOOKUP(MP_cierre[[#This Row],[OT]],MP_registro[[#All],[OT]:[PROGRAMADO]],9,FALSE)</f>
        <v>G1</v>
      </c>
      <c r="J144" s="170">
        <v>44688</v>
      </c>
      <c r="K144" s="175">
        <v>44688</v>
      </c>
      <c r="L144" s="176">
        <v>0.43333333333333335</v>
      </c>
      <c r="M144" s="176">
        <v>0.46249999999999997</v>
      </c>
      <c r="N144" s="53"/>
      <c r="O144" s="53"/>
      <c r="P144" s="53"/>
      <c r="Q144" s="53"/>
      <c r="R144" s="53"/>
      <c r="S144" s="53"/>
      <c r="T144" s="93"/>
      <c r="U144" s="126"/>
      <c r="V144" s="93"/>
      <c r="W144" s="93"/>
      <c r="X144" s="95"/>
      <c r="Y144" s="53"/>
      <c r="Z144" s="54"/>
      <c r="AA144" s="97"/>
    </row>
    <row r="145" spans="2:27" s="62" customFormat="1" ht="25.9" customHeight="1">
      <c r="B145" s="53"/>
      <c r="C145" s="86"/>
      <c r="D145" s="53"/>
      <c r="E145" s="53"/>
      <c r="F145" s="53"/>
      <c r="G145" s="83">
        <v>136</v>
      </c>
      <c r="H145" s="83" t="s">
        <v>1517</v>
      </c>
      <c r="I145" s="83" t="str">
        <f>VLOOKUP(MP_cierre[[#This Row],[OT]],MP_registro[[#All],[OT]:[PROGRAMADO]],9,FALSE)</f>
        <v>G1</v>
      </c>
      <c r="J145" s="170">
        <v>44695</v>
      </c>
      <c r="K145" s="175">
        <v>44701</v>
      </c>
      <c r="L145" s="176">
        <v>0.43611111111111112</v>
      </c>
      <c r="M145" s="176">
        <v>0.46875</v>
      </c>
      <c r="N145" s="53"/>
      <c r="O145" s="53"/>
      <c r="P145" s="53"/>
      <c r="Q145" s="53"/>
      <c r="R145" s="53"/>
      <c r="S145" s="53"/>
      <c r="T145" s="93"/>
      <c r="U145" s="126"/>
      <c r="V145" s="93"/>
      <c r="W145" s="93"/>
      <c r="X145" s="95"/>
      <c r="Y145" s="53"/>
      <c r="Z145" s="54"/>
      <c r="AA145" s="97"/>
    </row>
    <row r="146" spans="2:27" s="62" customFormat="1" ht="25.9" customHeight="1">
      <c r="B146" s="53"/>
      <c r="C146" s="86"/>
      <c r="D146" s="53"/>
      <c r="E146" s="53"/>
      <c r="F146" s="53"/>
      <c r="G146" s="83">
        <v>137</v>
      </c>
      <c r="H146" s="83" t="s">
        <v>1518</v>
      </c>
      <c r="I146" s="83" t="str">
        <f>VLOOKUP(MP_cierre[[#This Row],[OT]],MP_registro[[#All],[OT]:[PROGRAMADO]],9,FALSE)</f>
        <v>G3</v>
      </c>
      <c r="J146" s="170">
        <v>44690</v>
      </c>
      <c r="K146" s="175">
        <v>44691</v>
      </c>
      <c r="L146" s="176">
        <v>0.71875</v>
      </c>
      <c r="M146" s="176">
        <v>0.75</v>
      </c>
      <c r="N146" s="53"/>
      <c r="O146" s="53"/>
      <c r="P146" s="53"/>
      <c r="Q146" s="53"/>
      <c r="R146" s="53"/>
      <c r="S146" s="53"/>
      <c r="T146" s="93"/>
      <c r="U146" s="126"/>
      <c r="V146" s="93"/>
      <c r="W146" s="93"/>
      <c r="X146" s="95"/>
      <c r="Y146" s="53"/>
      <c r="Z146" s="54"/>
      <c r="AA146" s="97"/>
    </row>
    <row r="147" spans="2:27" s="62" customFormat="1" ht="25.9" customHeight="1">
      <c r="B147" s="53"/>
      <c r="C147" s="86"/>
      <c r="D147" s="53"/>
      <c r="E147" s="53"/>
      <c r="F147" s="53"/>
      <c r="G147" s="83">
        <v>138</v>
      </c>
      <c r="H147" s="83" t="s">
        <v>1519</v>
      </c>
      <c r="I147" s="83" t="str">
        <f>VLOOKUP(MP_cierre[[#This Row],[OT]],MP_registro[[#All],[OT]:[PROGRAMADO]],9,FALSE)</f>
        <v>G2</v>
      </c>
      <c r="J147" s="170">
        <v>44689</v>
      </c>
      <c r="K147" s="175">
        <v>44690</v>
      </c>
      <c r="L147" s="176">
        <v>0.41666666666666669</v>
      </c>
      <c r="M147" s="176">
        <v>0.4375</v>
      </c>
      <c r="N147" s="53"/>
      <c r="O147" s="53"/>
      <c r="P147" s="53"/>
      <c r="Q147" s="53"/>
      <c r="R147" s="53"/>
      <c r="S147" s="53"/>
      <c r="T147" s="93"/>
      <c r="U147" s="126"/>
      <c r="V147" s="93"/>
      <c r="W147" s="93"/>
      <c r="X147" s="95"/>
      <c r="Y147" s="53"/>
      <c r="Z147" s="54"/>
      <c r="AA147" s="97"/>
    </row>
    <row r="148" spans="2:27" s="62" customFormat="1" ht="25.9" customHeight="1">
      <c r="B148" s="53"/>
      <c r="C148" s="86"/>
      <c r="D148" s="53"/>
      <c r="E148" s="53"/>
      <c r="F148" s="53"/>
      <c r="G148" s="83">
        <v>139</v>
      </c>
      <c r="H148" s="83" t="s">
        <v>1520</v>
      </c>
      <c r="I148" s="83" t="str">
        <f>VLOOKUP(MP_cierre[[#This Row],[OT]],MP_registro[[#All],[OT]:[PROGRAMADO]],9,FALSE)</f>
        <v>G2</v>
      </c>
      <c r="J148" s="170">
        <v>44696</v>
      </c>
      <c r="K148" s="175">
        <v>44697</v>
      </c>
      <c r="L148" s="176">
        <v>0.33333333333333331</v>
      </c>
      <c r="M148" s="176">
        <v>0.35416666666666669</v>
      </c>
      <c r="N148" s="53"/>
      <c r="O148" s="53"/>
      <c r="P148" s="53"/>
      <c r="Q148" s="53"/>
      <c r="R148" s="53"/>
      <c r="S148" s="53"/>
      <c r="T148" s="93"/>
      <c r="U148" s="126"/>
      <c r="V148" s="93"/>
      <c r="W148" s="93"/>
      <c r="X148" s="95"/>
      <c r="Y148" s="53"/>
      <c r="Z148" s="54"/>
      <c r="AA148" s="97"/>
    </row>
    <row r="149" spans="2:27" s="62" customFormat="1" ht="25.9" customHeight="1">
      <c r="B149" s="53"/>
      <c r="C149" s="86"/>
      <c r="D149" s="53"/>
      <c r="E149" s="53"/>
      <c r="F149" s="53"/>
      <c r="G149" s="83">
        <v>140</v>
      </c>
      <c r="H149" s="83" t="s">
        <v>1521</v>
      </c>
      <c r="I149" s="83" t="str">
        <f>VLOOKUP(MP_cierre[[#This Row],[OT]],MP_registro[[#All],[OT]:[PROGRAMADO]],9,FALSE)</f>
        <v>G1</v>
      </c>
      <c r="J149" s="170">
        <v>44689</v>
      </c>
      <c r="K149" s="175">
        <v>44689</v>
      </c>
      <c r="L149" s="176">
        <v>0.89027777777777783</v>
      </c>
      <c r="M149" s="176">
        <v>0.9194444444444444</v>
      </c>
      <c r="N149" s="53"/>
      <c r="O149" s="53"/>
      <c r="P149" s="53"/>
      <c r="Q149" s="53"/>
      <c r="R149" s="53"/>
      <c r="S149" s="53"/>
      <c r="T149" s="93"/>
      <c r="U149" s="126"/>
      <c r="V149" s="93"/>
      <c r="W149" s="93"/>
      <c r="X149" s="95"/>
      <c r="Y149" s="53"/>
      <c r="Z149" s="54"/>
      <c r="AA149" s="97"/>
    </row>
    <row r="150" spans="2:27" s="62" customFormat="1" ht="25.9" customHeight="1">
      <c r="B150" s="53"/>
      <c r="C150" s="86"/>
      <c r="D150" s="53"/>
      <c r="E150" s="53"/>
      <c r="F150" s="53"/>
      <c r="G150" s="83">
        <v>141</v>
      </c>
      <c r="H150" s="83" t="s">
        <v>1522</v>
      </c>
      <c r="I150" s="83" t="str">
        <f>VLOOKUP(MP_cierre[[#This Row],[OT]],MP_registro[[#All],[OT]:[PROGRAMADO]],9,FALSE)</f>
        <v>G1</v>
      </c>
      <c r="J150" s="170">
        <v>44696</v>
      </c>
      <c r="K150" s="175">
        <v>44701</v>
      </c>
      <c r="L150" s="176">
        <v>0.60416666666666663</v>
      </c>
      <c r="M150" s="176">
        <v>0.64027777777777783</v>
      </c>
      <c r="N150" s="53"/>
      <c r="O150" s="53"/>
      <c r="P150" s="53"/>
      <c r="Q150" s="53"/>
      <c r="R150" s="53"/>
      <c r="S150" s="53"/>
      <c r="T150" s="93"/>
      <c r="U150" s="126"/>
      <c r="V150" s="93"/>
      <c r="W150" s="93"/>
      <c r="X150" s="95"/>
      <c r="Y150" s="53"/>
      <c r="Z150" s="54"/>
      <c r="AA150" s="97"/>
    </row>
    <row r="151" spans="2:27" s="62" customFormat="1" ht="25.9" customHeight="1">
      <c r="B151" s="53"/>
      <c r="C151" s="86"/>
      <c r="D151" s="53"/>
      <c r="E151" s="53"/>
      <c r="F151" s="53"/>
      <c r="G151" s="83">
        <v>142</v>
      </c>
      <c r="H151" s="83" t="s">
        <v>1523</v>
      </c>
      <c r="I151" s="83" t="str">
        <f>VLOOKUP(MP_cierre[[#This Row],[OT]],MP_registro[[#All],[OT]:[PROGRAMADO]],9,FALSE)</f>
        <v>G2</v>
      </c>
      <c r="J151" s="170">
        <v>44690</v>
      </c>
      <c r="K151" s="175">
        <v>44691</v>
      </c>
      <c r="L151" s="176">
        <v>0.39583333333333331</v>
      </c>
      <c r="M151" s="176">
        <v>0.41666666666666669</v>
      </c>
      <c r="N151" s="53"/>
      <c r="O151" s="53"/>
      <c r="P151" s="53"/>
      <c r="Q151" s="53"/>
      <c r="R151" s="53"/>
      <c r="S151" s="53"/>
      <c r="T151" s="93"/>
      <c r="U151" s="126"/>
      <c r="V151" s="93"/>
      <c r="W151" s="93"/>
      <c r="X151" s="95"/>
      <c r="Y151" s="53"/>
      <c r="Z151" s="54"/>
      <c r="AA151" s="97"/>
    </row>
    <row r="152" spans="2:27" s="62" customFormat="1" ht="25.9" customHeight="1">
      <c r="B152" s="53"/>
      <c r="C152" s="86"/>
      <c r="D152" s="53"/>
      <c r="E152" s="53"/>
      <c r="F152" s="53"/>
      <c r="G152" s="83">
        <v>143</v>
      </c>
      <c r="H152" s="83" t="s">
        <v>1524</v>
      </c>
      <c r="I152" s="83" t="str">
        <f>VLOOKUP(MP_cierre[[#This Row],[OT]],MP_registro[[#All],[OT]:[PROGRAMADO]],9,FALSE)</f>
        <v>G2</v>
      </c>
      <c r="J152" s="170">
        <v>44689</v>
      </c>
      <c r="K152" s="175">
        <v>44690</v>
      </c>
      <c r="L152" s="176">
        <v>0.35416666666666669</v>
      </c>
      <c r="M152" s="176">
        <v>0.375</v>
      </c>
      <c r="N152" s="53"/>
      <c r="O152" s="53"/>
      <c r="P152" s="53"/>
      <c r="Q152" s="53"/>
      <c r="R152" s="53"/>
      <c r="S152" s="53"/>
      <c r="T152" s="93"/>
      <c r="U152" s="126"/>
      <c r="V152" s="93"/>
      <c r="W152" s="93"/>
      <c r="X152" s="95"/>
      <c r="Y152" s="53"/>
      <c r="Z152" s="54"/>
      <c r="AA152" s="97"/>
    </row>
    <row r="153" spans="2:27" s="62" customFormat="1" ht="25.9" customHeight="1">
      <c r="B153" s="53"/>
      <c r="C153" s="86"/>
      <c r="D153" s="53"/>
      <c r="E153" s="53"/>
      <c r="F153" s="53"/>
      <c r="G153" s="83">
        <v>144</v>
      </c>
      <c r="H153" s="83" t="s">
        <v>1525</v>
      </c>
      <c r="I153" s="83" t="str">
        <f>VLOOKUP(MP_cierre[[#This Row],[OT]],MP_registro[[#All],[OT]:[PROGRAMADO]],9,FALSE)</f>
        <v>G2</v>
      </c>
      <c r="J153" s="170">
        <v>44696</v>
      </c>
      <c r="K153" s="175">
        <v>44697</v>
      </c>
      <c r="L153" s="176">
        <v>0.4375</v>
      </c>
      <c r="M153" s="176">
        <v>0.45833333333333331</v>
      </c>
      <c r="N153" s="53"/>
      <c r="O153" s="53"/>
      <c r="P153" s="53"/>
      <c r="Q153" s="53"/>
      <c r="R153" s="53"/>
      <c r="S153" s="53"/>
      <c r="T153" s="93"/>
      <c r="U153" s="126"/>
      <c r="V153" s="93"/>
      <c r="W153" s="93"/>
      <c r="X153" s="95"/>
      <c r="Y153" s="53"/>
      <c r="Z153" s="54"/>
      <c r="AA153" s="97"/>
    </row>
    <row r="154" spans="2:27" s="62" customFormat="1" ht="25.9" customHeight="1">
      <c r="B154" s="53"/>
      <c r="C154" s="86"/>
      <c r="D154" s="53"/>
      <c r="E154" s="53"/>
      <c r="F154" s="53"/>
      <c r="G154" s="83">
        <v>145</v>
      </c>
      <c r="H154" s="83" t="s">
        <v>1526</v>
      </c>
      <c r="I154" s="83" t="str">
        <f>VLOOKUP(MP_cierre[[#This Row],[OT]],MP_registro[[#All],[OT]:[PROGRAMADO]],9,FALSE)</f>
        <v>G2</v>
      </c>
      <c r="J154" s="170">
        <v>44688</v>
      </c>
      <c r="K154" s="175">
        <v>44689</v>
      </c>
      <c r="L154" s="176">
        <v>0.5</v>
      </c>
      <c r="M154" s="176">
        <v>0.52083333333333337</v>
      </c>
      <c r="N154" s="53"/>
      <c r="O154" s="53"/>
      <c r="P154" s="53"/>
      <c r="Q154" s="53"/>
      <c r="R154" s="53"/>
      <c r="S154" s="53"/>
      <c r="T154" s="93"/>
      <c r="U154" s="126"/>
      <c r="V154" s="93"/>
      <c r="W154" s="93"/>
      <c r="X154" s="95"/>
      <c r="Y154" s="53"/>
      <c r="Z154" s="54"/>
      <c r="AA154" s="97"/>
    </row>
    <row r="155" spans="2:27" s="62" customFormat="1" ht="25.9" customHeight="1">
      <c r="B155" s="53"/>
      <c r="C155" s="86"/>
      <c r="D155" s="53"/>
      <c r="E155" s="53"/>
      <c r="F155" s="53"/>
      <c r="G155" s="83">
        <v>146</v>
      </c>
      <c r="H155" s="83" t="s">
        <v>1527</v>
      </c>
      <c r="I155" s="83" t="str">
        <f>VLOOKUP(MP_cierre[[#This Row],[OT]],MP_registro[[#All],[OT]:[PROGRAMADO]],9,FALSE)</f>
        <v>G2</v>
      </c>
      <c r="J155" s="170">
        <v>44695</v>
      </c>
      <c r="K155" s="175">
        <v>44696</v>
      </c>
      <c r="L155" s="176">
        <v>0.5</v>
      </c>
      <c r="M155" s="176">
        <v>0.50208333333333333</v>
      </c>
      <c r="N155" s="53"/>
      <c r="O155" s="53"/>
      <c r="P155" s="53"/>
      <c r="Q155" s="53"/>
      <c r="R155" s="53"/>
      <c r="S155" s="53"/>
      <c r="T155" s="93"/>
      <c r="U155" s="126"/>
      <c r="V155" s="93"/>
      <c r="W155" s="93"/>
      <c r="X155" s="95"/>
      <c r="Y155" s="53"/>
      <c r="Z155" s="54"/>
      <c r="AA155" s="97"/>
    </row>
    <row r="156" spans="2:27" s="62" customFormat="1" ht="25.9" customHeight="1">
      <c r="B156" s="53"/>
      <c r="C156" s="86"/>
      <c r="D156" s="53"/>
      <c r="E156" s="53"/>
      <c r="F156" s="53"/>
      <c r="G156" s="83">
        <v>147</v>
      </c>
      <c r="H156" s="83" t="s">
        <v>1528</v>
      </c>
      <c r="I156" s="83" t="str">
        <f>VLOOKUP(MP_cierre[[#This Row],[OT]],MP_registro[[#All],[OT]:[PROGRAMADO]],9,FALSE)</f>
        <v>G2</v>
      </c>
      <c r="J156" s="170">
        <v>44688</v>
      </c>
      <c r="K156" s="175">
        <v>44689</v>
      </c>
      <c r="L156" s="176">
        <v>0.4375</v>
      </c>
      <c r="M156" s="176">
        <v>0.45833333333333331</v>
      </c>
      <c r="N156" s="53"/>
      <c r="O156" s="53"/>
      <c r="P156" s="53"/>
      <c r="Q156" s="53"/>
      <c r="R156" s="53"/>
      <c r="S156" s="53"/>
      <c r="T156" s="93"/>
      <c r="U156" s="126"/>
      <c r="V156" s="93"/>
      <c r="W156" s="93"/>
      <c r="X156" s="95"/>
      <c r="Y156" s="53"/>
      <c r="Z156" s="54"/>
      <c r="AA156" s="97"/>
    </row>
    <row r="157" spans="2:27" s="62" customFormat="1" ht="25.9" customHeight="1">
      <c r="B157" s="53"/>
      <c r="C157" s="86"/>
      <c r="D157" s="53"/>
      <c r="E157" s="53"/>
      <c r="F157" s="53"/>
      <c r="G157" s="83">
        <v>148</v>
      </c>
      <c r="H157" s="83" t="s">
        <v>1529</v>
      </c>
      <c r="I157" s="83" t="str">
        <f>VLOOKUP(MP_cierre[[#This Row],[OT]],MP_registro[[#All],[OT]:[PROGRAMADO]],9,FALSE)</f>
        <v>G2</v>
      </c>
      <c r="J157" s="170">
        <v>44695</v>
      </c>
      <c r="K157" s="175">
        <v>44696</v>
      </c>
      <c r="L157" s="176">
        <v>0.4375</v>
      </c>
      <c r="M157" s="176">
        <v>0.45833333333333331</v>
      </c>
      <c r="N157" s="53"/>
      <c r="O157" s="53"/>
      <c r="P157" s="53"/>
      <c r="Q157" s="53"/>
      <c r="R157" s="53"/>
      <c r="S157" s="53"/>
      <c r="T157" s="93"/>
      <c r="U157" s="126"/>
      <c r="V157" s="93"/>
      <c r="W157" s="93"/>
      <c r="X157" s="95"/>
      <c r="Y157" s="53"/>
      <c r="Z157" s="54"/>
      <c r="AA157" s="97"/>
    </row>
    <row r="158" spans="2:27" s="62" customFormat="1" ht="25.9" customHeight="1">
      <c r="B158" s="53"/>
      <c r="C158" s="86"/>
      <c r="D158" s="53"/>
      <c r="E158" s="53"/>
      <c r="F158" s="53"/>
      <c r="G158" s="83">
        <v>149</v>
      </c>
      <c r="H158" s="83" t="s">
        <v>1530</v>
      </c>
      <c r="I158" s="83" t="str">
        <f>VLOOKUP(MP_cierre[[#This Row],[OT]],MP_registro[[#All],[OT]:[PROGRAMADO]],9,FALSE)</f>
        <v>G2</v>
      </c>
      <c r="J158" s="170">
        <v>44690</v>
      </c>
      <c r="K158" s="175">
        <v>44691</v>
      </c>
      <c r="L158" s="176">
        <v>0.41666666666666669</v>
      </c>
      <c r="M158" s="176">
        <v>0.4375</v>
      </c>
      <c r="N158" s="53"/>
      <c r="O158" s="53"/>
      <c r="P158" s="53"/>
      <c r="Q158" s="53"/>
      <c r="R158" s="53"/>
      <c r="S158" s="53"/>
      <c r="T158" s="93"/>
      <c r="U158" s="126"/>
      <c r="V158" s="93"/>
      <c r="W158" s="93"/>
      <c r="X158" s="95"/>
      <c r="Y158" s="53"/>
      <c r="Z158" s="54"/>
      <c r="AA158" s="97"/>
    </row>
    <row r="159" spans="2:27" s="62" customFormat="1" ht="25.9" customHeight="1">
      <c r="B159" s="53"/>
      <c r="C159" s="86"/>
      <c r="D159" s="53"/>
      <c r="E159" s="53"/>
      <c r="F159" s="53"/>
      <c r="G159" s="83">
        <v>150</v>
      </c>
      <c r="H159" s="83" t="s">
        <v>1531</v>
      </c>
      <c r="I159" s="83" t="str">
        <f>VLOOKUP(MP_cierre[[#This Row],[OT]],MP_registro[[#All],[OT]:[PROGRAMADO]],9,FALSE)</f>
        <v>G1</v>
      </c>
      <c r="J159" s="170">
        <v>44692</v>
      </c>
      <c r="K159" s="175">
        <v>44700</v>
      </c>
      <c r="L159" s="176">
        <v>0.63194444444444442</v>
      </c>
      <c r="M159" s="176">
        <v>0.65625</v>
      </c>
      <c r="N159" s="53"/>
      <c r="O159" s="53"/>
      <c r="P159" s="53"/>
      <c r="Q159" s="53"/>
      <c r="R159" s="53"/>
      <c r="S159" s="53"/>
      <c r="T159" s="93"/>
      <c r="U159" s="126"/>
      <c r="V159" s="93"/>
      <c r="W159" s="93"/>
      <c r="X159" s="95"/>
      <c r="Y159" s="53"/>
      <c r="Z159" s="126"/>
      <c r="AA159" s="97"/>
    </row>
    <row r="160" spans="2:27" s="62" customFormat="1" ht="25.9" customHeight="1">
      <c r="B160" s="53"/>
      <c r="C160" s="86"/>
      <c r="D160" s="53"/>
      <c r="E160" s="53"/>
      <c r="F160" s="53"/>
      <c r="G160" s="83">
        <v>151</v>
      </c>
      <c r="H160" s="83" t="s">
        <v>1532</v>
      </c>
      <c r="I160" s="83" t="str">
        <f>VLOOKUP(MP_cierre[[#This Row],[OT]],MP_registro[[#All],[OT]:[PROGRAMADO]],9,FALSE)</f>
        <v>G3</v>
      </c>
      <c r="J160" s="170">
        <v>44692</v>
      </c>
      <c r="K160" s="175">
        <v>44694</v>
      </c>
      <c r="L160" s="176">
        <v>0.66666666666666663</v>
      </c>
      <c r="M160" s="176">
        <v>0.68055555555555547</v>
      </c>
      <c r="N160" s="53"/>
      <c r="O160" s="53"/>
      <c r="P160" s="53"/>
      <c r="Q160" s="53"/>
      <c r="R160" s="53"/>
      <c r="S160" s="53"/>
      <c r="T160" s="93"/>
      <c r="U160" s="93"/>
      <c r="V160" s="93"/>
      <c r="W160" s="93"/>
      <c r="X160" s="95"/>
      <c r="Y160" s="53"/>
      <c r="Z160" s="53"/>
      <c r="AA160" s="97"/>
    </row>
    <row r="161" spans="2:27" s="62" customFormat="1" ht="25.9" customHeight="1">
      <c r="B161" s="53"/>
      <c r="C161" s="86"/>
      <c r="D161" s="53"/>
      <c r="E161" s="53"/>
      <c r="F161" s="53"/>
      <c r="G161" s="83">
        <v>152</v>
      </c>
      <c r="H161" s="83" t="s">
        <v>1533</v>
      </c>
      <c r="I161" s="83" t="str">
        <f>VLOOKUP(MP_cierre[[#This Row],[OT]],MP_registro[[#All],[OT]:[PROGRAMADO]],9,FALSE)</f>
        <v>G1</v>
      </c>
      <c r="J161" s="170">
        <v>44686</v>
      </c>
      <c r="K161" s="175">
        <v>44687</v>
      </c>
      <c r="L161" s="176">
        <v>0.875</v>
      </c>
      <c r="M161" s="176">
        <v>0.90625</v>
      </c>
      <c r="N161" s="53"/>
      <c r="O161" s="53"/>
      <c r="P161" s="53"/>
      <c r="Q161" s="53"/>
      <c r="R161" s="53"/>
      <c r="S161" s="53"/>
      <c r="T161" s="93"/>
      <c r="U161" s="126"/>
      <c r="V161" s="93"/>
      <c r="W161" s="93"/>
      <c r="X161" s="95"/>
      <c r="Y161" s="53"/>
      <c r="Z161" s="54"/>
      <c r="AA161" s="97"/>
    </row>
    <row r="162" spans="2:27" s="62" customFormat="1" ht="25.9" customHeight="1">
      <c r="B162" s="53"/>
      <c r="C162" s="86"/>
      <c r="D162" s="84"/>
      <c r="E162" s="84"/>
      <c r="F162" s="84"/>
      <c r="G162" s="83">
        <v>153</v>
      </c>
      <c r="H162" s="83" t="s">
        <v>1534</v>
      </c>
      <c r="I162" s="83" t="str">
        <f>VLOOKUP(MP_cierre[[#This Row],[OT]],MP_registro[[#All],[OT]:[PROGRAMADO]],9,FALSE)</f>
        <v>G1</v>
      </c>
      <c r="J162" s="170">
        <v>44693</v>
      </c>
      <c r="K162" s="175">
        <v>44700</v>
      </c>
      <c r="L162" s="176">
        <v>0.67361111111111116</v>
      </c>
      <c r="M162" s="176">
        <v>0.70486111111111116</v>
      </c>
      <c r="N162" s="53"/>
      <c r="O162" s="53"/>
      <c r="P162" s="53"/>
      <c r="Q162" s="53"/>
      <c r="R162" s="53"/>
      <c r="S162" s="53"/>
      <c r="T162" s="93"/>
      <c r="U162" s="126"/>
      <c r="V162" s="93"/>
      <c r="W162" s="93"/>
      <c r="X162" s="95"/>
      <c r="Y162" s="53"/>
      <c r="Z162" s="54"/>
      <c r="AA162" s="97"/>
    </row>
    <row r="163" spans="2:27" s="62" customFormat="1" ht="25.9" customHeight="1">
      <c r="B163" s="53"/>
      <c r="C163" s="86"/>
      <c r="D163" s="84"/>
      <c r="E163" s="84"/>
      <c r="F163" s="84"/>
      <c r="G163" s="83">
        <v>154</v>
      </c>
      <c r="H163" s="83" t="s">
        <v>1535</v>
      </c>
      <c r="I163" s="83" t="str">
        <f>VLOOKUP(MP_cierre[[#This Row],[OT]],MP_registro[[#All],[OT]:[PROGRAMADO]],9,FALSE)</f>
        <v>G3</v>
      </c>
      <c r="J163" s="170">
        <v>44691</v>
      </c>
      <c r="K163" s="175">
        <v>44692</v>
      </c>
      <c r="L163" s="176">
        <v>0.35416666666666669</v>
      </c>
      <c r="M163" s="176">
        <v>0.36458333333333331</v>
      </c>
      <c r="N163" s="53"/>
      <c r="O163" s="53"/>
      <c r="P163" s="53"/>
      <c r="Q163" s="53"/>
      <c r="R163" s="53"/>
      <c r="S163" s="53"/>
      <c r="T163" s="93"/>
      <c r="U163" s="126"/>
      <c r="V163" s="93"/>
      <c r="W163" s="93"/>
      <c r="X163" s="95"/>
      <c r="Y163" s="53"/>
      <c r="Z163" s="54"/>
      <c r="AA163" s="97"/>
    </row>
    <row r="164" spans="2:27" s="62" customFormat="1" ht="25.9" customHeight="1">
      <c r="B164" s="84"/>
      <c r="C164" s="84"/>
      <c r="D164" s="84"/>
      <c r="E164" s="84"/>
      <c r="F164" s="84"/>
      <c r="G164" s="83">
        <v>155</v>
      </c>
      <c r="H164" s="83" t="s">
        <v>1536</v>
      </c>
      <c r="I164" s="83" t="str">
        <f>VLOOKUP(MP_cierre[[#This Row],[OT]],MP_registro[[#All],[OT]:[PROGRAMADO]],9,FALSE)</f>
        <v>G3</v>
      </c>
      <c r="J164" s="170">
        <v>44686</v>
      </c>
      <c r="K164" s="175">
        <v>44687</v>
      </c>
      <c r="L164" s="176">
        <v>0.33333333333333331</v>
      </c>
      <c r="M164" s="176">
        <v>0.35416666666666669</v>
      </c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131"/>
      <c r="Z164" s="131"/>
      <c r="AA164" s="131"/>
    </row>
    <row r="165" spans="2:27" s="62" customFormat="1" ht="25.9" customHeight="1">
      <c r="B165" s="84"/>
      <c r="C165" s="84"/>
      <c r="D165" s="84"/>
      <c r="E165" s="84"/>
      <c r="F165" s="84"/>
      <c r="G165" s="83">
        <v>156</v>
      </c>
      <c r="H165" s="83" t="s">
        <v>1537</v>
      </c>
      <c r="I165" s="83" t="str">
        <f>VLOOKUP(MP_cierre[[#This Row],[OT]],MP_registro[[#All],[OT]:[PROGRAMADO]],9,FALSE)</f>
        <v>G3</v>
      </c>
      <c r="J165" s="170">
        <v>44693</v>
      </c>
      <c r="K165" s="175">
        <v>44694</v>
      </c>
      <c r="L165" s="176">
        <v>0.5</v>
      </c>
      <c r="M165" s="176">
        <v>0.51388888888888895</v>
      </c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131"/>
      <c r="Z165" s="131"/>
      <c r="AA165" s="131"/>
    </row>
    <row r="166" spans="2:27" s="62" customFormat="1" ht="25.9" customHeight="1">
      <c r="B166" s="84"/>
      <c r="C166" s="84"/>
      <c r="D166" s="84"/>
      <c r="E166" s="84"/>
      <c r="F166" s="84"/>
      <c r="G166" s="83">
        <v>157</v>
      </c>
      <c r="H166" s="83" t="s">
        <v>1538</v>
      </c>
      <c r="I166" s="83" t="str">
        <f>VLOOKUP(MP_cierre[[#This Row],[OT]],MP_registro[[#All],[OT]:[PROGRAMADO]],9,FALSE)</f>
        <v>G1</v>
      </c>
      <c r="J166" s="170">
        <v>44692</v>
      </c>
      <c r="K166" s="175">
        <v>44700</v>
      </c>
      <c r="L166" s="176">
        <v>0.59375</v>
      </c>
      <c r="M166" s="176">
        <v>0.61805555555555558</v>
      </c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131"/>
      <c r="Z166" s="131"/>
      <c r="AA166" s="131"/>
    </row>
    <row r="167" spans="2:27" s="62" customFormat="1" ht="25.9" customHeight="1">
      <c r="B167" s="84"/>
      <c r="C167" s="84"/>
      <c r="D167" s="84"/>
      <c r="E167" s="84"/>
      <c r="F167" s="84"/>
      <c r="G167" s="83">
        <v>158</v>
      </c>
      <c r="H167" s="83" t="s">
        <v>1539</v>
      </c>
      <c r="I167" s="83" t="str">
        <f>VLOOKUP(MP_cierre[[#This Row],[OT]],MP_registro[[#All],[OT]:[PROGRAMADO]],9,FALSE)</f>
        <v>G2</v>
      </c>
      <c r="J167" s="170">
        <v>44686</v>
      </c>
      <c r="K167" s="175">
        <v>44687</v>
      </c>
      <c r="L167" s="176">
        <v>0.375</v>
      </c>
      <c r="M167" s="176">
        <v>0.39583333333333331</v>
      </c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131"/>
      <c r="Z167" s="131"/>
      <c r="AA167" s="131"/>
    </row>
    <row r="168" spans="2:27" s="62" customFormat="1" ht="25.9" customHeight="1">
      <c r="B168" s="84"/>
      <c r="C168" s="84"/>
      <c r="D168" s="84"/>
      <c r="E168" s="84"/>
      <c r="F168" s="84"/>
      <c r="G168" s="83">
        <v>159</v>
      </c>
      <c r="H168" s="83" t="s">
        <v>1540</v>
      </c>
      <c r="I168" s="83" t="str">
        <f>VLOOKUP(MP_cierre[[#This Row],[OT]],MP_registro[[#All],[OT]:[PROGRAMADO]],9,FALSE)</f>
        <v>G2</v>
      </c>
      <c r="J168" s="170">
        <v>44693</v>
      </c>
      <c r="K168" s="175">
        <v>44694</v>
      </c>
      <c r="L168" s="176">
        <v>0.375</v>
      </c>
      <c r="M168" s="176">
        <v>0.39583333333333331</v>
      </c>
      <c r="Y168" s="63"/>
      <c r="Z168" s="63"/>
      <c r="AA168" s="63"/>
    </row>
    <row r="169" spans="2:27" s="62" customFormat="1" ht="25.9" customHeight="1">
      <c r="B169" s="84"/>
      <c r="C169" s="84"/>
      <c r="D169" s="84"/>
      <c r="E169" s="84"/>
      <c r="F169" s="84"/>
      <c r="G169" s="83">
        <v>160</v>
      </c>
      <c r="H169" s="83" t="s">
        <v>1541</v>
      </c>
      <c r="I169" s="83" t="str">
        <f>VLOOKUP(MP_cierre[[#This Row],[OT]],MP_registro[[#All],[OT]:[PROGRAMADO]],9,FALSE)</f>
        <v>G1</v>
      </c>
      <c r="J169" s="170">
        <v>44687</v>
      </c>
      <c r="K169" s="175">
        <v>44688</v>
      </c>
      <c r="L169" s="176">
        <v>0.36458333333333331</v>
      </c>
      <c r="M169" s="176">
        <v>0.39930555555555558</v>
      </c>
      <c r="Y169" s="63"/>
      <c r="Z169" s="63"/>
      <c r="AA169" s="63"/>
    </row>
    <row r="170" spans="2:27" s="62" customFormat="1" ht="25.9" customHeight="1">
      <c r="B170" s="84"/>
      <c r="C170" s="84"/>
      <c r="D170" s="84"/>
      <c r="E170" s="84"/>
      <c r="F170" s="84"/>
      <c r="G170" s="83">
        <v>161</v>
      </c>
      <c r="H170" s="83" t="s">
        <v>1542</v>
      </c>
      <c r="I170" s="83" t="str">
        <f>VLOOKUP(MP_cierre[[#This Row],[OT]],MP_registro[[#All],[OT]:[PROGRAMADO]],9,FALSE)</f>
        <v>G1</v>
      </c>
      <c r="J170" s="170">
        <v>44694</v>
      </c>
      <c r="K170" s="175">
        <v>44701</v>
      </c>
      <c r="L170" s="176">
        <v>0.66666666666666663</v>
      </c>
      <c r="M170" s="176">
        <v>0.69791666666666663</v>
      </c>
      <c r="Y170" s="63"/>
      <c r="Z170" s="63"/>
      <c r="AA170" s="63"/>
    </row>
    <row r="171" spans="2:27" s="62" customFormat="1" ht="25.9" customHeight="1">
      <c r="B171" s="84"/>
      <c r="C171" s="84"/>
      <c r="D171" s="84"/>
      <c r="E171" s="84"/>
      <c r="F171" s="84"/>
      <c r="G171" s="83">
        <v>162</v>
      </c>
      <c r="H171" s="83" t="s">
        <v>1543</v>
      </c>
      <c r="I171" s="83" t="str">
        <f>VLOOKUP(MP_cierre[[#This Row],[OT]],MP_registro[[#All],[OT]:[PROGRAMADO]],9,FALSE)</f>
        <v>G3</v>
      </c>
      <c r="J171" s="170">
        <v>44686</v>
      </c>
      <c r="K171" s="175">
        <v>44687</v>
      </c>
      <c r="L171" s="176">
        <v>0.4375</v>
      </c>
      <c r="M171" s="176">
        <v>0.44444444444444442</v>
      </c>
      <c r="Y171" s="63"/>
      <c r="Z171" s="63"/>
      <c r="AA171" s="63"/>
    </row>
    <row r="172" spans="2:27" s="62" customFormat="1" ht="25.9" customHeight="1">
      <c r="B172" s="84"/>
      <c r="C172" s="84"/>
      <c r="D172" s="84"/>
      <c r="E172" s="84"/>
      <c r="F172" s="84"/>
      <c r="G172" s="83">
        <v>163</v>
      </c>
      <c r="H172" s="83" t="s">
        <v>1544</v>
      </c>
      <c r="I172" s="83" t="str">
        <f>VLOOKUP(MP_cierre[[#This Row],[OT]],MP_registro[[#All],[OT]:[PROGRAMADO]],9,FALSE)</f>
        <v>G3</v>
      </c>
      <c r="J172" s="170">
        <v>44693</v>
      </c>
      <c r="K172" s="175">
        <v>44694</v>
      </c>
      <c r="L172" s="176">
        <v>0.41666666666666669</v>
      </c>
      <c r="M172" s="176">
        <v>0.4375</v>
      </c>
      <c r="Y172" s="63"/>
      <c r="Z172" s="63"/>
      <c r="AA172" s="63"/>
    </row>
    <row r="173" spans="2:27" s="62" customFormat="1" ht="25.9" customHeight="1">
      <c r="B173" s="84"/>
      <c r="C173" s="84"/>
      <c r="D173" s="84"/>
      <c r="E173" s="84"/>
      <c r="F173" s="84"/>
      <c r="G173" s="83">
        <v>164</v>
      </c>
      <c r="H173" s="83" t="s">
        <v>1545</v>
      </c>
      <c r="I173" s="83" t="str">
        <f>VLOOKUP(MP_cierre[[#This Row],[OT]],MP_registro[[#All],[OT]:[PROGRAMADO]],9,FALSE)</f>
        <v>G1</v>
      </c>
      <c r="J173" s="170">
        <v>44690</v>
      </c>
      <c r="K173" s="175">
        <v>44691</v>
      </c>
      <c r="L173" s="176">
        <v>0.90972222222222221</v>
      </c>
      <c r="M173" s="176">
        <v>0.94097222222222221</v>
      </c>
      <c r="Y173" s="63"/>
      <c r="Z173" s="63"/>
      <c r="AA173" s="63"/>
    </row>
    <row r="174" spans="2:27" s="62" customFormat="1" ht="25.9" customHeight="1">
      <c r="B174" s="84"/>
      <c r="C174" s="84"/>
      <c r="D174" s="84"/>
      <c r="E174" s="84"/>
      <c r="F174" s="84"/>
      <c r="G174" s="83">
        <v>165</v>
      </c>
      <c r="H174" s="83" t="s">
        <v>1546</v>
      </c>
      <c r="I174" s="83" t="str">
        <f>VLOOKUP(MP_cierre[[#This Row],[OT]],MP_registro[[#All],[OT]:[PROGRAMADO]],9,FALSE)</f>
        <v>G3</v>
      </c>
      <c r="J174" s="170">
        <v>44690</v>
      </c>
      <c r="K174" s="175">
        <v>44692</v>
      </c>
      <c r="L174" s="176">
        <v>0.67361111111111116</v>
      </c>
      <c r="M174" s="176">
        <v>0.6875</v>
      </c>
      <c r="Y174" s="63"/>
      <c r="Z174" s="63"/>
      <c r="AA174" s="63"/>
    </row>
    <row r="175" spans="2:27" s="62" customFormat="1" ht="25.9" customHeight="1">
      <c r="B175" s="84"/>
      <c r="C175" s="84"/>
      <c r="D175" s="84"/>
      <c r="E175" s="84"/>
      <c r="F175" s="84"/>
      <c r="G175" s="83">
        <v>166</v>
      </c>
      <c r="H175" s="83" t="s">
        <v>1547</v>
      </c>
      <c r="I175" s="83" t="str">
        <f>VLOOKUP(MP_cierre[[#This Row],[OT]],MP_registro[[#All],[OT]:[PROGRAMADO]],9,FALSE)</f>
        <v>G1</v>
      </c>
      <c r="J175" s="170">
        <v>44690</v>
      </c>
      <c r="K175" s="175">
        <v>44691</v>
      </c>
      <c r="L175" s="176">
        <v>0.1875</v>
      </c>
      <c r="M175" s="176">
        <v>0.21666666666666667</v>
      </c>
      <c r="Y175" s="63"/>
      <c r="Z175" s="63"/>
      <c r="AA175" s="63"/>
    </row>
    <row r="176" spans="2:27" s="62" customFormat="1" ht="25.9" customHeight="1">
      <c r="B176" s="84"/>
      <c r="C176" s="84"/>
      <c r="D176" s="84"/>
      <c r="E176" s="84"/>
      <c r="F176" s="84"/>
      <c r="G176" s="83">
        <v>167</v>
      </c>
      <c r="H176" s="83" t="s">
        <v>1548</v>
      </c>
      <c r="I176" s="83" t="str">
        <f>VLOOKUP(MP_cierre[[#This Row],[OT]],MP_registro[[#All],[OT]:[PROGRAMADO]],9,FALSE)</f>
        <v>G3</v>
      </c>
      <c r="J176" s="170">
        <v>44690</v>
      </c>
      <c r="K176" s="175">
        <v>44691</v>
      </c>
      <c r="L176" s="176">
        <v>0.375</v>
      </c>
      <c r="M176" s="176">
        <v>0.39583333333333331</v>
      </c>
      <c r="Y176" s="63"/>
      <c r="Z176" s="63"/>
      <c r="AA176" s="63"/>
    </row>
    <row r="177" spans="2:27" s="62" customFormat="1" ht="25.9" customHeight="1">
      <c r="B177" s="84"/>
      <c r="C177" s="84"/>
      <c r="D177" s="84"/>
      <c r="E177" s="84"/>
      <c r="F177" s="84"/>
      <c r="G177" s="83">
        <v>168</v>
      </c>
      <c r="H177" s="83" t="s">
        <v>1549</v>
      </c>
      <c r="I177" s="83" t="str">
        <f>VLOOKUP(MP_cierre[[#This Row],[OT]],MP_registro[[#All],[OT]:[PROGRAMADO]],9,FALSE)</f>
        <v>G2</v>
      </c>
      <c r="J177" s="170">
        <v>44691</v>
      </c>
      <c r="K177" s="175">
        <v>44692</v>
      </c>
      <c r="L177" s="176">
        <v>0.41666666666666669</v>
      </c>
      <c r="M177" s="176">
        <v>0.4375</v>
      </c>
      <c r="Y177" s="63"/>
      <c r="Z177" s="63"/>
      <c r="AA177" s="63"/>
    </row>
    <row r="178" spans="2:27" s="62" customFormat="1" ht="25.9" customHeight="1">
      <c r="B178" s="84"/>
      <c r="C178" s="84"/>
      <c r="D178" s="84"/>
      <c r="E178" s="84"/>
      <c r="F178" s="84"/>
      <c r="G178" s="83">
        <v>169</v>
      </c>
      <c r="H178" s="83" t="s">
        <v>1550</v>
      </c>
      <c r="I178" s="83" t="str">
        <f>VLOOKUP(MP_cierre[[#This Row],[OT]],MP_registro[[#All],[OT]:[PROGRAMADO]],9,FALSE)</f>
        <v>G2</v>
      </c>
      <c r="J178" s="170">
        <v>44690</v>
      </c>
      <c r="K178" s="175">
        <v>44692</v>
      </c>
      <c r="L178" s="176">
        <v>0.375</v>
      </c>
      <c r="M178" s="176">
        <v>0.39583333333333331</v>
      </c>
      <c r="Y178" s="63"/>
      <c r="Z178" s="63"/>
      <c r="AA178" s="63"/>
    </row>
    <row r="179" spans="2:27" s="62" customFormat="1" ht="25.9" customHeight="1">
      <c r="B179" s="84"/>
      <c r="C179" s="84"/>
      <c r="D179" s="84"/>
      <c r="E179" s="84"/>
      <c r="F179" s="84"/>
      <c r="G179" s="83">
        <v>170</v>
      </c>
      <c r="H179" s="83" t="s">
        <v>1551</v>
      </c>
      <c r="I179" s="83" t="str">
        <f>VLOOKUP(MP_cierre[[#This Row],[OT]],MP_registro[[#All],[OT]:[PROGRAMADO]],9,FALSE)</f>
        <v>G2</v>
      </c>
      <c r="J179" s="170">
        <v>44702</v>
      </c>
      <c r="K179" s="175">
        <v>44697</v>
      </c>
      <c r="L179" s="176">
        <v>0.79166666666666663</v>
      </c>
      <c r="M179" s="176">
        <v>0.875</v>
      </c>
      <c r="Y179" s="63"/>
      <c r="Z179" s="63"/>
      <c r="AA179" s="63"/>
    </row>
    <row r="180" spans="2:27" s="62" customFormat="1" ht="25.9" customHeight="1">
      <c r="B180" s="84"/>
      <c r="C180" s="84"/>
      <c r="D180" s="84"/>
      <c r="E180" s="84"/>
      <c r="F180" s="84"/>
      <c r="G180" s="83">
        <v>171</v>
      </c>
      <c r="H180" s="83" t="s">
        <v>1552</v>
      </c>
      <c r="I180" s="83" t="str">
        <f>VLOOKUP(MP_cierre[[#This Row],[OT]],MP_registro[[#All],[OT]:[PROGRAMADO]],9,FALSE)</f>
        <v>G1</v>
      </c>
      <c r="J180" s="170">
        <v>44700</v>
      </c>
      <c r="K180" s="175">
        <v>44704</v>
      </c>
      <c r="L180" s="176">
        <v>0.625</v>
      </c>
      <c r="M180" s="176">
        <v>0.65625</v>
      </c>
      <c r="Y180" s="63"/>
      <c r="Z180" s="63"/>
      <c r="AA180" s="63"/>
    </row>
    <row r="181" spans="2:27" s="62" customFormat="1" ht="25.9" customHeight="1">
      <c r="B181" s="84"/>
      <c r="C181" s="84"/>
      <c r="D181" s="84"/>
      <c r="E181" s="84"/>
      <c r="F181" s="84"/>
      <c r="G181" s="83">
        <v>172</v>
      </c>
      <c r="H181" s="83" t="s">
        <v>1553</v>
      </c>
      <c r="I181" s="83" t="str">
        <f>VLOOKUP(MP_cierre[[#This Row],[OT]],MP_registro[[#All],[OT]:[PROGRAMADO]],9,FALSE)</f>
        <v>G3</v>
      </c>
      <c r="J181" s="170">
        <v>44703</v>
      </c>
      <c r="K181" s="175">
        <v>44703</v>
      </c>
      <c r="L181" s="176">
        <v>0.4826388888888889</v>
      </c>
      <c r="M181" s="176">
        <v>0.49513888888888885</v>
      </c>
      <c r="Y181" s="63"/>
      <c r="Z181" s="63"/>
      <c r="AA181" s="63"/>
    </row>
    <row r="182" spans="2:27" s="62" customFormat="1" ht="25.9" customHeight="1">
      <c r="B182" s="84"/>
      <c r="C182" s="84"/>
      <c r="D182" s="84"/>
      <c r="E182" s="84"/>
      <c r="F182" s="84"/>
      <c r="G182" s="83">
        <v>173</v>
      </c>
      <c r="H182" s="83" t="s">
        <v>1554</v>
      </c>
      <c r="I182" s="83" t="str">
        <f>VLOOKUP(MP_cierre[[#This Row],[OT]],MP_registro[[#All],[OT]:[PROGRAMADO]],9,FALSE)</f>
        <v>G1</v>
      </c>
      <c r="J182" s="170">
        <v>44703</v>
      </c>
      <c r="K182" s="175">
        <v>44705</v>
      </c>
      <c r="L182" s="176">
        <v>0.39166666666666666</v>
      </c>
      <c r="M182" s="176">
        <v>0.42222222222222222</v>
      </c>
      <c r="Y182" s="63"/>
      <c r="Z182" s="63"/>
      <c r="AA182" s="63"/>
    </row>
    <row r="183" spans="2:27" s="62" customFormat="1" ht="25.9" customHeight="1">
      <c r="B183" s="84"/>
      <c r="C183" s="84"/>
      <c r="D183" s="84"/>
      <c r="E183" s="84"/>
      <c r="F183" s="84"/>
      <c r="G183" s="83">
        <v>174</v>
      </c>
      <c r="H183" s="83" t="s">
        <v>1555</v>
      </c>
      <c r="I183" s="83" t="str">
        <f>VLOOKUP(MP_cierre[[#This Row],[OT]],MP_registro[[#All],[OT]:[PROGRAMADO]],9,FALSE)</f>
        <v>G3</v>
      </c>
      <c r="J183" s="170">
        <v>44700</v>
      </c>
      <c r="K183" s="175">
        <v>44704</v>
      </c>
      <c r="L183" s="176">
        <v>0.97499999999999998</v>
      </c>
      <c r="M183" s="176">
        <v>0.99722222222222223</v>
      </c>
      <c r="Y183" s="63"/>
      <c r="Z183" s="63"/>
      <c r="AA183" s="63"/>
    </row>
    <row r="184" spans="2:27" s="62" customFormat="1" ht="25.9" customHeight="1">
      <c r="B184" s="84"/>
      <c r="C184" s="84"/>
      <c r="D184" s="84"/>
      <c r="E184" s="84"/>
      <c r="F184" s="84"/>
      <c r="G184" s="83">
        <v>175</v>
      </c>
      <c r="H184" s="83" t="s">
        <v>1556</v>
      </c>
      <c r="I184" s="83" t="str">
        <f>VLOOKUP(MP_cierre[[#This Row],[OT]],MP_registro[[#All],[OT]:[PROGRAMADO]],9,FALSE)</f>
        <v>G1</v>
      </c>
      <c r="J184" s="170">
        <v>44703</v>
      </c>
      <c r="K184" s="175">
        <v>44705</v>
      </c>
      <c r="L184" s="176">
        <v>0.45833333333333331</v>
      </c>
      <c r="M184" s="176">
        <v>0.4916666666666667</v>
      </c>
      <c r="Y184" s="63"/>
      <c r="Z184" s="63"/>
      <c r="AA184" s="63"/>
    </row>
    <row r="185" spans="2:27" s="62" customFormat="1" ht="25.9" customHeight="1">
      <c r="B185" s="84"/>
      <c r="C185" s="84"/>
      <c r="D185" s="84"/>
      <c r="E185" s="84"/>
      <c r="F185" s="84"/>
      <c r="G185" s="83">
        <v>176</v>
      </c>
      <c r="H185" s="83" t="s">
        <v>1557</v>
      </c>
      <c r="I185" s="83" t="str">
        <f>VLOOKUP(MP_cierre[[#This Row],[OT]],MP_registro[[#All],[OT]:[PROGRAMADO]],9,FALSE)</f>
        <v>G3</v>
      </c>
      <c r="J185" s="170">
        <v>44700</v>
      </c>
      <c r="K185" s="175">
        <v>44704</v>
      </c>
      <c r="L185" s="176">
        <v>0.94861111111111107</v>
      </c>
      <c r="M185" s="176">
        <v>0.97083333333333333</v>
      </c>
      <c r="Y185" s="63"/>
      <c r="Z185" s="63"/>
      <c r="AA185" s="63"/>
    </row>
    <row r="186" spans="2:27" s="62" customFormat="1" ht="25.9" customHeight="1">
      <c r="B186" s="84"/>
      <c r="C186" s="84"/>
      <c r="D186" s="84"/>
      <c r="E186" s="84"/>
      <c r="F186" s="84"/>
      <c r="G186" s="83">
        <v>177</v>
      </c>
      <c r="H186" s="83" t="s">
        <v>1558</v>
      </c>
      <c r="I186" s="83" t="str">
        <f>VLOOKUP(MP_cierre[[#This Row],[OT]],MP_registro[[#All],[OT]:[PROGRAMADO]],9,FALSE)</f>
        <v>G1</v>
      </c>
      <c r="J186" s="170">
        <v>44703</v>
      </c>
      <c r="K186" s="175">
        <v>44705</v>
      </c>
      <c r="L186" s="176">
        <v>0.63888888888888895</v>
      </c>
      <c r="M186" s="176">
        <v>0.67013888888888884</v>
      </c>
      <c r="Y186" s="63"/>
      <c r="Z186" s="63"/>
      <c r="AA186" s="63"/>
    </row>
    <row r="187" spans="2:27" s="62" customFormat="1" ht="25.9" customHeight="1">
      <c r="B187" s="84"/>
      <c r="C187" s="84"/>
      <c r="D187" s="84"/>
      <c r="E187" s="84"/>
      <c r="F187" s="84"/>
      <c r="G187" s="83">
        <v>178</v>
      </c>
      <c r="H187" s="83" t="s">
        <v>1559</v>
      </c>
      <c r="I187" s="83" t="str">
        <f>VLOOKUP(MP_cierre[[#This Row],[OT]],MP_registro[[#All],[OT]:[PROGRAMADO]],9,FALSE)</f>
        <v>G3</v>
      </c>
      <c r="J187" s="170">
        <v>44700</v>
      </c>
      <c r="K187" s="175">
        <v>44704</v>
      </c>
      <c r="L187" s="176">
        <v>6.9444444444444447E-4</v>
      </c>
      <c r="M187" s="176">
        <v>9.0277777777777787E-3</v>
      </c>
      <c r="Y187" s="63"/>
      <c r="Z187" s="63"/>
      <c r="AA187" s="63"/>
    </row>
    <row r="188" spans="2:27" s="62" customFormat="1" ht="25.9" customHeight="1">
      <c r="B188" s="84"/>
      <c r="C188" s="84"/>
      <c r="D188" s="84"/>
      <c r="E188" s="84"/>
      <c r="F188" s="84"/>
      <c r="G188" s="83">
        <v>179</v>
      </c>
      <c r="H188" s="83" t="s">
        <v>1560</v>
      </c>
      <c r="I188" s="83" t="str">
        <f>VLOOKUP(MP_cierre[[#This Row],[OT]],MP_registro[[#All],[OT]:[PROGRAMADO]],9,FALSE)</f>
        <v>G1</v>
      </c>
      <c r="J188" s="170">
        <v>44700</v>
      </c>
      <c r="K188" s="175">
        <v>44704</v>
      </c>
      <c r="L188" s="176">
        <v>0.38194444444444442</v>
      </c>
      <c r="M188" s="176">
        <v>0.41319444444444442</v>
      </c>
      <c r="Y188" s="63"/>
      <c r="Z188" s="63"/>
      <c r="AA188" s="63"/>
    </row>
    <row r="189" spans="2:27" s="62" customFormat="1" ht="25.9" customHeight="1">
      <c r="B189" s="84"/>
      <c r="C189" s="84"/>
      <c r="D189" s="84"/>
      <c r="E189" s="84"/>
      <c r="F189" s="84"/>
      <c r="G189" s="83">
        <v>180</v>
      </c>
      <c r="H189" s="83" t="s">
        <v>1561</v>
      </c>
      <c r="I189" s="83" t="str">
        <f>VLOOKUP(MP_cierre[[#This Row],[OT]],MP_registro[[#All],[OT]:[PROGRAMADO]],9,FALSE)</f>
        <v>G3</v>
      </c>
      <c r="J189" s="170">
        <v>44700</v>
      </c>
      <c r="K189" s="175">
        <v>44699</v>
      </c>
      <c r="L189" s="176">
        <v>0.64861111111111114</v>
      </c>
      <c r="M189" s="176">
        <v>0.66666666666666663</v>
      </c>
      <c r="Y189" s="63"/>
      <c r="Z189" s="63"/>
      <c r="AA189" s="63"/>
    </row>
    <row r="190" spans="2:27" s="62" customFormat="1" ht="25.9" customHeight="1">
      <c r="B190" s="84"/>
      <c r="C190" s="84"/>
      <c r="D190" s="84"/>
      <c r="E190" s="84"/>
      <c r="F190" s="84"/>
      <c r="G190" s="83">
        <v>181</v>
      </c>
      <c r="H190" s="83" t="s">
        <v>1562</v>
      </c>
      <c r="I190" s="83" t="str">
        <f>VLOOKUP(MP_cierre[[#This Row],[OT]],MP_registro[[#All],[OT]:[PROGRAMADO]],9,FALSE)</f>
        <v>G1</v>
      </c>
      <c r="J190" s="170">
        <v>44700</v>
      </c>
      <c r="K190" s="175">
        <v>44704</v>
      </c>
      <c r="L190" s="176">
        <v>0.43888888888888888</v>
      </c>
      <c r="M190" s="176">
        <v>0.47222222222222227</v>
      </c>
      <c r="Y190" s="63"/>
      <c r="Z190" s="63"/>
      <c r="AA190" s="63"/>
    </row>
    <row r="191" spans="2:27" s="62" customFormat="1" ht="25.9" customHeight="1">
      <c r="B191" s="84"/>
      <c r="C191" s="84"/>
      <c r="D191" s="84"/>
      <c r="E191" s="84"/>
      <c r="F191" s="84"/>
      <c r="G191" s="83">
        <v>182</v>
      </c>
      <c r="H191" s="83" t="s">
        <v>1563</v>
      </c>
      <c r="I191" s="83" t="str">
        <f>VLOOKUP(MP_cierre[[#This Row],[OT]],MP_registro[[#All],[OT]:[PROGRAMADO]],9,FALSE)</f>
        <v>G2</v>
      </c>
      <c r="J191" s="170">
        <v>44697</v>
      </c>
      <c r="K191" s="175">
        <v>44697</v>
      </c>
      <c r="L191" s="176">
        <v>3.125E-2</v>
      </c>
      <c r="M191" s="176">
        <v>6.25E-2</v>
      </c>
      <c r="Y191" s="63"/>
      <c r="Z191" s="63"/>
      <c r="AA191" s="63"/>
    </row>
    <row r="192" spans="2:27" s="62" customFormat="1" ht="25.9" customHeight="1">
      <c r="B192" s="84"/>
      <c r="C192" s="84"/>
      <c r="D192" s="84"/>
      <c r="E192" s="84"/>
      <c r="F192" s="84"/>
      <c r="G192" s="83">
        <v>183</v>
      </c>
      <c r="H192" s="83" t="s">
        <v>1564</v>
      </c>
      <c r="I192" s="83" t="str">
        <f>VLOOKUP(MP_cierre[[#This Row],[OT]],MP_registro[[#All],[OT]:[PROGRAMADO]],9,FALSE)</f>
        <v>G2</v>
      </c>
      <c r="J192" s="170">
        <v>44697</v>
      </c>
      <c r="K192" s="175">
        <v>44697</v>
      </c>
      <c r="L192" s="176">
        <v>6.25E-2</v>
      </c>
      <c r="M192" s="176">
        <v>9.375E-2</v>
      </c>
      <c r="Y192" s="63"/>
      <c r="Z192" s="63"/>
      <c r="AA192" s="63"/>
    </row>
    <row r="193" spans="2:27" s="62" customFormat="1" ht="25.9" customHeight="1">
      <c r="B193" s="84"/>
      <c r="C193" s="84"/>
      <c r="D193" s="84"/>
      <c r="E193" s="84"/>
      <c r="F193" s="84"/>
      <c r="G193" s="83">
        <v>184</v>
      </c>
      <c r="H193" s="83" t="s">
        <v>1565</v>
      </c>
      <c r="I193" s="83" t="str">
        <f>VLOOKUP(MP_cierre[[#This Row],[OT]],MP_registro[[#All],[OT]:[PROGRAMADO]],9,FALSE)</f>
        <v>G2</v>
      </c>
      <c r="J193" s="170">
        <v>44697</v>
      </c>
      <c r="K193" s="175">
        <v>44697</v>
      </c>
      <c r="L193" s="176">
        <v>9.375E-2</v>
      </c>
      <c r="M193" s="176">
        <v>0.125</v>
      </c>
      <c r="Y193" s="63"/>
      <c r="Z193" s="63"/>
      <c r="AA193" s="63"/>
    </row>
    <row r="194" spans="2:27" s="62" customFormat="1" ht="25.9" customHeight="1">
      <c r="B194" s="84"/>
      <c r="C194" s="84"/>
      <c r="D194" s="84"/>
      <c r="E194" s="84"/>
      <c r="F194" s="84"/>
      <c r="G194" s="83">
        <v>185</v>
      </c>
      <c r="H194" s="83" t="s">
        <v>1566</v>
      </c>
      <c r="I194" s="83" t="str">
        <f>VLOOKUP(MP_cierre[[#This Row],[OT]],MP_registro[[#All],[OT]:[PROGRAMADO]],9,FALSE)</f>
        <v>G2</v>
      </c>
      <c r="J194" s="170">
        <v>44697</v>
      </c>
      <c r="K194" s="175">
        <v>44697</v>
      </c>
      <c r="L194" s="176">
        <v>0.125</v>
      </c>
      <c r="M194" s="176">
        <v>0.15625</v>
      </c>
      <c r="Y194" s="63"/>
      <c r="Z194" s="63"/>
      <c r="AA194" s="63"/>
    </row>
    <row r="195" spans="2:27" s="62" customFormat="1" ht="25.9" customHeight="1">
      <c r="B195" s="84"/>
      <c r="C195" s="84"/>
      <c r="D195" s="84"/>
      <c r="E195" s="84"/>
      <c r="F195" s="84"/>
      <c r="G195" s="83">
        <v>186</v>
      </c>
      <c r="H195" s="83" t="s">
        <v>1567</v>
      </c>
      <c r="I195" s="83" t="str">
        <f>VLOOKUP(MP_cierre[[#This Row],[OT]],MP_registro[[#All],[OT]:[PROGRAMADO]],9,FALSE)</f>
        <v>G2</v>
      </c>
      <c r="J195" s="170">
        <v>44697</v>
      </c>
      <c r="K195" s="175">
        <v>44697</v>
      </c>
      <c r="L195" s="176">
        <v>0.15625</v>
      </c>
      <c r="M195" s="176">
        <v>0.1875</v>
      </c>
      <c r="Y195" s="63"/>
      <c r="Z195" s="63"/>
      <c r="AA195" s="63"/>
    </row>
    <row r="196" spans="2:27" s="62" customFormat="1" ht="25.9" customHeight="1">
      <c r="B196" s="84"/>
      <c r="C196" s="84"/>
      <c r="D196" s="84"/>
      <c r="E196" s="84"/>
      <c r="F196" s="84"/>
      <c r="G196" s="83">
        <v>187</v>
      </c>
      <c r="H196" s="83" t="s">
        <v>1568</v>
      </c>
      <c r="I196" s="83" t="str">
        <f>VLOOKUP(MP_cierre[[#This Row],[OT]],MP_registro[[#All],[OT]:[PROGRAMADO]],9,FALSE)</f>
        <v>G3</v>
      </c>
      <c r="J196" s="170">
        <v>44700</v>
      </c>
      <c r="K196" s="175">
        <v>44703</v>
      </c>
      <c r="L196" s="181">
        <v>0</v>
      </c>
      <c r="M196" s="181">
        <v>2.7777777777777776E-2</v>
      </c>
      <c r="Y196" s="63"/>
      <c r="Z196" s="63"/>
      <c r="AA196" s="63"/>
    </row>
    <row r="197" spans="2:27" s="62" customFormat="1" ht="25.9" customHeight="1">
      <c r="B197" s="84"/>
      <c r="C197" s="84"/>
      <c r="D197" s="84"/>
      <c r="E197" s="84"/>
      <c r="F197" s="84"/>
      <c r="G197" s="83">
        <v>188</v>
      </c>
      <c r="H197" s="83" t="s">
        <v>1569</v>
      </c>
      <c r="I197" s="83" t="str">
        <f>VLOOKUP(MP_cierre[[#This Row],[OT]],MP_registro[[#All],[OT]:[PROGRAMADO]],9,FALSE)</f>
        <v>G1</v>
      </c>
      <c r="J197" s="170">
        <v>44700</v>
      </c>
      <c r="K197" s="175">
        <v>44704</v>
      </c>
      <c r="L197" s="181">
        <v>0.3125</v>
      </c>
      <c r="M197" s="181">
        <v>0.36458333333333331</v>
      </c>
      <c r="Y197" s="63"/>
      <c r="Z197" s="63"/>
      <c r="AA197" s="63"/>
    </row>
    <row r="198" spans="2:27" s="62" customFormat="1" ht="25.9" customHeight="1">
      <c r="B198" s="84"/>
      <c r="C198" s="84"/>
      <c r="D198" s="84"/>
      <c r="E198" s="84"/>
      <c r="F198" s="84"/>
      <c r="G198" s="83">
        <v>189</v>
      </c>
      <c r="H198" s="83" t="s">
        <v>1570</v>
      </c>
      <c r="I198" s="83" t="str">
        <f>VLOOKUP(MP_cierre[[#This Row],[OT]],MP_registro[[#All],[OT]:[PROGRAMADO]],9,FALSE)</f>
        <v>G3</v>
      </c>
      <c r="J198" s="170">
        <v>44697</v>
      </c>
      <c r="K198" s="175">
        <v>44697</v>
      </c>
      <c r="L198" s="181">
        <v>0.4291666666666667</v>
      </c>
      <c r="M198" s="181">
        <v>0.45208333333333334</v>
      </c>
      <c r="Y198" s="63"/>
      <c r="Z198" s="63"/>
      <c r="AA198" s="63"/>
    </row>
    <row r="199" spans="2:27" s="62" customFormat="1" ht="25.9" customHeight="1">
      <c r="B199" s="84"/>
      <c r="C199" s="84"/>
      <c r="D199" s="84"/>
      <c r="E199" s="84"/>
      <c r="F199" s="84"/>
      <c r="G199" s="83">
        <v>190</v>
      </c>
      <c r="H199" s="83" t="s">
        <v>1571</v>
      </c>
      <c r="I199" s="83" t="str">
        <f>VLOOKUP(MP_cierre[[#This Row],[OT]],MP_registro[[#All],[OT]:[PROGRAMADO]],9,FALSE)</f>
        <v>G1</v>
      </c>
      <c r="J199" s="170">
        <v>44702</v>
      </c>
      <c r="K199" s="175">
        <v>44707</v>
      </c>
      <c r="L199" s="176">
        <v>0.84027777777777779</v>
      </c>
      <c r="M199" s="176">
        <v>0.875</v>
      </c>
      <c r="Y199" s="63"/>
      <c r="Z199" s="63"/>
      <c r="AA199" s="63"/>
    </row>
    <row r="200" spans="2:27" s="62" customFormat="1" ht="25.9" customHeight="1">
      <c r="B200" s="84"/>
      <c r="C200" s="84"/>
      <c r="D200" s="84"/>
      <c r="E200" s="84"/>
      <c r="F200" s="84"/>
      <c r="G200" s="83">
        <v>191</v>
      </c>
      <c r="H200" s="83" t="s">
        <v>1572</v>
      </c>
      <c r="I200" s="83" t="str">
        <f>VLOOKUP(MP_cierre[[#This Row],[OT]],MP_registro[[#All],[OT]:[PROGRAMADO]],9,FALSE)</f>
        <v>G3</v>
      </c>
      <c r="J200" s="170">
        <v>44697</v>
      </c>
      <c r="K200" s="175">
        <v>44697</v>
      </c>
      <c r="L200" s="176">
        <v>0.45833333333333331</v>
      </c>
      <c r="M200" s="176">
        <v>0.4826388888888889</v>
      </c>
      <c r="Y200" s="63"/>
      <c r="Z200" s="63"/>
      <c r="AA200" s="63"/>
    </row>
    <row r="201" spans="2:27" s="62" customFormat="1" ht="25.9" customHeight="1">
      <c r="B201" s="84"/>
      <c r="C201" s="84"/>
      <c r="D201" s="84"/>
      <c r="E201" s="84"/>
      <c r="F201" s="84"/>
      <c r="G201" s="83">
        <v>192</v>
      </c>
      <c r="H201" s="83" t="s">
        <v>1573</v>
      </c>
      <c r="I201" s="83" t="str">
        <f>VLOOKUP(MP_cierre[[#This Row],[OT]],MP_registro[[#All],[OT]:[PROGRAMADO]],9,FALSE)</f>
        <v>G2</v>
      </c>
      <c r="J201" s="170">
        <v>44703</v>
      </c>
      <c r="K201" s="175">
        <v>44698</v>
      </c>
      <c r="L201" s="176">
        <v>8.3333333333333329E-2</v>
      </c>
      <c r="M201" s="176">
        <v>0.125</v>
      </c>
      <c r="Y201" s="63"/>
      <c r="Z201" s="63"/>
      <c r="AA201" s="63"/>
    </row>
    <row r="202" spans="2:27" s="62" customFormat="1" ht="25.9" customHeight="1">
      <c r="B202" s="84"/>
      <c r="C202" s="84"/>
      <c r="D202" s="84"/>
      <c r="E202" s="84"/>
      <c r="F202" s="84"/>
      <c r="G202" s="83">
        <v>193</v>
      </c>
      <c r="H202" s="83" t="s">
        <v>1574</v>
      </c>
      <c r="I202" s="83" t="str">
        <f>VLOOKUP(MP_cierre[[#This Row],[OT]],MP_registro[[#All],[OT]:[PROGRAMADO]],9,FALSE)</f>
        <v>G1</v>
      </c>
      <c r="J202" s="170">
        <v>44703</v>
      </c>
      <c r="K202" s="175">
        <v>44707</v>
      </c>
      <c r="L202" s="176">
        <v>0.95833333333333337</v>
      </c>
      <c r="M202" s="176">
        <v>0.99305555555555547</v>
      </c>
      <c r="Y202" s="63"/>
      <c r="Z202" s="63"/>
      <c r="AA202" s="63"/>
    </row>
    <row r="203" spans="2:27" s="62" customFormat="1" ht="25.9" customHeight="1">
      <c r="B203" s="84"/>
      <c r="C203" s="84"/>
      <c r="D203" s="84"/>
      <c r="E203" s="84"/>
      <c r="F203" s="84"/>
      <c r="G203" s="83">
        <v>194</v>
      </c>
      <c r="H203" s="83" t="s">
        <v>1575</v>
      </c>
      <c r="I203" s="83" t="str">
        <f>VLOOKUP(MP_cierre[[#This Row],[OT]],MP_registro[[#All],[OT]:[PROGRAMADO]],9,FALSE)</f>
        <v>G2</v>
      </c>
      <c r="J203" s="170">
        <v>44697</v>
      </c>
      <c r="K203" s="175">
        <v>44699</v>
      </c>
      <c r="L203" s="176">
        <v>0</v>
      </c>
      <c r="M203" s="176">
        <v>4.1666666666666664E-2</v>
      </c>
      <c r="Y203" s="63"/>
      <c r="Z203" s="63"/>
      <c r="AA203" s="63"/>
    </row>
    <row r="204" spans="2:27" s="62" customFormat="1" ht="25.9" customHeight="1">
      <c r="B204" s="84"/>
      <c r="C204" s="84"/>
      <c r="D204" s="84"/>
      <c r="E204" s="84"/>
      <c r="F204" s="84"/>
      <c r="G204" s="83">
        <v>195</v>
      </c>
      <c r="H204" s="83" t="s">
        <v>1576</v>
      </c>
      <c r="I204" s="83" t="str">
        <f>VLOOKUP(MP_cierre[[#This Row],[OT]],MP_registro[[#All],[OT]:[PROGRAMADO]],9,FALSE)</f>
        <v>G2</v>
      </c>
      <c r="J204" s="170">
        <v>44703</v>
      </c>
      <c r="K204" s="175">
        <v>44698</v>
      </c>
      <c r="L204" s="176">
        <v>4.1666666666666664E-2</v>
      </c>
      <c r="M204" s="176">
        <v>8.3333333333333329E-2</v>
      </c>
      <c r="Y204" s="63"/>
      <c r="Z204" s="63"/>
      <c r="AA204" s="63"/>
    </row>
    <row r="205" spans="2:27" s="62" customFormat="1" ht="25.9" customHeight="1">
      <c r="B205" s="84"/>
      <c r="C205" s="84"/>
      <c r="D205" s="84"/>
      <c r="E205" s="84"/>
      <c r="F205" s="84"/>
      <c r="G205" s="83">
        <v>196</v>
      </c>
      <c r="H205" s="83" t="s">
        <v>1577</v>
      </c>
      <c r="I205" s="83" t="str">
        <f>VLOOKUP(MP_cierre[[#This Row],[OT]],MP_registro[[#All],[OT]:[PROGRAMADO]],9,FALSE)</f>
        <v>G2</v>
      </c>
      <c r="J205" s="170">
        <v>44702</v>
      </c>
      <c r="K205" s="175">
        <v>44700</v>
      </c>
      <c r="L205" s="176">
        <v>0</v>
      </c>
      <c r="M205" s="176">
        <v>2.0833333333333332E-2</v>
      </c>
      <c r="Y205" s="63"/>
      <c r="Z205" s="63"/>
      <c r="AA205" s="63"/>
    </row>
    <row r="206" spans="2:27" s="62" customFormat="1" ht="25.9" customHeight="1">
      <c r="B206" s="84"/>
      <c r="C206" s="84"/>
      <c r="D206" s="84"/>
      <c r="E206" s="84"/>
      <c r="F206" s="84"/>
      <c r="G206" s="83">
        <v>197</v>
      </c>
      <c r="H206" s="83" t="s">
        <v>1578</v>
      </c>
      <c r="I206" s="83" t="str">
        <f>VLOOKUP(MP_cierre[[#This Row],[OT]],MP_registro[[#All],[OT]:[PROGRAMADO]],9,FALSE)</f>
        <v>G2</v>
      </c>
      <c r="J206" s="170">
        <v>44702</v>
      </c>
      <c r="K206" s="175">
        <v>44698</v>
      </c>
      <c r="L206" s="176">
        <v>0</v>
      </c>
      <c r="M206" s="176">
        <v>4.1666666666666664E-2</v>
      </c>
      <c r="Y206" s="63"/>
      <c r="Z206" s="63"/>
      <c r="AA206" s="63"/>
    </row>
    <row r="207" spans="2:27" s="62" customFormat="1" ht="25.9" customHeight="1">
      <c r="B207" s="84"/>
      <c r="C207" s="84"/>
      <c r="D207" s="84"/>
      <c r="E207" s="84"/>
      <c r="F207" s="84"/>
      <c r="G207" s="83">
        <v>198</v>
      </c>
      <c r="H207" s="83" t="s">
        <v>1579</v>
      </c>
      <c r="I207" s="83" t="str">
        <f>VLOOKUP(MP_cierre[[#This Row],[OT]],MP_registro[[#All],[OT]:[PROGRAMADO]],9,FALSE)</f>
        <v>G2</v>
      </c>
      <c r="J207" s="170">
        <v>44697</v>
      </c>
      <c r="K207" s="175">
        <v>44700</v>
      </c>
      <c r="L207" s="176">
        <v>4.1666666666666664E-2</v>
      </c>
      <c r="M207" s="176">
        <v>6.25E-2</v>
      </c>
      <c r="Y207" s="63"/>
      <c r="Z207" s="63"/>
      <c r="AA207" s="63"/>
    </row>
    <row r="208" spans="2:27" s="62" customFormat="1" ht="25.9" customHeight="1">
      <c r="B208" s="84"/>
      <c r="C208" s="84"/>
      <c r="D208" s="84"/>
      <c r="E208" s="84"/>
      <c r="F208" s="84"/>
      <c r="G208" s="83">
        <v>199</v>
      </c>
      <c r="H208" s="83" t="s">
        <v>1580</v>
      </c>
      <c r="I208" s="83" t="str">
        <f>VLOOKUP(MP_cierre[[#This Row],[OT]],MP_registro[[#All],[OT]:[PROGRAMADO]],9,FALSE)</f>
        <v>G1</v>
      </c>
      <c r="J208" s="170">
        <v>44699</v>
      </c>
      <c r="K208" s="175">
        <v>44706</v>
      </c>
      <c r="L208" s="176">
        <v>0.60416666666666663</v>
      </c>
      <c r="M208" s="176">
        <v>0.63541666666666663</v>
      </c>
      <c r="Y208" s="63"/>
      <c r="Z208" s="63"/>
      <c r="AA208" s="63"/>
    </row>
    <row r="209" spans="2:27" s="62" customFormat="1" ht="25.9" customHeight="1">
      <c r="B209" s="84"/>
      <c r="C209" s="84"/>
      <c r="D209" s="84"/>
      <c r="E209" s="84"/>
      <c r="F209" s="84"/>
      <c r="G209" s="83">
        <v>200</v>
      </c>
      <c r="H209" s="83" t="s">
        <v>1581</v>
      </c>
      <c r="I209" s="83" t="str">
        <f>VLOOKUP(MP_cierre[[#This Row],[OT]],MP_registro[[#All],[OT]:[PROGRAMADO]],9,FALSE)</f>
        <v>G3</v>
      </c>
      <c r="J209" s="170">
        <v>44699</v>
      </c>
      <c r="K209" s="175">
        <v>44699</v>
      </c>
      <c r="L209" s="176">
        <v>0.56458333333333333</v>
      </c>
      <c r="M209" s="176">
        <v>0.58333333333333337</v>
      </c>
      <c r="Y209" s="63"/>
      <c r="Z209" s="63"/>
      <c r="AA209" s="63"/>
    </row>
    <row r="210" spans="2:27" s="62" customFormat="1" ht="25.9" customHeight="1">
      <c r="B210" s="84"/>
      <c r="C210" s="84"/>
      <c r="D210" s="84"/>
      <c r="E210" s="84"/>
      <c r="F210" s="84"/>
      <c r="G210" s="83">
        <v>201</v>
      </c>
      <c r="H210" s="83" t="s">
        <v>1582</v>
      </c>
      <c r="I210" s="83" t="str">
        <f>VLOOKUP(MP_cierre[[#This Row],[OT]],MP_registro[[#All],[OT]:[PROGRAMADO]],9,FALSE)</f>
        <v>G1</v>
      </c>
      <c r="J210" s="170">
        <v>44700</v>
      </c>
      <c r="K210" s="175">
        <v>44705</v>
      </c>
      <c r="L210" s="176">
        <v>0.69791666666666663</v>
      </c>
      <c r="M210" s="176">
        <v>0.72777777777777775</v>
      </c>
      <c r="Y210" s="63"/>
      <c r="Z210" s="63"/>
      <c r="AA210" s="63"/>
    </row>
    <row r="211" spans="2:27" s="62" customFormat="1" ht="25.9" customHeight="1">
      <c r="B211" s="84"/>
      <c r="C211" s="84"/>
      <c r="D211" s="84"/>
      <c r="E211" s="84"/>
      <c r="F211" s="84"/>
      <c r="G211" s="83">
        <v>202</v>
      </c>
      <c r="H211" s="83" t="s">
        <v>1583</v>
      </c>
      <c r="I211" s="83" t="str">
        <f>VLOOKUP(MP_cierre[[#This Row],[OT]],MP_registro[[#All],[OT]:[PROGRAMADO]],9,FALSE)</f>
        <v>G3</v>
      </c>
      <c r="J211" s="170">
        <v>44698</v>
      </c>
      <c r="K211" s="175">
        <v>44698</v>
      </c>
      <c r="L211" s="176">
        <v>0.75</v>
      </c>
      <c r="M211" s="176">
        <v>0.76388888888888884</v>
      </c>
      <c r="Y211" s="63"/>
      <c r="Z211" s="63"/>
      <c r="AA211" s="63"/>
    </row>
    <row r="212" spans="2:27" s="62" customFormat="1" ht="25.9" customHeight="1">
      <c r="B212" s="84"/>
      <c r="C212" s="84"/>
      <c r="D212" s="84"/>
      <c r="E212" s="84"/>
      <c r="F212" s="84"/>
      <c r="G212" s="83">
        <v>203</v>
      </c>
      <c r="H212" s="83" t="s">
        <v>1584</v>
      </c>
      <c r="I212" s="83" t="str">
        <f>VLOOKUP(MP_cierre[[#This Row],[OT]],MP_registro[[#All],[OT]:[PROGRAMADO]],9,FALSE)</f>
        <v>G3</v>
      </c>
      <c r="J212" s="170">
        <v>44700</v>
      </c>
      <c r="K212" s="175">
        <v>44699</v>
      </c>
      <c r="L212" s="176">
        <v>0.4375</v>
      </c>
      <c r="M212" s="176">
        <v>0.45902777777777781</v>
      </c>
      <c r="Y212" s="63"/>
      <c r="Z212" s="63"/>
      <c r="AA212" s="63"/>
    </row>
    <row r="213" spans="2:27" s="62" customFormat="1" ht="25.9" customHeight="1">
      <c r="B213" s="84"/>
      <c r="C213" s="84"/>
      <c r="D213" s="84"/>
      <c r="E213" s="84"/>
      <c r="F213" s="84"/>
      <c r="G213" s="83">
        <v>204</v>
      </c>
      <c r="H213" s="83" t="s">
        <v>1585</v>
      </c>
      <c r="I213" s="83" t="str">
        <f>VLOOKUP(MP_cierre[[#This Row],[OT]],MP_registro[[#All],[OT]:[PROGRAMADO]],9,FALSE)</f>
        <v>G1</v>
      </c>
      <c r="J213" s="170">
        <v>44699</v>
      </c>
      <c r="K213" s="175">
        <v>44706</v>
      </c>
      <c r="L213" s="176">
        <v>0.4236111111111111</v>
      </c>
      <c r="M213" s="176">
        <v>0.46180555555555558</v>
      </c>
      <c r="Y213" s="63"/>
      <c r="Z213" s="63"/>
      <c r="AA213" s="63"/>
    </row>
    <row r="214" spans="2:27" s="62" customFormat="1" ht="25.9" customHeight="1">
      <c r="B214" s="84"/>
      <c r="C214" s="84"/>
      <c r="D214" s="84"/>
      <c r="E214" s="84"/>
      <c r="F214" s="84"/>
      <c r="G214" s="83">
        <v>205</v>
      </c>
      <c r="H214" s="83" t="s">
        <v>1586</v>
      </c>
      <c r="I214" s="83" t="str">
        <f>VLOOKUP(MP_cierre[[#This Row],[OT]],MP_registro[[#All],[OT]:[PROGRAMADO]],9,FALSE)</f>
        <v>G2</v>
      </c>
      <c r="J214" s="170">
        <v>44700</v>
      </c>
      <c r="K214" s="175">
        <v>44700</v>
      </c>
      <c r="L214" s="176">
        <v>2.0833333333333332E-2</v>
      </c>
      <c r="M214" s="176">
        <v>4.1666666666666664E-2</v>
      </c>
      <c r="Y214" s="63"/>
      <c r="Z214" s="63"/>
      <c r="AA214" s="63"/>
    </row>
    <row r="215" spans="2:27" s="62" customFormat="1" ht="25.9" customHeight="1">
      <c r="B215" s="84"/>
      <c r="C215" s="84"/>
      <c r="D215" s="84"/>
      <c r="E215" s="84"/>
      <c r="F215" s="84"/>
      <c r="G215" s="83">
        <v>206</v>
      </c>
      <c r="H215" s="83" t="s">
        <v>1587</v>
      </c>
      <c r="I215" s="83" t="str">
        <f>VLOOKUP(MP_cierre[[#This Row],[OT]],MP_registro[[#All],[OT]:[PROGRAMADO]],9,FALSE)</f>
        <v>G1</v>
      </c>
      <c r="J215" s="170">
        <v>44701</v>
      </c>
      <c r="K215" s="175">
        <v>44706</v>
      </c>
      <c r="L215" s="176">
        <v>0.88888888888888884</v>
      </c>
      <c r="M215" s="176">
        <v>0.91527777777777775</v>
      </c>
      <c r="Y215" s="63"/>
      <c r="Z215" s="63"/>
      <c r="AA215" s="63"/>
    </row>
    <row r="216" spans="2:27" s="62" customFormat="1" ht="25.9" customHeight="1">
      <c r="B216" s="84"/>
      <c r="C216" s="84"/>
      <c r="D216" s="84"/>
      <c r="E216" s="84"/>
      <c r="F216" s="84"/>
      <c r="G216" s="83">
        <v>207</v>
      </c>
      <c r="H216" s="83" t="s">
        <v>1588</v>
      </c>
      <c r="I216" s="83" t="str">
        <f>VLOOKUP(MP_cierre[[#This Row],[OT]],MP_registro[[#All],[OT]:[PROGRAMADO]],9,FALSE)</f>
        <v>G3</v>
      </c>
      <c r="J216" s="170">
        <v>44700</v>
      </c>
      <c r="K216" s="175">
        <v>44702</v>
      </c>
      <c r="L216" s="176">
        <v>0.96597222222222223</v>
      </c>
      <c r="M216" s="176">
        <v>0.98472222222222217</v>
      </c>
      <c r="Y216" s="63"/>
      <c r="Z216" s="63"/>
      <c r="AA216" s="63"/>
    </row>
    <row r="217" spans="2:27" s="62" customFormat="1" ht="25.9" customHeight="1">
      <c r="B217" s="84"/>
      <c r="C217" s="84"/>
      <c r="D217" s="84"/>
      <c r="E217" s="84"/>
      <c r="F217" s="84"/>
      <c r="G217" s="83">
        <v>208</v>
      </c>
      <c r="H217" s="83" t="s">
        <v>1589</v>
      </c>
      <c r="I217" s="83" t="str">
        <f>VLOOKUP(MP_cierre[[#This Row],[OT]],MP_registro[[#All],[OT]:[PROGRAMADO]],9,FALSE)</f>
        <v>G1</v>
      </c>
      <c r="J217" s="170">
        <v>44697</v>
      </c>
      <c r="K217" s="175">
        <v>44702</v>
      </c>
      <c r="L217" s="176">
        <v>0.44305555555555554</v>
      </c>
      <c r="M217" s="176">
        <v>0.47361111111111115</v>
      </c>
      <c r="Y217" s="63"/>
      <c r="Z217" s="63"/>
      <c r="AA217" s="63"/>
    </row>
    <row r="218" spans="2:27" s="62" customFormat="1" ht="25.9" customHeight="1">
      <c r="B218" s="89"/>
      <c r="C218" s="89"/>
      <c r="D218" s="89"/>
      <c r="E218" s="89"/>
      <c r="F218" s="89"/>
      <c r="G218" s="83">
        <v>209</v>
      </c>
      <c r="H218" s="83" t="s">
        <v>1590</v>
      </c>
      <c r="I218" s="83" t="str">
        <f>VLOOKUP(MP_cierre[[#This Row],[OT]],MP_registro[[#All],[OT]:[PROGRAMADO]],9,FALSE)</f>
        <v>G3</v>
      </c>
      <c r="J218" s="170">
        <v>44697</v>
      </c>
      <c r="K218" s="175">
        <v>44698</v>
      </c>
      <c r="L218" s="176">
        <v>0.72222222222222221</v>
      </c>
      <c r="M218" s="176">
        <v>0.74444444444444446</v>
      </c>
      <c r="Y218" s="63"/>
      <c r="Z218" s="63"/>
      <c r="AA218" s="63"/>
    </row>
    <row r="219" spans="2:27" s="62" customFormat="1" ht="25.9" customHeight="1">
      <c r="B219" s="89"/>
      <c r="C219" s="89"/>
      <c r="D219" s="89"/>
      <c r="E219" s="89"/>
      <c r="F219" s="89"/>
      <c r="G219" s="83">
        <v>210</v>
      </c>
      <c r="H219" s="83" t="s">
        <v>1591</v>
      </c>
      <c r="I219" s="83" t="str">
        <f>VLOOKUP(MP_cierre[[#This Row],[OT]],MP_registro[[#All],[OT]:[PROGRAMADO]],9,FALSE)</f>
        <v>G1</v>
      </c>
      <c r="J219" s="170">
        <v>44697</v>
      </c>
      <c r="K219" s="175">
        <v>44701</v>
      </c>
      <c r="L219" s="176">
        <v>0.67361111111111116</v>
      </c>
      <c r="M219" s="176">
        <v>0.70486111111111116</v>
      </c>
      <c r="Y219" s="63"/>
      <c r="Z219" s="63"/>
      <c r="AA219" s="63"/>
    </row>
    <row r="220" spans="2:27" s="62" customFormat="1" ht="25.9" customHeight="1">
      <c r="B220" s="89"/>
      <c r="C220" s="89"/>
      <c r="D220" s="89"/>
      <c r="E220" s="89"/>
      <c r="F220" s="89"/>
      <c r="G220" s="83">
        <v>211</v>
      </c>
      <c r="H220" s="83" t="s">
        <v>1592</v>
      </c>
      <c r="I220" s="83" t="str">
        <f>VLOOKUP(MP_cierre[[#This Row],[OT]],MP_registro[[#All],[OT]:[PROGRAMADO]],9,FALSE)</f>
        <v>G3</v>
      </c>
      <c r="J220" s="170">
        <v>44697</v>
      </c>
      <c r="K220" s="175">
        <v>44698</v>
      </c>
      <c r="L220" s="176">
        <v>0.6972222222222223</v>
      </c>
      <c r="M220" s="176">
        <v>0.71944444444444444</v>
      </c>
      <c r="Y220" s="63"/>
      <c r="Z220" s="63"/>
      <c r="AA220" s="63"/>
    </row>
    <row r="221" spans="2:27" s="62" customFormat="1" ht="25.9" customHeight="1">
      <c r="B221" s="89"/>
      <c r="C221" s="89"/>
      <c r="D221" s="89"/>
      <c r="E221" s="89"/>
      <c r="F221" s="89"/>
      <c r="G221" s="83">
        <v>212</v>
      </c>
      <c r="H221" s="83" t="s">
        <v>1593</v>
      </c>
      <c r="I221" s="83" t="str">
        <f>VLOOKUP(MP_cierre[[#This Row],[OT]],MP_registro[[#All],[OT]:[PROGRAMADO]],9,FALSE)</f>
        <v>G2</v>
      </c>
      <c r="J221" s="170">
        <v>44698</v>
      </c>
      <c r="K221" s="175">
        <v>44700</v>
      </c>
      <c r="L221" s="176">
        <v>0</v>
      </c>
      <c r="M221" s="176">
        <v>6.9444444444444441E-3</v>
      </c>
      <c r="Y221" s="63"/>
      <c r="Z221" s="63"/>
      <c r="AA221" s="63"/>
    </row>
    <row r="222" spans="2:27" s="62" customFormat="1" ht="25.9" customHeight="1">
      <c r="B222" s="89"/>
      <c r="C222" s="89"/>
      <c r="D222" s="89"/>
      <c r="E222" s="89"/>
      <c r="F222" s="89"/>
      <c r="G222" s="83">
        <v>213</v>
      </c>
      <c r="H222" s="83" t="s">
        <v>1594</v>
      </c>
      <c r="I222" s="83" t="str">
        <f>VLOOKUP(MP_cierre[[#This Row],[OT]],MP_registro[[#All],[OT]:[PROGRAMADO]],9,FALSE)</f>
        <v>G2</v>
      </c>
      <c r="J222" s="170">
        <v>44697</v>
      </c>
      <c r="K222" s="175">
        <v>44699</v>
      </c>
      <c r="L222" s="176">
        <v>4.1666666666666664E-2</v>
      </c>
      <c r="M222" s="176">
        <v>6.25E-2</v>
      </c>
      <c r="Y222" s="63"/>
      <c r="Z222" s="63"/>
      <c r="AA222" s="63"/>
    </row>
    <row r="223" spans="2:27" s="62" customFormat="1" ht="25.9" customHeight="1">
      <c r="B223" s="89"/>
      <c r="C223" s="89"/>
      <c r="D223" s="89"/>
      <c r="E223" s="89"/>
      <c r="F223" s="89"/>
      <c r="G223" s="83">
        <v>214</v>
      </c>
      <c r="H223" s="83" t="s">
        <v>1595</v>
      </c>
      <c r="I223" s="83" t="str">
        <f>VLOOKUP(MP_cierre[[#This Row],[OT]],MP_registro[[#All],[OT]:[PROGRAMADO]],9,FALSE)</f>
        <v>G1</v>
      </c>
      <c r="J223" s="170">
        <v>44707</v>
      </c>
      <c r="K223" s="175">
        <v>44709</v>
      </c>
      <c r="L223" s="176">
        <v>0.83333333333333337</v>
      </c>
      <c r="M223" s="176">
        <v>0.86805555555555547</v>
      </c>
      <c r="Y223" s="63"/>
      <c r="Z223" s="63"/>
      <c r="AA223" s="63"/>
    </row>
    <row r="224" spans="2:27" s="62" customFormat="1" ht="25.9" customHeight="1">
      <c r="B224" s="89"/>
      <c r="C224" s="89"/>
      <c r="D224" s="89"/>
      <c r="E224" s="89"/>
      <c r="F224" s="89"/>
      <c r="G224" s="83">
        <v>215</v>
      </c>
      <c r="H224" s="83" t="s">
        <v>1606</v>
      </c>
      <c r="I224" s="83" t="str">
        <f>VLOOKUP(MP_cierre[[#This Row],[OT]],MP_registro[[#All],[OT]:[PROGRAMADO]],9,FALSE)</f>
        <v>G2</v>
      </c>
      <c r="J224" s="170">
        <v>44704</v>
      </c>
      <c r="K224" s="175">
        <v>44710</v>
      </c>
      <c r="L224" s="176">
        <v>0.375</v>
      </c>
      <c r="M224" s="176">
        <v>0.41666666666666669</v>
      </c>
      <c r="Y224" s="63"/>
      <c r="Z224" s="63"/>
      <c r="AA224" s="63"/>
    </row>
    <row r="225" spans="2:27" s="62" customFormat="1" ht="25.9" customHeight="1">
      <c r="B225" s="89"/>
      <c r="C225" s="89"/>
      <c r="D225" s="89"/>
      <c r="E225" s="89"/>
      <c r="F225" s="89"/>
      <c r="G225" s="83">
        <v>216</v>
      </c>
      <c r="H225" s="83" t="s">
        <v>1596</v>
      </c>
      <c r="I225" s="83" t="str">
        <f>VLOOKUP(MP_cierre[[#This Row],[OT]],MP_registro[[#All],[OT]:[PROGRAMADO]],9,FALSE)</f>
        <v>G1</v>
      </c>
      <c r="J225" s="170">
        <v>44704</v>
      </c>
      <c r="K225" s="175">
        <v>44708</v>
      </c>
      <c r="L225" s="176">
        <v>8.3333333333333329E-2</v>
      </c>
      <c r="M225" s="176">
        <v>0.11944444444444445</v>
      </c>
      <c r="Y225" s="63"/>
      <c r="Z225" s="63"/>
      <c r="AA225" s="63"/>
    </row>
    <row r="226" spans="2:27" s="62" customFormat="1" ht="25.9" customHeight="1">
      <c r="B226" s="89"/>
      <c r="C226" s="89"/>
      <c r="D226" s="89"/>
      <c r="E226" s="89"/>
      <c r="F226" s="89"/>
      <c r="G226" s="83">
        <v>217</v>
      </c>
      <c r="H226" s="83" t="s">
        <v>1607</v>
      </c>
      <c r="I226" s="83" t="str">
        <f>VLOOKUP(MP_cierre[[#This Row],[OT]],MP_registro[[#All],[OT]:[PROGRAMADO]],9,FALSE)</f>
        <v>G2</v>
      </c>
      <c r="J226" s="170">
        <v>44704</v>
      </c>
      <c r="K226" s="175">
        <v>44708</v>
      </c>
      <c r="L226" s="176">
        <v>0.66666666666666663</v>
      </c>
      <c r="M226" s="176">
        <v>0.77083333333333337</v>
      </c>
      <c r="Y226" s="63"/>
      <c r="Z226" s="63"/>
      <c r="AA226" s="63"/>
    </row>
    <row r="227" spans="2:27" s="62" customFormat="1" ht="25.9" customHeight="1">
      <c r="B227" s="89"/>
      <c r="C227" s="89"/>
      <c r="D227" s="89"/>
      <c r="E227" s="89"/>
      <c r="F227" s="89"/>
      <c r="G227" s="83">
        <v>218</v>
      </c>
      <c r="H227" s="83" t="s">
        <v>1597</v>
      </c>
      <c r="I227" s="83" t="str">
        <f>VLOOKUP(MP_cierre[[#This Row],[OT]],MP_registro[[#All],[OT]:[PROGRAMADO]],9,FALSE)</f>
        <v>G1</v>
      </c>
      <c r="J227" s="170">
        <v>44708</v>
      </c>
      <c r="K227" s="175">
        <v>44709</v>
      </c>
      <c r="L227" s="176">
        <v>0.89583333333333337</v>
      </c>
      <c r="M227" s="176">
        <v>0.95833333333333337</v>
      </c>
      <c r="Y227" s="63"/>
      <c r="Z227" s="63"/>
      <c r="AA227" s="63"/>
    </row>
    <row r="228" spans="2:27" s="62" customFormat="1" ht="25.9" customHeight="1">
      <c r="B228" s="89"/>
      <c r="C228" s="89"/>
      <c r="D228" s="89"/>
      <c r="E228" s="89"/>
      <c r="F228" s="89"/>
      <c r="G228" s="83">
        <v>219</v>
      </c>
      <c r="H228" s="83" t="s">
        <v>1598</v>
      </c>
      <c r="I228" s="83" t="str">
        <f>VLOOKUP(MP_cierre[[#This Row],[OT]],MP_registro[[#All],[OT]:[PROGRAMADO]],9,FALSE)</f>
        <v>G1</v>
      </c>
      <c r="J228" s="170">
        <v>44704</v>
      </c>
      <c r="K228" s="175">
        <v>44708</v>
      </c>
      <c r="L228" s="176">
        <v>0.95833333333333337</v>
      </c>
      <c r="M228" s="176">
        <v>0</v>
      </c>
      <c r="Y228" s="63"/>
      <c r="Z228" s="63"/>
      <c r="AA228" s="63"/>
    </row>
    <row r="229" spans="2:27" s="62" customFormat="1" ht="25.9" customHeight="1">
      <c r="B229" s="89"/>
      <c r="C229" s="89"/>
      <c r="D229" s="89"/>
      <c r="E229" s="89"/>
      <c r="F229" s="89"/>
      <c r="G229" s="83">
        <v>220</v>
      </c>
      <c r="H229" s="83" t="s">
        <v>1608</v>
      </c>
      <c r="I229" s="83" t="str">
        <f>VLOOKUP(MP_cierre[[#This Row],[OT]],MP_registro[[#All],[OT]:[PROGRAMADO]],9,FALSE)</f>
        <v>G4</v>
      </c>
      <c r="J229" s="170">
        <v>44708</v>
      </c>
      <c r="K229" s="175">
        <v>44710</v>
      </c>
      <c r="L229" s="176">
        <v>0.41666666666666669</v>
      </c>
      <c r="M229" s="176">
        <v>0.45833333333333331</v>
      </c>
      <c r="Y229" s="63"/>
      <c r="Z229" s="63"/>
      <c r="AA229" s="63"/>
    </row>
    <row r="230" spans="2:27" s="62" customFormat="1" ht="25.9" customHeight="1">
      <c r="B230" s="89"/>
      <c r="C230" s="89"/>
      <c r="D230" s="89"/>
      <c r="E230" s="89"/>
      <c r="F230" s="89"/>
      <c r="G230" s="83">
        <v>221</v>
      </c>
      <c r="H230" s="83" t="s">
        <v>1609</v>
      </c>
      <c r="I230" s="83" t="str">
        <f>VLOOKUP(MP_cierre[[#This Row],[OT]],MP_registro[[#All],[OT]:[PROGRAMADO]],9,FALSE)</f>
        <v>G4</v>
      </c>
      <c r="J230" s="170">
        <v>44708</v>
      </c>
      <c r="K230" s="175">
        <v>44710</v>
      </c>
      <c r="L230" s="176">
        <v>0.375</v>
      </c>
      <c r="M230" s="176">
        <v>0.41666666666666669</v>
      </c>
      <c r="Y230" s="63"/>
      <c r="Z230" s="63"/>
      <c r="AA230" s="63"/>
    </row>
    <row r="231" spans="2:27" s="62" customFormat="1" ht="25.9" customHeight="1">
      <c r="B231" s="89"/>
      <c r="C231" s="89"/>
      <c r="D231" s="89"/>
      <c r="E231" s="89"/>
      <c r="F231" s="89"/>
      <c r="G231" s="83">
        <v>222</v>
      </c>
      <c r="H231" s="83" t="s">
        <v>1610</v>
      </c>
      <c r="I231" s="83" t="str">
        <f>VLOOKUP(MP_cierre[[#This Row],[OT]],MP_registro[[#All],[OT]:[PROGRAMADO]],9,FALSE)</f>
        <v>G2</v>
      </c>
      <c r="J231" s="170">
        <v>44704</v>
      </c>
      <c r="K231" s="175">
        <v>44710</v>
      </c>
      <c r="L231" s="176">
        <v>0.33333333333333331</v>
      </c>
      <c r="M231" s="176">
        <v>0.35416666666666669</v>
      </c>
      <c r="Y231" s="63"/>
      <c r="Z231" s="63"/>
      <c r="AA231" s="63"/>
    </row>
    <row r="232" spans="2:27" s="62" customFormat="1" ht="25.9" customHeight="1">
      <c r="B232" s="89"/>
      <c r="C232" s="89"/>
      <c r="D232" s="89"/>
      <c r="E232" s="89"/>
      <c r="F232" s="89"/>
      <c r="G232" s="83">
        <v>223</v>
      </c>
      <c r="H232" s="83" t="s">
        <v>1599</v>
      </c>
      <c r="I232" s="83" t="str">
        <f>VLOOKUP(MP_cierre[[#This Row],[OT]],MP_registro[[#All],[OT]:[PROGRAMADO]],9,FALSE)</f>
        <v>G1</v>
      </c>
      <c r="J232" s="170">
        <v>44709</v>
      </c>
      <c r="K232" s="175">
        <v>44710</v>
      </c>
      <c r="L232" s="176">
        <v>0.9375</v>
      </c>
      <c r="M232" s="176">
        <v>0.96875</v>
      </c>
      <c r="Y232" s="63"/>
      <c r="Z232" s="63"/>
      <c r="AA232" s="63"/>
    </row>
    <row r="233" spans="2:27" s="62" customFormat="1" ht="25.9" customHeight="1">
      <c r="B233" s="89"/>
      <c r="C233" s="89"/>
      <c r="D233" s="89"/>
      <c r="E233" s="89"/>
      <c r="F233" s="89"/>
      <c r="G233" s="83">
        <v>224</v>
      </c>
      <c r="H233" s="83" t="s">
        <v>1600</v>
      </c>
      <c r="I233" s="83" t="str">
        <f>VLOOKUP(MP_cierre[[#This Row],[OT]],MP_registro[[#All],[OT]:[PROGRAMADO]],9,FALSE)</f>
        <v>G1</v>
      </c>
      <c r="J233" s="170">
        <v>44704</v>
      </c>
      <c r="K233" s="175">
        <v>44707</v>
      </c>
      <c r="L233" s="176">
        <v>0.91666666666666663</v>
      </c>
      <c r="M233" s="176">
        <v>0.9375</v>
      </c>
      <c r="Y233" s="63"/>
      <c r="Z233" s="63"/>
      <c r="AA233" s="63"/>
    </row>
    <row r="234" spans="2:27" s="62" customFormat="1" ht="25.9" customHeight="1">
      <c r="B234" s="89"/>
      <c r="C234" s="89"/>
      <c r="D234" s="89"/>
      <c r="E234" s="89"/>
      <c r="F234" s="89"/>
      <c r="G234" s="83">
        <v>225</v>
      </c>
      <c r="H234" s="83" t="s">
        <v>1611</v>
      </c>
      <c r="I234" s="83" t="str">
        <f>VLOOKUP(MP_cierre[[#This Row],[OT]],MP_registro[[#All],[OT]:[PROGRAMADO]],9,FALSE)</f>
        <v>G3</v>
      </c>
      <c r="J234" s="170">
        <v>44710</v>
      </c>
      <c r="K234" s="175">
        <v>44704</v>
      </c>
      <c r="L234" s="176">
        <v>0.85416666666666663</v>
      </c>
      <c r="M234" s="176">
        <v>0.875</v>
      </c>
      <c r="Y234" s="63"/>
      <c r="Z234" s="63"/>
      <c r="AA234" s="63"/>
    </row>
    <row r="235" spans="2:27" s="62" customFormat="1" ht="25.9" customHeight="1">
      <c r="B235" s="89"/>
      <c r="C235" s="89"/>
      <c r="D235" s="89"/>
      <c r="E235" s="89"/>
      <c r="F235" s="89"/>
      <c r="G235" s="83">
        <v>226</v>
      </c>
      <c r="H235" s="83" t="s">
        <v>1612</v>
      </c>
      <c r="I235" s="83" t="str">
        <f>VLOOKUP(MP_cierre[[#This Row],[OT]],MP_registro[[#All],[OT]:[PROGRAMADO]],9,FALSE)</f>
        <v>G3</v>
      </c>
      <c r="J235" s="170">
        <v>44710</v>
      </c>
      <c r="K235" s="175">
        <v>44704</v>
      </c>
      <c r="L235" s="176">
        <v>0.89583333333333337</v>
      </c>
      <c r="M235" s="176">
        <v>0.91666666666666663</v>
      </c>
      <c r="Y235" s="63"/>
      <c r="Z235" s="63"/>
      <c r="AA235" s="63"/>
    </row>
    <row r="236" spans="2:27" s="62" customFormat="1" ht="25.9" customHeight="1">
      <c r="B236" s="89"/>
      <c r="C236" s="89"/>
      <c r="D236" s="89"/>
      <c r="E236" s="89"/>
      <c r="F236" s="89"/>
      <c r="G236" s="83">
        <v>227</v>
      </c>
      <c r="H236" s="83" t="s">
        <v>1601</v>
      </c>
      <c r="I236" s="83" t="str">
        <f>VLOOKUP(MP_cierre[[#This Row],[OT]],MP_registro[[#All],[OT]:[PROGRAMADO]],9,FALSE)</f>
        <v>G1</v>
      </c>
      <c r="J236" s="170">
        <v>44704</v>
      </c>
      <c r="K236" s="175">
        <v>44707</v>
      </c>
      <c r="L236" s="176">
        <v>0.875</v>
      </c>
      <c r="M236" s="176">
        <v>0.90277777777777779</v>
      </c>
      <c r="Y236" s="63"/>
      <c r="Z236" s="63"/>
      <c r="AA236" s="63"/>
    </row>
    <row r="237" spans="2:27" s="62" customFormat="1" ht="25.9" customHeight="1">
      <c r="B237" s="89"/>
      <c r="C237" s="89"/>
      <c r="D237" s="89"/>
      <c r="E237" s="89"/>
      <c r="F237" s="89"/>
      <c r="G237" s="83">
        <v>228</v>
      </c>
      <c r="H237" s="83" t="s">
        <v>1613</v>
      </c>
      <c r="I237" s="83" t="str">
        <f>VLOOKUP(MP_cierre[[#This Row],[OT]],MP_registro[[#All],[OT]:[PROGRAMADO]],9,FALSE)</f>
        <v>G2</v>
      </c>
      <c r="J237" s="170">
        <v>44710</v>
      </c>
      <c r="K237" s="175">
        <v>44709</v>
      </c>
      <c r="L237" s="176">
        <v>0.60416666666666663</v>
      </c>
      <c r="M237" s="176">
        <v>0.625</v>
      </c>
      <c r="Y237" s="63"/>
      <c r="Z237" s="63"/>
      <c r="AA237" s="63"/>
    </row>
    <row r="238" spans="2:27" s="62" customFormat="1" ht="25.9" customHeight="1">
      <c r="B238" s="89"/>
      <c r="C238" s="89"/>
      <c r="D238" s="89"/>
      <c r="E238" s="89"/>
      <c r="F238" s="89"/>
      <c r="G238" s="83">
        <v>229</v>
      </c>
      <c r="H238" s="83" t="s">
        <v>1614</v>
      </c>
      <c r="I238" s="83" t="str">
        <f>VLOOKUP(MP_cierre[[#This Row],[OT]],MP_registro[[#All],[OT]:[PROGRAMADO]],9,FALSE)</f>
        <v>G2</v>
      </c>
      <c r="J238" s="170">
        <v>44709</v>
      </c>
      <c r="K238" s="175">
        <v>44708</v>
      </c>
      <c r="L238" s="176">
        <v>0.39583333333333331</v>
      </c>
      <c r="M238" s="176">
        <v>0.41666666666666669</v>
      </c>
      <c r="Y238" s="63"/>
      <c r="Z238" s="63"/>
      <c r="AA238" s="63"/>
    </row>
    <row r="239" spans="2:27" s="62" customFormat="1" ht="25.9" customHeight="1">
      <c r="B239" s="89"/>
      <c r="C239" s="89"/>
      <c r="D239" s="89"/>
      <c r="E239" s="89"/>
      <c r="F239" s="89"/>
      <c r="G239" s="83">
        <v>230</v>
      </c>
      <c r="H239" s="83" t="s">
        <v>1615</v>
      </c>
      <c r="I239" s="83" t="str">
        <f>VLOOKUP(MP_cierre[[#This Row],[OT]],MP_registro[[#All],[OT]:[PROGRAMADO]],9,FALSE)</f>
        <v>G2</v>
      </c>
      <c r="J239" s="170">
        <v>44709</v>
      </c>
      <c r="K239" s="175">
        <v>44709</v>
      </c>
      <c r="L239" s="176">
        <v>0.58333333333333337</v>
      </c>
      <c r="M239" s="176">
        <v>0.60416666666666663</v>
      </c>
      <c r="Y239" s="63"/>
      <c r="Z239" s="63"/>
      <c r="AA239" s="63"/>
    </row>
    <row r="240" spans="2:27" s="62" customFormat="1" ht="25.9" customHeight="1">
      <c r="B240" s="89"/>
      <c r="C240" s="89"/>
      <c r="D240" s="89"/>
      <c r="E240" s="89"/>
      <c r="F240" s="89"/>
      <c r="G240" s="83">
        <v>231</v>
      </c>
      <c r="H240" s="83" t="s">
        <v>1616</v>
      </c>
      <c r="I240" s="83" t="str">
        <f>VLOOKUP(MP_cierre[[#This Row],[OT]],MP_registro[[#All],[OT]:[PROGRAMADO]],9,FALSE)</f>
        <v>G2</v>
      </c>
      <c r="J240" s="170">
        <v>44704</v>
      </c>
      <c r="K240" s="175">
        <v>44708</v>
      </c>
      <c r="L240" s="176">
        <v>0.4375</v>
      </c>
      <c r="M240" s="176">
        <v>0.45833333333333331</v>
      </c>
      <c r="Y240" s="63"/>
      <c r="Z240" s="63"/>
      <c r="AA240" s="63"/>
    </row>
    <row r="241" spans="2:27" s="62" customFormat="1" ht="25.9" customHeight="1">
      <c r="B241" s="89"/>
      <c r="C241" s="89"/>
      <c r="D241" s="89"/>
      <c r="E241" s="89"/>
      <c r="F241" s="89"/>
      <c r="G241" s="83">
        <v>232</v>
      </c>
      <c r="H241" s="83" t="s">
        <v>1617</v>
      </c>
      <c r="I241" s="83" t="str">
        <f>VLOOKUP(MP_cierre[[#This Row],[OT]],MP_registro[[#All],[OT]:[PROGRAMADO]],9,FALSE)</f>
        <v>G3</v>
      </c>
      <c r="J241" s="170">
        <v>44706</v>
      </c>
      <c r="K241" s="175">
        <v>44704</v>
      </c>
      <c r="L241" s="176">
        <v>0.9375</v>
      </c>
      <c r="M241" s="176">
        <v>0.95833333333333337</v>
      </c>
      <c r="Y241" s="63"/>
      <c r="Z241" s="63"/>
      <c r="AA241" s="63"/>
    </row>
    <row r="242" spans="2:27" s="62" customFormat="1" ht="25.9" customHeight="1">
      <c r="B242" s="89"/>
      <c r="C242" s="89"/>
      <c r="D242" s="89"/>
      <c r="E242" s="89"/>
      <c r="F242" s="89"/>
      <c r="G242" s="83">
        <v>233</v>
      </c>
      <c r="H242" s="83" t="s">
        <v>1618</v>
      </c>
      <c r="I242" s="83" t="str">
        <f>VLOOKUP(MP_cierre[[#This Row],[OT]],MP_registro[[#All],[OT]:[PROGRAMADO]],9,FALSE)</f>
        <v>G3</v>
      </c>
      <c r="J242" s="170">
        <v>44706</v>
      </c>
      <c r="K242" s="175">
        <v>44706</v>
      </c>
      <c r="L242" s="176">
        <v>0.8125</v>
      </c>
      <c r="M242" s="176">
        <v>0.85416666666666663</v>
      </c>
      <c r="Y242" s="63"/>
      <c r="Z242" s="63"/>
      <c r="AA242" s="63"/>
    </row>
    <row r="243" spans="2:27" s="62" customFormat="1" ht="25.9" customHeight="1">
      <c r="B243" s="89"/>
      <c r="C243" s="89"/>
      <c r="D243" s="89"/>
      <c r="E243" s="89"/>
      <c r="F243" s="89"/>
      <c r="G243" s="83">
        <v>234</v>
      </c>
      <c r="H243" s="83" t="s">
        <v>1619</v>
      </c>
      <c r="I243" s="83" t="str">
        <f>VLOOKUP(MP_cierre[[#This Row],[OT]],MP_registro[[#All],[OT]:[PROGRAMADO]],9,FALSE)</f>
        <v>G3</v>
      </c>
      <c r="J243" s="170">
        <v>44707</v>
      </c>
      <c r="K243" s="175">
        <v>44706</v>
      </c>
      <c r="L243" s="176">
        <v>0.85416666666666663</v>
      </c>
      <c r="M243" s="176">
        <v>0.89583333333333337</v>
      </c>
      <c r="Y243" s="63"/>
      <c r="Z243" s="63"/>
      <c r="AA243" s="63"/>
    </row>
    <row r="244" spans="2:27" s="62" customFormat="1" ht="25.9" customHeight="1">
      <c r="B244" s="89"/>
      <c r="C244" s="89"/>
      <c r="D244" s="89"/>
      <c r="E244" s="89"/>
      <c r="F244" s="89"/>
      <c r="G244" s="83">
        <v>235</v>
      </c>
      <c r="H244" s="83" t="s">
        <v>1620</v>
      </c>
      <c r="I244" s="83" t="str">
        <f>VLOOKUP(MP_cierre[[#This Row],[OT]],MP_registro[[#All],[OT]:[PROGRAMADO]],9,FALSE)</f>
        <v>G3</v>
      </c>
      <c r="J244" s="170">
        <v>44705</v>
      </c>
      <c r="K244" s="175">
        <v>44705</v>
      </c>
      <c r="L244" s="176">
        <v>0.8125</v>
      </c>
      <c r="M244" s="176">
        <v>0.85416666666666663</v>
      </c>
      <c r="Y244" s="63"/>
      <c r="Z244" s="63"/>
      <c r="AA244" s="63"/>
    </row>
    <row r="245" spans="2:27" s="62" customFormat="1" ht="25.9" customHeight="1">
      <c r="B245" s="89"/>
      <c r="C245" s="89"/>
      <c r="D245" s="89"/>
      <c r="E245" s="89"/>
      <c r="F245" s="89"/>
      <c r="G245" s="83">
        <v>236</v>
      </c>
      <c r="H245" s="83" t="s">
        <v>1621</v>
      </c>
      <c r="I245" s="83" t="str">
        <f>VLOOKUP(MP_cierre[[#This Row],[OT]],MP_registro[[#All],[OT]:[PROGRAMADO]],9,FALSE)</f>
        <v>G3</v>
      </c>
      <c r="J245" s="170">
        <v>44707</v>
      </c>
      <c r="K245" s="175">
        <v>44705</v>
      </c>
      <c r="L245" s="176">
        <v>0.875</v>
      </c>
      <c r="M245" s="176">
        <v>0.91666666666666663</v>
      </c>
      <c r="Y245" s="63"/>
      <c r="Z245" s="63"/>
      <c r="AA245" s="63"/>
    </row>
    <row r="246" spans="2:27" s="62" customFormat="1" ht="25.9" customHeight="1">
      <c r="B246" s="89"/>
      <c r="C246" s="89"/>
      <c r="D246" s="89"/>
      <c r="E246" s="89"/>
      <c r="F246" s="89"/>
      <c r="G246" s="83">
        <v>237</v>
      </c>
      <c r="H246" s="83" t="s">
        <v>1622</v>
      </c>
      <c r="I246" s="83" t="str">
        <f>VLOOKUP(MP_cierre[[#This Row],[OT]],MP_registro[[#All],[OT]:[PROGRAMADO]],9,FALSE)</f>
        <v>G3</v>
      </c>
      <c r="J246" s="170">
        <v>44706</v>
      </c>
      <c r="K246" s="175">
        <v>44706</v>
      </c>
      <c r="L246" s="176">
        <v>0.9375</v>
      </c>
      <c r="M246" s="176">
        <v>0.95833333333333337</v>
      </c>
      <c r="Y246" s="63"/>
      <c r="Z246" s="63"/>
      <c r="AA246" s="63"/>
    </row>
    <row r="247" spans="2:27" s="62" customFormat="1" ht="25.9" customHeight="1">
      <c r="B247" s="89"/>
      <c r="C247" s="89"/>
      <c r="D247" s="89"/>
      <c r="E247" s="89"/>
      <c r="F247" s="89"/>
      <c r="G247" s="83">
        <v>238</v>
      </c>
      <c r="H247" s="83" t="s">
        <v>1623</v>
      </c>
      <c r="I247" s="83" t="str">
        <f>VLOOKUP(MP_cierre[[#This Row],[OT]],MP_registro[[#All],[OT]:[PROGRAMADO]],9,FALSE)</f>
        <v>G2</v>
      </c>
      <c r="J247" s="170">
        <v>44707</v>
      </c>
      <c r="K247" s="175">
        <v>44708</v>
      </c>
      <c r="L247" s="176">
        <v>0.41666666666666669</v>
      </c>
      <c r="M247" s="176">
        <v>0.4375</v>
      </c>
      <c r="Y247" s="63"/>
      <c r="Z247" s="63"/>
      <c r="AA247" s="63"/>
    </row>
    <row r="248" spans="2:27" s="62" customFormat="1" ht="25.9" customHeight="1">
      <c r="G248" s="83">
        <v>239</v>
      </c>
      <c r="H248" s="83" t="s">
        <v>1602</v>
      </c>
      <c r="I248" s="83" t="str">
        <f>VLOOKUP(MP_cierre[[#This Row],[OT]],MP_registro[[#All],[OT]:[PROGRAMADO]],9,FALSE)</f>
        <v>G1</v>
      </c>
      <c r="J248" s="170">
        <v>44708</v>
      </c>
      <c r="K248" s="175">
        <v>44709</v>
      </c>
      <c r="L248" s="176">
        <v>0.97916666666666663</v>
      </c>
      <c r="M248" s="176">
        <v>2.0833333333333332E-2</v>
      </c>
      <c r="Y248" s="63"/>
      <c r="Z248" s="63"/>
      <c r="AA248" s="63"/>
    </row>
    <row r="249" spans="2:27" s="62" customFormat="1" ht="25.9" customHeight="1">
      <c r="G249" s="83">
        <v>240</v>
      </c>
      <c r="H249" s="83" t="s">
        <v>1624</v>
      </c>
      <c r="I249" s="83" t="str">
        <f>VLOOKUP(MP_cierre[[#This Row],[OT]],MP_registro[[#All],[OT]:[PROGRAMADO]],9,FALSE)</f>
        <v>G3</v>
      </c>
      <c r="J249" s="170">
        <v>44707</v>
      </c>
      <c r="K249" s="175">
        <v>44705</v>
      </c>
      <c r="L249" s="176">
        <v>0.9375</v>
      </c>
      <c r="M249" s="176">
        <v>0.95833333333333337</v>
      </c>
      <c r="Y249" s="63"/>
      <c r="Z249" s="63"/>
      <c r="AA249" s="63"/>
    </row>
    <row r="250" spans="2:27" s="62" customFormat="1" ht="25.9" customHeight="1">
      <c r="G250" s="83">
        <v>241</v>
      </c>
      <c r="H250" s="83" t="s">
        <v>1603</v>
      </c>
      <c r="I250" s="83" t="str">
        <f>VLOOKUP(MP_cierre[[#This Row],[OT]],MP_registro[[#All],[OT]:[PROGRAMADO]],9,FALSE)</f>
        <v>G1</v>
      </c>
      <c r="J250" s="170">
        <v>44704</v>
      </c>
      <c r="K250" s="175">
        <v>44708</v>
      </c>
      <c r="L250" s="176">
        <v>0.87847222222222221</v>
      </c>
      <c r="M250" s="176">
        <v>0.90625</v>
      </c>
      <c r="Y250" s="63"/>
      <c r="Z250" s="63"/>
      <c r="AA250" s="63"/>
    </row>
    <row r="251" spans="2:27" s="62" customFormat="1" ht="25.9" customHeight="1">
      <c r="G251" s="83">
        <v>242</v>
      </c>
      <c r="H251" s="83" t="s">
        <v>1604</v>
      </c>
      <c r="I251" s="83" t="str">
        <f>VLOOKUP(MP_cierre[[#This Row],[OT]],MP_registro[[#All],[OT]:[PROGRAMADO]],9,FALSE)</f>
        <v>G1</v>
      </c>
      <c r="J251" s="170">
        <v>44704</v>
      </c>
      <c r="K251" s="175">
        <v>44707</v>
      </c>
      <c r="L251" s="176">
        <v>0.94791666666666663</v>
      </c>
      <c r="M251" s="176">
        <v>0.97569444444444453</v>
      </c>
      <c r="Y251" s="63"/>
      <c r="Z251" s="63"/>
      <c r="AA251" s="63"/>
    </row>
    <row r="252" spans="2:27" s="62" customFormat="1" ht="25.9" customHeight="1">
      <c r="G252" s="83">
        <v>243</v>
      </c>
      <c r="H252" s="83" t="s">
        <v>1605</v>
      </c>
      <c r="I252" s="83" t="str">
        <f>VLOOKUP(MP_cierre[[#This Row],[OT]],MP_registro[[#All],[OT]:[PROGRAMADO]],9,FALSE)</f>
        <v>G1</v>
      </c>
      <c r="J252" s="170">
        <v>44704</v>
      </c>
      <c r="K252" s="175">
        <v>44707</v>
      </c>
      <c r="L252" s="176">
        <v>0.98611111111111116</v>
      </c>
      <c r="M252" s="176">
        <v>1.3888888888888888E-2</v>
      </c>
      <c r="Y252" s="63"/>
      <c r="Z252" s="63"/>
      <c r="AA252" s="63"/>
    </row>
    <row r="253" spans="2:27" s="62" customFormat="1" ht="25.9" customHeight="1">
      <c r="G253" s="83">
        <v>244</v>
      </c>
      <c r="H253" s="83" t="s">
        <v>1625</v>
      </c>
      <c r="I253" s="83" t="str">
        <f>VLOOKUP(MP_cierre[[#This Row],[OT]],MP_registro[[#All],[OT]:[PROGRAMADO]],9,FALSE)</f>
        <v>G3</v>
      </c>
      <c r="J253" s="170">
        <v>44704</v>
      </c>
      <c r="K253" s="175">
        <v>44704</v>
      </c>
      <c r="L253" s="176">
        <v>0.8125</v>
      </c>
      <c r="M253" s="176">
        <v>0.83333333333333337</v>
      </c>
      <c r="Y253" s="63"/>
      <c r="Z253" s="63"/>
      <c r="AA253" s="63"/>
    </row>
    <row r="254" spans="2:27" s="62" customFormat="1" ht="25.9" customHeight="1">
      <c r="G254" s="83">
        <v>245</v>
      </c>
      <c r="H254" s="83" t="s">
        <v>1626</v>
      </c>
      <c r="I254" s="83" t="str">
        <f>VLOOKUP(MP_cierre[[#This Row],[OT]],MP_registro[[#All],[OT]:[PROGRAMADO]],9,FALSE)</f>
        <v>G2</v>
      </c>
      <c r="J254" s="170">
        <v>44705</v>
      </c>
      <c r="K254" s="175">
        <v>44708</v>
      </c>
      <c r="L254" s="176">
        <v>0.375</v>
      </c>
      <c r="M254" s="176">
        <v>0.39583333333333331</v>
      </c>
      <c r="Y254" s="63"/>
      <c r="Z254" s="63"/>
      <c r="AA254" s="63"/>
    </row>
    <row r="255" spans="2:27" s="62" customFormat="1" ht="25.9" customHeight="1">
      <c r="G255" s="83">
        <v>246</v>
      </c>
      <c r="H255" s="83" t="s">
        <v>1627</v>
      </c>
      <c r="I255" s="83" t="str">
        <f>VLOOKUP(MP_cierre[[#This Row],[OT]],MP_registro[[#All],[OT]:[PROGRAMADO]],9,FALSE)</f>
        <v>G2</v>
      </c>
      <c r="J255" s="170">
        <v>44704</v>
      </c>
      <c r="K255" s="175">
        <v>44710</v>
      </c>
      <c r="L255" s="176">
        <v>0.35416666666666669</v>
      </c>
      <c r="M255" s="176">
        <v>0.375</v>
      </c>
      <c r="Y255" s="63"/>
      <c r="Z255" s="63"/>
      <c r="AA255" s="63"/>
    </row>
    <row r="256" spans="2:27" s="62" customFormat="1" ht="25.9" customHeight="1">
      <c r="G256" s="83">
        <v>247</v>
      </c>
      <c r="H256" s="83" t="s">
        <v>1628</v>
      </c>
      <c r="I256" s="83" t="str">
        <f>VLOOKUP(MP_cierre[[#This Row],[OT]],MP_registro[[#All],[OT]:[PROGRAMADO]],9,FALSE)</f>
        <v>G4</v>
      </c>
      <c r="J256" s="170">
        <v>44712</v>
      </c>
      <c r="K256" s="175">
        <v>44712</v>
      </c>
      <c r="L256" s="176">
        <v>0.39583333333333331</v>
      </c>
      <c r="M256" s="176">
        <v>0.4375</v>
      </c>
      <c r="Y256" s="63"/>
      <c r="Z256" s="63"/>
      <c r="AA256" s="63"/>
    </row>
    <row r="257" spans="7:27" s="62" customFormat="1" ht="25.9" customHeight="1">
      <c r="G257" s="83">
        <v>248</v>
      </c>
      <c r="H257" s="83" t="s">
        <v>1629</v>
      </c>
      <c r="I257" s="83" t="str">
        <f>VLOOKUP(MP_cierre[[#This Row],[OT]],MP_registro[[#All],[OT]:[PROGRAMADO]],9,FALSE)</f>
        <v>G1</v>
      </c>
      <c r="J257" s="170">
        <v>44711</v>
      </c>
      <c r="K257" s="175">
        <v>44712</v>
      </c>
      <c r="L257" s="176">
        <v>3.472222222222222E-3</v>
      </c>
      <c r="M257" s="176">
        <v>3.125E-2</v>
      </c>
      <c r="Y257" s="63"/>
      <c r="Z257" s="63"/>
      <c r="AA257" s="63"/>
    </row>
    <row r="258" spans="7:27" s="62" customFormat="1" ht="25.9" customHeight="1">
      <c r="G258" s="83">
        <v>249</v>
      </c>
      <c r="H258" s="83" t="s">
        <v>1630</v>
      </c>
      <c r="I258" s="83" t="str">
        <f>VLOOKUP(MP_cierre[[#This Row],[OT]],MP_registro[[#All],[OT]:[PROGRAMADO]],9,FALSE)</f>
        <v>G2</v>
      </c>
      <c r="J258" s="170">
        <v>44711</v>
      </c>
      <c r="K258" s="175">
        <v>44712</v>
      </c>
      <c r="L258" s="176">
        <v>0.70833333333333337</v>
      </c>
      <c r="M258" s="176">
        <v>0.72916666666666663</v>
      </c>
      <c r="Y258" s="63"/>
      <c r="Z258" s="63"/>
      <c r="AA258" s="63"/>
    </row>
    <row r="259" spans="7:27" s="62" customFormat="1" ht="25.9" customHeight="1">
      <c r="G259" s="83">
        <v>250</v>
      </c>
      <c r="H259" s="83" t="s">
        <v>1631</v>
      </c>
      <c r="I259" s="83" t="str">
        <f>VLOOKUP(MP_cierre[[#This Row],[OT]],MP_registro[[#All],[OT]:[PROGRAMADO]],9,FALSE)</f>
        <v>G1</v>
      </c>
      <c r="J259" s="170">
        <v>44711</v>
      </c>
      <c r="K259" s="175">
        <v>44711</v>
      </c>
      <c r="L259" s="176">
        <v>0.125</v>
      </c>
      <c r="M259" s="176">
        <v>0.14583333333333334</v>
      </c>
      <c r="Y259" s="63"/>
      <c r="Z259" s="63"/>
      <c r="AA259" s="63"/>
    </row>
    <row r="260" spans="7:27" s="62" customFormat="1" ht="25.9" customHeight="1">
      <c r="G260" s="83">
        <v>251</v>
      </c>
      <c r="H260" s="83" t="s">
        <v>1632</v>
      </c>
      <c r="I260" s="83" t="str">
        <f>VLOOKUP(MP_cierre[[#This Row],[OT]],MP_registro[[#All],[OT]:[PROGRAMADO]],9,FALSE)</f>
        <v>G2</v>
      </c>
      <c r="J260" s="170">
        <v>44711</v>
      </c>
      <c r="K260" s="175">
        <v>44711</v>
      </c>
      <c r="L260" s="176">
        <v>0.54166666666666663</v>
      </c>
      <c r="M260" s="176">
        <v>0.5625</v>
      </c>
      <c r="Y260" s="63"/>
      <c r="Z260" s="63"/>
      <c r="AA260" s="63"/>
    </row>
    <row r="261" spans="7:27" s="62" customFormat="1" ht="25.9" customHeight="1">
      <c r="G261" s="83">
        <v>252</v>
      </c>
      <c r="H261" s="83" t="s">
        <v>1633</v>
      </c>
      <c r="I261" s="83" t="str">
        <f>VLOOKUP(MP_cierre[[#This Row],[OT]],MP_registro[[#All],[OT]:[PROGRAMADO]],9,FALSE)</f>
        <v>G1</v>
      </c>
      <c r="J261" s="170">
        <v>44712</v>
      </c>
      <c r="K261" s="175">
        <v>44712</v>
      </c>
      <c r="L261" s="176">
        <v>0.13055555555555556</v>
      </c>
      <c r="M261" s="176">
        <v>0.15625</v>
      </c>
      <c r="Y261" s="63"/>
      <c r="Z261" s="63"/>
      <c r="AA261" s="63"/>
    </row>
    <row r="262" spans="7:27" s="62" customFormat="1" ht="25.9" customHeight="1">
      <c r="G262" s="83">
        <v>253</v>
      </c>
      <c r="H262" s="83" t="s">
        <v>1634</v>
      </c>
      <c r="I262" s="83" t="str">
        <f>VLOOKUP(MP_cierre[[#This Row],[OT]],MP_registro[[#All],[OT]:[PROGRAMADO]],9,FALSE)</f>
        <v>G2</v>
      </c>
      <c r="J262" s="170">
        <v>44711</v>
      </c>
      <c r="K262" s="175">
        <v>44712</v>
      </c>
      <c r="L262" s="176">
        <v>0.4375</v>
      </c>
      <c r="M262" s="176">
        <v>0.47916666666666669</v>
      </c>
      <c r="Y262" s="63"/>
      <c r="Z262" s="63"/>
      <c r="AA262" s="63"/>
    </row>
    <row r="263" spans="7:27" s="62" customFormat="1" ht="25.9" customHeight="1">
      <c r="G263" s="83">
        <v>254</v>
      </c>
      <c r="H263" s="83" t="s">
        <v>1635</v>
      </c>
      <c r="I263" s="83" t="str">
        <f>VLOOKUP(MP_cierre[[#This Row],[OT]],MP_registro[[#All],[OT]:[PROGRAMADO]],9,FALSE)</f>
        <v>G1</v>
      </c>
      <c r="J263" s="170">
        <v>44711</v>
      </c>
      <c r="K263" s="175">
        <v>44711</v>
      </c>
      <c r="L263" s="176">
        <v>0.83333333333333337</v>
      </c>
      <c r="M263" s="176">
        <v>0.86111111111111116</v>
      </c>
      <c r="Y263" s="63"/>
      <c r="Z263" s="63"/>
      <c r="AA263" s="63"/>
    </row>
    <row r="264" spans="7:27" s="62" customFormat="1" ht="25.9" customHeight="1">
      <c r="G264" s="83">
        <v>255</v>
      </c>
      <c r="H264" s="83" t="s">
        <v>1636</v>
      </c>
      <c r="I264" s="83" t="str">
        <f>VLOOKUP(MP_cierre[[#This Row],[OT]],MP_registro[[#All],[OT]:[PROGRAMADO]],9,FALSE)</f>
        <v>G2</v>
      </c>
      <c r="J264" s="170">
        <v>44711</v>
      </c>
      <c r="K264" s="175">
        <v>44712</v>
      </c>
      <c r="L264" s="176">
        <v>0.35416666666666669</v>
      </c>
      <c r="M264" s="176">
        <v>0.39583333333333331</v>
      </c>
      <c r="Y264" s="63"/>
      <c r="Z264" s="63"/>
      <c r="AA264" s="63"/>
    </row>
    <row r="265" spans="7:27" s="62" customFormat="1" ht="25.9" customHeight="1">
      <c r="G265" s="83">
        <v>256</v>
      </c>
      <c r="H265" s="83" t="s">
        <v>1637</v>
      </c>
      <c r="I265" s="83" t="str">
        <f>VLOOKUP(MP_cierre[[#This Row],[OT]],MP_registro[[#All],[OT]:[PROGRAMADO]],9,FALSE)</f>
        <v>G1</v>
      </c>
      <c r="J265" s="170">
        <v>44711</v>
      </c>
      <c r="K265" s="175">
        <v>44711</v>
      </c>
      <c r="L265" s="176">
        <v>8.3333333333333329E-2</v>
      </c>
      <c r="M265" s="176">
        <v>0.10902777777777778</v>
      </c>
      <c r="Y265" s="63"/>
      <c r="Z265" s="63"/>
      <c r="AA265" s="63"/>
    </row>
    <row r="266" spans="7:27" s="62" customFormat="1" ht="25.9" customHeight="1">
      <c r="G266" s="83">
        <v>257</v>
      </c>
      <c r="H266" s="83" t="s">
        <v>1638</v>
      </c>
      <c r="I266" s="83" t="str">
        <f>VLOOKUP(MP_cierre[[#This Row],[OT]],MP_registro[[#All],[OT]:[PROGRAMADO]],9,FALSE)</f>
        <v>G2</v>
      </c>
      <c r="J266" s="170">
        <v>44712</v>
      </c>
      <c r="K266" s="175">
        <v>44711</v>
      </c>
      <c r="L266" s="176">
        <v>0.5625</v>
      </c>
      <c r="M266" s="176">
        <v>0.58333333333333337</v>
      </c>
      <c r="Y266" s="63"/>
      <c r="Z266" s="63"/>
      <c r="AA266" s="63"/>
    </row>
    <row r="267" spans="7:27" s="62" customFormat="1" ht="25.9" customHeight="1">
      <c r="G267" s="83">
        <v>258</v>
      </c>
      <c r="H267" s="83" t="s">
        <v>1639</v>
      </c>
      <c r="I267" s="83" t="str">
        <f>VLOOKUP(MP_cierre[[#This Row],[OT]],MP_registro[[#All],[OT]:[PROGRAMADO]],9,FALSE)</f>
        <v>G1</v>
      </c>
      <c r="J267" s="170">
        <v>44711</v>
      </c>
      <c r="K267" s="175">
        <v>44712</v>
      </c>
      <c r="L267" s="176">
        <v>8.3333333333333329E-2</v>
      </c>
      <c r="M267" s="176">
        <v>0.10555555555555556</v>
      </c>
      <c r="Y267" s="63"/>
      <c r="Z267" s="63"/>
      <c r="AA267" s="63"/>
    </row>
    <row r="268" spans="7:27" s="62" customFormat="1" ht="25.9" customHeight="1">
      <c r="G268" s="83">
        <v>259</v>
      </c>
      <c r="H268" s="83" t="s">
        <v>1666</v>
      </c>
      <c r="I268" s="83" t="str">
        <f>VLOOKUP(MP_cierre[[#This Row],[OT]],MP_registro[[#All],[OT]:[PROGRAMADO]],9,FALSE)</f>
        <v>G1</v>
      </c>
      <c r="J268" s="170">
        <v>44713</v>
      </c>
      <c r="K268" s="175">
        <v>44720</v>
      </c>
      <c r="L268" s="176">
        <v>0.40972222222222227</v>
      </c>
      <c r="M268" s="176">
        <v>0.4513888888888889</v>
      </c>
      <c r="Y268" s="63"/>
      <c r="Z268" s="63"/>
      <c r="AA268" s="63"/>
    </row>
    <row r="269" spans="7:27" s="62" customFormat="1" ht="25.9" customHeight="1">
      <c r="G269" s="83">
        <v>260</v>
      </c>
      <c r="H269" s="83" t="s">
        <v>1667</v>
      </c>
      <c r="I269" s="83" t="str">
        <f>VLOOKUP(MP_cierre[[#This Row],[OT]],MP_registro[[#All],[OT]:[PROGRAMADO]],9,FALSE)</f>
        <v>G3</v>
      </c>
      <c r="J269" s="170">
        <v>44713</v>
      </c>
      <c r="K269" s="175">
        <v>44714</v>
      </c>
      <c r="L269" s="176">
        <v>0.4375</v>
      </c>
      <c r="M269" s="176">
        <v>0.4465277777777778</v>
      </c>
      <c r="Y269" s="63"/>
      <c r="Z269" s="63"/>
      <c r="AA269" s="63"/>
    </row>
    <row r="270" spans="7:27" s="62" customFormat="1" ht="25.9" customHeight="1">
      <c r="G270" s="83">
        <v>261</v>
      </c>
      <c r="H270" s="83" t="s">
        <v>1668</v>
      </c>
      <c r="I270" s="83" t="str">
        <f>VLOOKUP(MP_cierre[[#This Row],[OT]],MP_registro[[#All],[OT]:[PROGRAMADO]],9,FALSE)</f>
        <v>G2</v>
      </c>
      <c r="J270" s="170">
        <v>44713</v>
      </c>
      <c r="K270" s="175">
        <v>44713</v>
      </c>
      <c r="L270" s="176">
        <v>0.58333333333333337</v>
      </c>
      <c r="M270" s="176">
        <v>0.60416666666666663</v>
      </c>
      <c r="Y270" s="63"/>
      <c r="Z270" s="63"/>
      <c r="AA270" s="63"/>
    </row>
    <row r="271" spans="7:27" s="62" customFormat="1" ht="25.9" customHeight="1">
      <c r="G271" s="83">
        <v>262</v>
      </c>
      <c r="H271" s="83" t="s">
        <v>1669</v>
      </c>
      <c r="I271" s="83" t="str">
        <f>VLOOKUP(MP_cierre[[#This Row],[OT]],MP_registro[[#All],[OT]:[PROGRAMADO]],9,FALSE)</f>
        <v>G2</v>
      </c>
      <c r="J271" s="170">
        <v>44713</v>
      </c>
      <c r="K271" s="175">
        <v>44713</v>
      </c>
      <c r="L271" s="176">
        <v>0.60416666666666663</v>
      </c>
      <c r="M271" s="176">
        <v>0.625</v>
      </c>
      <c r="Y271" s="63"/>
      <c r="Z271" s="63"/>
      <c r="AA271" s="63"/>
    </row>
    <row r="272" spans="7:27" s="62" customFormat="1" ht="25.9" customHeight="1">
      <c r="G272" s="83">
        <v>263</v>
      </c>
      <c r="H272" s="83" t="s">
        <v>1670</v>
      </c>
      <c r="I272" s="83" t="str">
        <f>VLOOKUP(MP_cierre[[#This Row],[OT]],MP_registro[[#All],[OT]:[PROGRAMADO]],9,FALSE)</f>
        <v>G1</v>
      </c>
      <c r="J272" s="170">
        <v>44713</v>
      </c>
      <c r="K272" s="175">
        <v>44717</v>
      </c>
      <c r="L272" s="176">
        <v>0.41666666666666669</v>
      </c>
      <c r="M272" s="176">
        <v>0.5</v>
      </c>
      <c r="Y272" s="63"/>
      <c r="Z272" s="63"/>
      <c r="AA272" s="63"/>
    </row>
    <row r="273" spans="7:27" s="62" customFormat="1" ht="25.9" customHeight="1">
      <c r="G273" s="83">
        <v>264</v>
      </c>
      <c r="H273" s="83" t="s">
        <v>1672</v>
      </c>
      <c r="I273" s="83" t="str">
        <f>VLOOKUP(MP_cierre[[#This Row],[OT]],MP_registro[[#All],[OT]:[PROGRAMADO]],9,FALSE)</f>
        <v>G1</v>
      </c>
      <c r="J273" s="170">
        <v>44714</v>
      </c>
      <c r="K273" s="175">
        <v>44715</v>
      </c>
      <c r="L273" s="181">
        <v>8.6111111111111124E-2</v>
      </c>
      <c r="M273" s="181">
        <v>0.1076388888888889</v>
      </c>
      <c r="Y273" s="63"/>
      <c r="Z273" s="63"/>
      <c r="AA273" s="63"/>
    </row>
    <row r="274" spans="7:27" s="62" customFormat="1" ht="25.9" customHeight="1">
      <c r="G274" s="83">
        <v>265</v>
      </c>
      <c r="H274" s="83" t="s">
        <v>1673</v>
      </c>
      <c r="I274" s="83" t="str">
        <f>VLOOKUP(MP_cierre[[#This Row],[OT]],MP_registro[[#All],[OT]:[PROGRAMADO]],9,FALSE)</f>
        <v>G3</v>
      </c>
      <c r="J274" s="170">
        <v>44714</v>
      </c>
      <c r="K274" s="175">
        <v>44719</v>
      </c>
      <c r="L274" s="181">
        <v>0.4375</v>
      </c>
      <c r="M274" s="181">
        <v>0.45</v>
      </c>
      <c r="Y274" s="63"/>
      <c r="Z274" s="63"/>
      <c r="AA274" s="63"/>
    </row>
    <row r="275" spans="7:27" s="62" customFormat="1" ht="25.9" customHeight="1">
      <c r="G275" s="83">
        <v>266</v>
      </c>
      <c r="H275" s="83" t="s">
        <v>1674</v>
      </c>
      <c r="I275" s="83" t="str">
        <f>VLOOKUP(MP_cierre[[#This Row],[OT]],MP_registro[[#All],[OT]:[PROGRAMADO]],9,FALSE)</f>
        <v>G1</v>
      </c>
      <c r="J275" s="170">
        <v>44714</v>
      </c>
      <c r="K275" s="175">
        <v>44716</v>
      </c>
      <c r="L275" s="181">
        <v>0.39583333333333331</v>
      </c>
      <c r="M275" s="181">
        <v>0.41666666666666669</v>
      </c>
      <c r="Y275" s="63"/>
      <c r="Z275" s="63"/>
      <c r="AA275" s="63"/>
    </row>
    <row r="276" spans="7:27" s="62" customFormat="1" ht="25.9" customHeight="1">
      <c r="G276" s="83">
        <v>267</v>
      </c>
      <c r="H276" s="83" t="s">
        <v>1675</v>
      </c>
      <c r="I276" s="83" t="str">
        <f>VLOOKUP(MP_cierre[[#This Row],[OT]],MP_registro[[#All],[OT]:[PROGRAMADO]],9,FALSE)</f>
        <v>G3</v>
      </c>
      <c r="J276" s="170">
        <v>44714</v>
      </c>
      <c r="K276" s="175">
        <v>44724</v>
      </c>
      <c r="L276" s="181">
        <v>0.64930555555555558</v>
      </c>
      <c r="M276" s="181">
        <v>0.66666666666666663</v>
      </c>
      <c r="Y276" s="63"/>
      <c r="Z276" s="63"/>
      <c r="AA276" s="63"/>
    </row>
    <row r="277" spans="7:27" s="62" customFormat="1" ht="25.9" customHeight="1">
      <c r="G277" s="83">
        <v>268</v>
      </c>
      <c r="H277" s="83" t="s">
        <v>1676</v>
      </c>
      <c r="I277" s="83" t="str">
        <f>VLOOKUP(MP_cierre[[#This Row],[OT]],MP_registro[[#All],[OT]:[PROGRAMADO]],9,FALSE)</f>
        <v>G1</v>
      </c>
      <c r="J277" s="170">
        <v>44715</v>
      </c>
      <c r="K277" s="175">
        <v>44716</v>
      </c>
      <c r="L277" s="176">
        <v>7.2916666666666671E-2</v>
      </c>
      <c r="M277" s="176">
        <v>8.3333333333333329E-2</v>
      </c>
      <c r="Y277" s="63"/>
      <c r="Z277" s="63"/>
      <c r="AA277" s="63"/>
    </row>
    <row r="278" spans="7:27" s="62" customFormat="1" ht="25.9" customHeight="1">
      <c r="G278" s="83">
        <v>269</v>
      </c>
      <c r="H278" s="83" t="s">
        <v>1677</v>
      </c>
      <c r="I278" s="83" t="str">
        <f>VLOOKUP(MP_cierre[[#This Row],[OT]],MP_registro[[#All],[OT]:[PROGRAMADO]],9,FALSE)</f>
        <v>G3</v>
      </c>
      <c r="J278" s="170">
        <v>44715</v>
      </c>
      <c r="K278" s="175">
        <v>44716</v>
      </c>
      <c r="L278" s="176">
        <v>0.44722222222222219</v>
      </c>
      <c r="M278" s="176">
        <v>0.46527777777777773</v>
      </c>
      <c r="Y278" s="63"/>
      <c r="Z278" s="63"/>
      <c r="AA278" s="63"/>
    </row>
    <row r="279" spans="7:27" s="62" customFormat="1" ht="25.9" customHeight="1">
      <c r="G279" s="83">
        <v>270</v>
      </c>
      <c r="H279" s="83" t="s">
        <v>1678</v>
      </c>
      <c r="I279" s="83" t="str">
        <f>VLOOKUP(MP_cierre[[#This Row],[OT]],MP_registro[[#All],[OT]:[PROGRAMADO]],9,FALSE)</f>
        <v>G3</v>
      </c>
      <c r="J279" s="170">
        <v>44715</v>
      </c>
      <c r="K279" s="175">
        <v>44713</v>
      </c>
      <c r="L279" s="176">
        <v>0.66666666666666663</v>
      </c>
      <c r="M279" s="176">
        <v>0.73125000000000007</v>
      </c>
      <c r="Y279" s="63"/>
      <c r="Z279" s="63"/>
      <c r="AA279" s="63"/>
    </row>
    <row r="280" spans="7:27" s="62" customFormat="1" ht="25.9" customHeight="1">
      <c r="G280" s="83">
        <v>271</v>
      </c>
      <c r="H280" s="83" t="s">
        <v>1679</v>
      </c>
      <c r="I280" s="83" t="str">
        <f>VLOOKUP(MP_cierre[[#This Row],[OT]],MP_registro[[#All],[OT]:[PROGRAMADO]],9,FALSE)</f>
        <v>G2</v>
      </c>
      <c r="J280" s="170">
        <v>44715</v>
      </c>
      <c r="K280" s="175">
        <v>44714</v>
      </c>
      <c r="L280" s="176">
        <v>0.625</v>
      </c>
      <c r="M280" s="176">
        <v>0.64583333333333337</v>
      </c>
      <c r="Y280" s="63"/>
      <c r="Z280" s="63"/>
      <c r="AA280" s="63"/>
    </row>
    <row r="281" spans="7:27" s="62" customFormat="1" ht="25.9" customHeight="1">
      <c r="G281" s="83">
        <v>272</v>
      </c>
      <c r="H281" s="83" t="s">
        <v>1680</v>
      </c>
      <c r="I281" s="83" t="str">
        <f>VLOOKUP(MP_cierre[[#This Row],[OT]],MP_registro[[#All],[OT]:[PROGRAMADO]],9,FALSE)</f>
        <v>G2</v>
      </c>
      <c r="J281" s="170">
        <v>44715</v>
      </c>
      <c r="K281" s="175">
        <v>44714</v>
      </c>
      <c r="L281" s="176">
        <v>0.83333333333333337</v>
      </c>
      <c r="M281" s="176">
        <v>0.85416666666666663</v>
      </c>
      <c r="Y281" s="63"/>
      <c r="Z281" s="63"/>
      <c r="AA281" s="63"/>
    </row>
    <row r="282" spans="7:27" s="62" customFormat="1" ht="25.9" customHeight="1">
      <c r="G282" s="83">
        <v>273</v>
      </c>
      <c r="H282" s="83" t="s">
        <v>1681</v>
      </c>
      <c r="I282" s="83" t="str">
        <f>VLOOKUP(MP_cierre[[#This Row],[OT]],MP_registro[[#All],[OT]:[PROGRAMADO]],9,FALSE)</f>
        <v>G2</v>
      </c>
      <c r="J282" s="170">
        <v>44715</v>
      </c>
      <c r="K282" s="175">
        <v>44724</v>
      </c>
      <c r="L282" s="176">
        <v>0.85416666666666663</v>
      </c>
      <c r="M282" s="176">
        <v>0.875</v>
      </c>
      <c r="Y282" s="63"/>
      <c r="Z282" s="63"/>
      <c r="AA282" s="63"/>
    </row>
    <row r="283" spans="7:27" s="62" customFormat="1" ht="25.9" customHeight="1">
      <c r="G283" s="83">
        <v>274</v>
      </c>
      <c r="H283" s="83" t="s">
        <v>1682</v>
      </c>
      <c r="I283" s="83" t="str">
        <f>VLOOKUP(MP_cierre[[#This Row],[OT]],MP_registro[[#All],[OT]:[PROGRAMADO]],9,FALSE)</f>
        <v>G1</v>
      </c>
      <c r="J283" s="170">
        <v>44715</v>
      </c>
      <c r="K283" s="175">
        <v>44714</v>
      </c>
      <c r="L283" s="176">
        <v>0.95833333333333337</v>
      </c>
      <c r="M283" s="176">
        <v>0.97569444444444453</v>
      </c>
      <c r="Y283" s="63"/>
      <c r="Z283" s="63"/>
      <c r="AA283" s="63"/>
    </row>
    <row r="284" spans="7:27" s="62" customFormat="1" ht="25.9" customHeight="1">
      <c r="G284" s="83">
        <v>275</v>
      </c>
      <c r="H284" s="83" t="s">
        <v>1683</v>
      </c>
      <c r="I284" s="83" t="str">
        <f>VLOOKUP(MP_cierre[[#This Row],[OT]],MP_registro[[#All],[OT]:[PROGRAMADO]],9,FALSE)</f>
        <v>G2</v>
      </c>
      <c r="J284" s="170">
        <v>44716</v>
      </c>
      <c r="K284" s="175">
        <v>44716</v>
      </c>
      <c r="L284" s="176">
        <v>0.875</v>
      </c>
      <c r="M284" s="176">
        <v>0.88541666666666663</v>
      </c>
      <c r="Y284" s="63"/>
      <c r="Z284" s="63"/>
      <c r="AA284" s="63"/>
    </row>
    <row r="285" spans="7:27" s="62" customFormat="1" ht="25.9" customHeight="1">
      <c r="G285" s="83">
        <v>276</v>
      </c>
      <c r="H285" s="83" t="s">
        <v>1684</v>
      </c>
      <c r="I285" s="83" t="str">
        <f>VLOOKUP(MP_cierre[[#This Row],[OT]],MP_registro[[#All],[OT]:[PROGRAMADO]],9,FALSE)</f>
        <v>G3</v>
      </c>
      <c r="J285" s="170">
        <v>44716</v>
      </c>
      <c r="K285" s="175">
        <v>44719</v>
      </c>
      <c r="L285" s="176">
        <v>0.47222222222222227</v>
      </c>
      <c r="M285" s="176">
        <v>0.48333333333333334</v>
      </c>
      <c r="Y285" s="63"/>
      <c r="Z285" s="63"/>
      <c r="AA285" s="63"/>
    </row>
    <row r="286" spans="7:27" s="62" customFormat="1" ht="25.9" customHeight="1">
      <c r="G286" s="83">
        <v>277</v>
      </c>
      <c r="H286" s="83" t="s">
        <v>1685</v>
      </c>
      <c r="I286" s="83" t="str">
        <f>VLOOKUP(MP_cierre[[#This Row],[OT]],MP_registro[[#All],[OT]:[PROGRAMADO]],9,FALSE)</f>
        <v>G2</v>
      </c>
      <c r="J286" s="170">
        <v>44716</v>
      </c>
      <c r="K286" s="175">
        <v>44719</v>
      </c>
      <c r="L286" s="176">
        <v>0.16666666666666666</v>
      </c>
      <c r="M286" s="176">
        <v>0.20833333333333334</v>
      </c>
      <c r="Y286" s="63"/>
      <c r="Z286" s="63"/>
      <c r="AA286" s="63"/>
    </row>
    <row r="287" spans="7:27" s="62" customFormat="1" ht="25.9" customHeight="1">
      <c r="G287" s="83">
        <v>278</v>
      </c>
      <c r="H287" s="83" t="s">
        <v>1686</v>
      </c>
      <c r="I287" s="83" t="str">
        <f>VLOOKUP(MP_cierre[[#This Row],[OT]],MP_registro[[#All],[OT]:[PROGRAMADO]],9,FALSE)</f>
        <v>G2</v>
      </c>
      <c r="J287" s="170">
        <v>44716</v>
      </c>
      <c r="K287" s="175">
        <v>44719</v>
      </c>
      <c r="L287" s="176">
        <v>0.20833333333333334</v>
      </c>
      <c r="M287" s="176">
        <v>0.25</v>
      </c>
      <c r="Y287" s="63"/>
      <c r="Z287" s="63"/>
      <c r="AA287" s="63"/>
    </row>
    <row r="288" spans="7:27" s="62" customFormat="1" ht="25.9" customHeight="1">
      <c r="G288" s="83">
        <v>279</v>
      </c>
      <c r="H288" s="83" t="s">
        <v>1687</v>
      </c>
      <c r="I288" s="83" t="str">
        <f>VLOOKUP(MP_cierre[[#This Row],[OT]],MP_registro[[#All],[OT]:[PROGRAMADO]],9,FALSE)</f>
        <v>G2</v>
      </c>
      <c r="J288" s="170">
        <v>44716</v>
      </c>
      <c r="K288" s="175">
        <v>44715</v>
      </c>
      <c r="L288" s="176">
        <v>0.25</v>
      </c>
      <c r="M288" s="176">
        <v>0.29166666666666669</v>
      </c>
      <c r="Y288" s="63"/>
      <c r="Z288" s="63"/>
      <c r="AA288" s="63"/>
    </row>
    <row r="289" spans="7:27" s="62" customFormat="1" ht="25.9" customHeight="1">
      <c r="G289" s="83">
        <v>280</v>
      </c>
      <c r="H289" s="83" t="s">
        <v>1688</v>
      </c>
      <c r="I289" s="83" t="str">
        <f>VLOOKUP(MP_cierre[[#This Row],[OT]],MP_registro[[#All],[OT]:[PROGRAMADO]],9,FALSE)</f>
        <v>G2</v>
      </c>
      <c r="J289" s="170">
        <v>44716</v>
      </c>
      <c r="K289" s="175">
        <v>44715</v>
      </c>
      <c r="L289" s="176">
        <v>8.3333333333333329E-2</v>
      </c>
      <c r="M289" s="176">
        <v>0.10416666666666667</v>
      </c>
      <c r="Y289" s="63"/>
      <c r="Z289" s="63"/>
      <c r="AA289" s="63"/>
    </row>
    <row r="290" spans="7:27" s="62" customFormat="1" ht="25.9" customHeight="1">
      <c r="G290" s="83">
        <v>281</v>
      </c>
      <c r="H290" s="83" t="s">
        <v>1689</v>
      </c>
      <c r="I290" s="83" t="str">
        <f>VLOOKUP(MP_cierre[[#This Row],[OT]],MP_registro[[#All],[OT]:[PROGRAMADO]],9,FALSE)</f>
        <v>G2</v>
      </c>
      <c r="J290" s="170">
        <v>44717</v>
      </c>
      <c r="K290" s="175">
        <v>44724</v>
      </c>
      <c r="L290" s="176">
        <v>0.10416666666666667</v>
      </c>
      <c r="M290" s="176">
        <v>0.125</v>
      </c>
      <c r="Y290" s="63"/>
      <c r="Z290" s="63"/>
      <c r="AA290" s="63"/>
    </row>
    <row r="291" spans="7:27" s="62" customFormat="1" ht="25.9" customHeight="1">
      <c r="G291" s="83">
        <v>282</v>
      </c>
      <c r="H291" s="83" t="s">
        <v>1690</v>
      </c>
      <c r="I291" s="83" t="str">
        <f>VLOOKUP(MP_cierre[[#This Row],[OT]],MP_registro[[#All],[OT]:[PROGRAMADO]],9,FALSE)</f>
        <v>G1</v>
      </c>
      <c r="J291" s="170">
        <v>44717</v>
      </c>
      <c r="K291" s="175">
        <v>44715</v>
      </c>
      <c r="L291" s="176">
        <v>0.1111111111111111</v>
      </c>
      <c r="M291" s="176">
        <v>0.13194444444444445</v>
      </c>
      <c r="Y291" s="63"/>
      <c r="Z291" s="63"/>
      <c r="AA291" s="63"/>
    </row>
    <row r="292" spans="7:27" s="62" customFormat="1" ht="25.9" customHeight="1">
      <c r="G292" s="83">
        <v>283</v>
      </c>
      <c r="H292" s="83" t="s">
        <v>1691</v>
      </c>
      <c r="I292" s="83" t="str">
        <f>VLOOKUP(MP_cierre[[#This Row],[OT]],MP_registro[[#All],[OT]:[PROGRAMADO]],9,FALSE)</f>
        <v>G2</v>
      </c>
      <c r="J292" s="170">
        <v>44717</v>
      </c>
      <c r="K292" s="175">
        <v>44720</v>
      </c>
      <c r="L292" s="176">
        <v>0.14583333333333334</v>
      </c>
      <c r="M292" s="176">
        <v>0.16666666666666666</v>
      </c>
      <c r="Y292" s="63"/>
      <c r="Z292" s="63"/>
      <c r="AA292" s="63"/>
    </row>
    <row r="293" spans="7:27" s="62" customFormat="1" ht="25.9" customHeight="1">
      <c r="G293" s="83">
        <v>284</v>
      </c>
      <c r="H293" s="83" t="s">
        <v>1692</v>
      </c>
      <c r="I293" s="83" t="str">
        <f>VLOOKUP(MP_cierre[[#This Row],[OT]],MP_registro[[#All],[OT]:[PROGRAMADO]],9,FALSE)</f>
        <v>G1</v>
      </c>
      <c r="J293" s="170">
        <v>44718</v>
      </c>
      <c r="K293" s="175">
        <v>44725</v>
      </c>
      <c r="L293" s="176">
        <v>0.65277777777777779</v>
      </c>
      <c r="M293" s="176">
        <v>0.67708333333333337</v>
      </c>
      <c r="Y293" s="63"/>
      <c r="Z293" s="63"/>
      <c r="AA293" s="63"/>
    </row>
    <row r="294" spans="7:27" s="62" customFormat="1" ht="25.9" customHeight="1">
      <c r="G294" s="83">
        <v>285</v>
      </c>
      <c r="H294" s="83" t="s">
        <v>1697</v>
      </c>
      <c r="I294" s="83" t="str">
        <f>VLOOKUP(MP_cierre[[#This Row],[OT]],MP_registro[[#All],[OT]:[PROGRAMADO]],9,FALSE)</f>
        <v>G1</v>
      </c>
      <c r="J294" s="170">
        <v>44718</v>
      </c>
      <c r="K294" s="175">
        <v>44716</v>
      </c>
      <c r="L294" s="176">
        <v>0.10416666666666667</v>
      </c>
      <c r="M294" s="176">
        <v>0.13194444444444445</v>
      </c>
      <c r="Y294" s="63"/>
      <c r="Z294" s="63"/>
      <c r="AA294" s="63"/>
    </row>
    <row r="295" spans="7:27" s="62" customFormat="1" ht="25.9" customHeight="1">
      <c r="G295" s="83">
        <v>286</v>
      </c>
      <c r="H295" s="83" t="s">
        <v>1698</v>
      </c>
      <c r="I295" s="83" t="str">
        <f>VLOOKUP(MP_cierre[[#This Row],[OT]],MP_registro[[#All],[OT]:[PROGRAMADO]],9,FALSE)</f>
        <v>G2</v>
      </c>
      <c r="J295" s="170">
        <v>44718</v>
      </c>
      <c r="K295" s="175">
        <v>44718</v>
      </c>
      <c r="L295" s="176">
        <v>0.91666666666666663</v>
      </c>
      <c r="M295" s="176">
        <v>0.9375</v>
      </c>
      <c r="Y295" s="63"/>
      <c r="Z295" s="63"/>
      <c r="AA295" s="63"/>
    </row>
    <row r="296" spans="7:27" s="62" customFormat="1" ht="25.9" customHeight="1">
      <c r="G296" s="83">
        <v>287</v>
      </c>
      <c r="H296" s="83" t="s">
        <v>1699</v>
      </c>
      <c r="I296" s="83" t="str">
        <f>VLOOKUP(MP_cierre[[#This Row],[OT]],MP_registro[[#All],[OT]:[PROGRAMADO]],9,FALSE)</f>
        <v>G3</v>
      </c>
      <c r="J296" s="170">
        <v>44718</v>
      </c>
      <c r="K296" s="175">
        <v>44724</v>
      </c>
      <c r="L296" s="176">
        <v>0.63055555555555554</v>
      </c>
      <c r="M296" s="176">
        <v>0.65277777777777779</v>
      </c>
      <c r="Y296" s="63"/>
      <c r="Z296" s="63"/>
      <c r="AA296" s="63"/>
    </row>
    <row r="297" spans="7:27" s="62" customFormat="1" ht="25.9" customHeight="1">
      <c r="G297" s="83">
        <v>288</v>
      </c>
      <c r="H297" s="83" t="s">
        <v>1700</v>
      </c>
      <c r="I297" s="83" t="str">
        <f>VLOOKUP(MP_cierre[[#This Row],[OT]],MP_registro[[#All],[OT]:[PROGRAMADO]],9,FALSE)</f>
        <v>G1</v>
      </c>
      <c r="J297" s="170">
        <v>44719</v>
      </c>
      <c r="K297" s="175">
        <v>44719</v>
      </c>
      <c r="L297" s="176">
        <v>0.125</v>
      </c>
      <c r="M297" s="176">
        <v>0.14583333333333334</v>
      </c>
      <c r="Y297" s="63"/>
      <c r="Z297" s="63"/>
      <c r="AA297" s="63"/>
    </row>
    <row r="298" spans="7:27" s="62" customFormat="1" ht="25.9" customHeight="1">
      <c r="G298" s="83">
        <v>289</v>
      </c>
      <c r="H298" s="83" t="s">
        <v>1701</v>
      </c>
      <c r="I298" s="83" t="str">
        <f>VLOOKUP(MP_cierre[[#This Row],[OT]],MP_registro[[#All],[OT]:[PROGRAMADO]],9,FALSE)</f>
        <v>G3</v>
      </c>
      <c r="J298" s="170">
        <v>44719</v>
      </c>
      <c r="K298" s="175">
        <v>44721</v>
      </c>
      <c r="L298" s="176">
        <v>0.73263888888888884</v>
      </c>
      <c r="M298" s="176">
        <v>0.74375000000000002</v>
      </c>
      <c r="Y298" s="63"/>
      <c r="Z298" s="63"/>
      <c r="AA298" s="63"/>
    </row>
    <row r="299" spans="7:27" s="62" customFormat="1" ht="25.9" customHeight="1">
      <c r="G299" s="83">
        <v>290</v>
      </c>
      <c r="H299" s="83" t="s">
        <v>1702</v>
      </c>
      <c r="I299" s="83" t="str">
        <f>VLOOKUP(MP_cierre[[#This Row],[OT]],MP_registro[[#All],[OT]:[PROGRAMADO]],9,FALSE)</f>
        <v>G1</v>
      </c>
      <c r="J299" s="170">
        <v>44719</v>
      </c>
      <c r="K299" s="175">
        <v>44725</v>
      </c>
      <c r="L299" s="176">
        <v>0.44444444444444442</v>
      </c>
      <c r="M299" s="176">
        <v>0.4861111111111111</v>
      </c>
      <c r="Y299" s="63"/>
      <c r="Z299" s="63"/>
      <c r="AA299" s="63"/>
    </row>
    <row r="300" spans="7:27" s="62" customFormat="1" ht="25.9" customHeight="1">
      <c r="G300" s="83">
        <v>291</v>
      </c>
      <c r="H300" s="83" t="s">
        <v>1703</v>
      </c>
      <c r="I300" s="83" t="str">
        <f>VLOOKUP(MP_cierre[[#This Row],[OT]],MP_registro[[#All],[OT]:[PROGRAMADO]],9,FALSE)</f>
        <v>G4</v>
      </c>
      <c r="J300" s="170">
        <v>44719</v>
      </c>
      <c r="K300" s="175">
        <v>44719</v>
      </c>
      <c r="L300" s="176">
        <v>0.625</v>
      </c>
      <c r="M300" s="176">
        <v>0.66666666666666663</v>
      </c>
      <c r="Y300" s="63"/>
      <c r="Z300" s="63"/>
      <c r="AA300" s="63"/>
    </row>
    <row r="301" spans="7:27" s="62" customFormat="1" ht="25.9" customHeight="1">
      <c r="G301" s="83">
        <v>292</v>
      </c>
      <c r="H301" s="83" t="s">
        <v>1704</v>
      </c>
      <c r="I301" s="83" t="str">
        <f>VLOOKUP(MP_cierre[[#This Row],[OT]],MP_registro[[#All],[OT]:[PROGRAMADO]],9,FALSE)</f>
        <v>G3</v>
      </c>
      <c r="J301" s="170">
        <v>44719</v>
      </c>
      <c r="K301" s="175">
        <v>44720</v>
      </c>
      <c r="L301" s="176">
        <v>0.58333333333333337</v>
      </c>
      <c r="M301" s="176">
        <v>0.60069444444444442</v>
      </c>
      <c r="Y301" s="63"/>
      <c r="Z301" s="63"/>
      <c r="AA301" s="63"/>
    </row>
    <row r="302" spans="7:27" s="62" customFormat="1" ht="25.9" customHeight="1">
      <c r="G302" s="83">
        <v>293</v>
      </c>
      <c r="H302" s="83" t="s">
        <v>1705</v>
      </c>
      <c r="I302" s="83" t="str">
        <f>VLOOKUP(MP_cierre[[#This Row],[OT]],MP_registro[[#All],[OT]:[PROGRAMADO]],9,FALSE)</f>
        <v>G1</v>
      </c>
      <c r="J302" s="170">
        <v>44719</v>
      </c>
      <c r="K302" s="175">
        <v>44719</v>
      </c>
      <c r="L302" s="176">
        <v>0</v>
      </c>
      <c r="M302" s="176">
        <v>2.0833333333333332E-2</v>
      </c>
      <c r="Y302" s="63"/>
      <c r="Z302" s="63"/>
      <c r="AA302" s="63"/>
    </row>
    <row r="303" spans="7:27" s="62" customFormat="1" ht="25.9" customHeight="1">
      <c r="G303" s="83">
        <v>294</v>
      </c>
      <c r="H303" s="83" t="s">
        <v>1706</v>
      </c>
      <c r="I303" s="83" t="str">
        <f>VLOOKUP(MP_cierre[[#This Row],[OT]],MP_registro[[#All],[OT]:[PROGRAMADO]],9,FALSE)</f>
        <v>G3</v>
      </c>
      <c r="J303" s="170">
        <v>44719</v>
      </c>
      <c r="K303" s="175">
        <v>44716</v>
      </c>
      <c r="L303" s="176">
        <v>0.67361111111111116</v>
      </c>
      <c r="M303" s="176">
        <v>0.68263888888888891</v>
      </c>
      <c r="Y303" s="63"/>
      <c r="Z303" s="63"/>
      <c r="AA303" s="63"/>
    </row>
    <row r="304" spans="7:27" s="62" customFormat="1" ht="25.9" customHeight="1">
      <c r="G304" s="83">
        <v>295</v>
      </c>
      <c r="H304" s="83" t="s">
        <v>1707</v>
      </c>
      <c r="I304" s="83" t="str">
        <f>VLOOKUP(MP_cierre[[#This Row],[OT]],MP_registro[[#All],[OT]:[PROGRAMADO]],9,FALSE)</f>
        <v>G2</v>
      </c>
      <c r="J304" s="170">
        <v>44720</v>
      </c>
      <c r="K304" s="175">
        <v>44721</v>
      </c>
      <c r="L304" s="176">
        <v>0.9375</v>
      </c>
      <c r="M304" s="176">
        <v>0.95833333333333337</v>
      </c>
      <c r="Y304" s="63"/>
      <c r="Z304" s="63"/>
      <c r="AA304" s="63"/>
    </row>
    <row r="305" spans="7:27" s="62" customFormat="1" ht="25.9" customHeight="1">
      <c r="G305" s="83">
        <v>296</v>
      </c>
      <c r="H305" s="83" t="s">
        <v>1708</v>
      </c>
      <c r="I305" s="83" t="str">
        <f>VLOOKUP(MP_cierre[[#This Row],[OT]],MP_registro[[#All],[OT]:[PROGRAMADO]],9,FALSE)</f>
        <v>G1</v>
      </c>
      <c r="J305" s="170">
        <v>44720</v>
      </c>
      <c r="K305" s="175">
        <v>44720</v>
      </c>
      <c r="L305" s="176">
        <v>0.39583333333333331</v>
      </c>
      <c r="M305" s="176">
        <v>0.47916666666666669</v>
      </c>
      <c r="Y305" s="63"/>
      <c r="Z305" s="63"/>
      <c r="AA305" s="63"/>
    </row>
    <row r="306" spans="7:27" s="62" customFormat="1" ht="25.9" customHeight="1">
      <c r="G306" s="83">
        <v>297</v>
      </c>
      <c r="H306" s="83" t="s">
        <v>1709</v>
      </c>
      <c r="I306" s="83" t="str">
        <f>VLOOKUP(MP_cierre[[#This Row],[OT]],MP_registro[[#All],[OT]:[PROGRAMADO]],9,FALSE)</f>
        <v>G3</v>
      </c>
      <c r="J306" s="170">
        <v>44720</v>
      </c>
      <c r="K306" s="175">
        <v>44720</v>
      </c>
      <c r="L306" s="176">
        <v>0.75902777777777775</v>
      </c>
      <c r="M306" s="176">
        <v>0.77083333333333337</v>
      </c>
      <c r="Y306" s="63"/>
      <c r="Z306" s="63"/>
      <c r="AA306" s="63"/>
    </row>
    <row r="307" spans="7:27" s="62" customFormat="1" ht="25.9" customHeight="1">
      <c r="G307" s="83">
        <v>298</v>
      </c>
      <c r="H307" s="83" t="s">
        <v>1710</v>
      </c>
      <c r="I307" s="83" t="str">
        <f>VLOOKUP(MP_cierre[[#This Row],[OT]],MP_registro[[#All],[OT]:[PROGRAMADO]],9,FALSE)</f>
        <v>G1</v>
      </c>
      <c r="J307" s="170">
        <v>44720</v>
      </c>
      <c r="K307" s="175">
        <v>44719</v>
      </c>
      <c r="L307" s="176">
        <v>0.625</v>
      </c>
      <c r="M307" s="176">
        <v>0.66666666666666663</v>
      </c>
      <c r="Y307" s="63"/>
      <c r="Z307" s="63"/>
      <c r="AA307" s="63"/>
    </row>
    <row r="308" spans="7:27" s="62" customFormat="1" ht="25.9" customHeight="1">
      <c r="G308" s="83">
        <v>299</v>
      </c>
      <c r="H308" s="83" t="s">
        <v>1711</v>
      </c>
      <c r="I308" s="83" t="str">
        <f>VLOOKUP(MP_cierre[[#This Row],[OT]],MP_registro[[#All],[OT]:[PROGRAMADO]],9,FALSE)</f>
        <v>G3</v>
      </c>
      <c r="J308" s="170">
        <v>44720</v>
      </c>
      <c r="K308" s="175">
        <v>44720</v>
      </c>
      <c r="L308" s="176">
        <v>0.44097222222222227</v>
      </c>
      <c r="M308" s="176">
        <v>0.4909722222222222</v>
      </c>
      <c r="Y308" s="63"/>
      <c r="Z308" s="63"/>
      <c r="AA308" s="63"/>
    </row>
    <row r="309" spans="7:27" s="62" customFormat="1" ht="25.9" customHeight="1">
      <c r="G309" s="83">
        <v>300</v>
      </c>
      <c r="H309" s="83" t="s">
        <v>1712</v>
      </c>
      <c r="I309" s="83" t="str">
        <f>VLOOKUP(MP_cierre[[#This Row],[OT]],MP_registro[[#All],[OT]:[PROGRAMADO]],9,FALSE)</f>
        <v>G3</v>
      </c>
      <c r="J309" s="170">
        <v>44720</v>
      </c>
      <c r="K309" s="175">
        <v>44716</v>
      </c>
      <c r="L309" s="176">
        <v>0.44097222222222227</v>
      </c>
      <c r="M309" s="176">
        <v>0.4548611111111111</v>
      </c>
      <c r="Y309" s="63"/>
      <c r="Z309" s="63"/>
      <c r="AA309" s="63"/>
    </row>
    <row r="310" spans="7:27" s="62" customFormat="1" ht="25.9" customHeight="1">
      <c r="G310" s="83">
        <v>301</v>
      </c>
      <c r="H310" s="83" t="s">
        <v>1713</v>
      </c>
      <c r="I310" s="83" t="str">
        <f>VLOOKUP(MP_cierre[[#This Row],[OT]],MP_registro[[#All],[OT]:[PROGRAMADO]],9,FALSE)</f>
        <v>G2</v>
      </c>
      <c r="J310" s="170">
        <v>44720</v>
      </c>
      <c r="K310" s="175">
        <v>44720</v>
      </c>
      <c r="L310" s="176">
        <v>0.95833333333333337</v>
      </c>
      <c r="M310" s="176">
        <v>0.97916666666666663</v>
      </c>
      <c r="Y310" s="63"/>
      <c r="Z310" s="63"/>
      <c r="AA310" s="63"/>
    </row>
    <row r="311" spans="7:27" s="62" customFormat="1" ht="25.9" customHeight="1">
      <c r="G311" s="83">
        <v>302</v>
      </c>
      <c r="H311" s="83" t="s">
        <v>1714</v>
      </c>
      <c r="I311" s="83" t="str">
        <f>VLOOKUP(MP_cierre[[#This Row],[OT]],MP_registro[[#All],[OT]:[PROGRAMADO]],9,FALSE)</f>
        <v>G2</v>
      </c>
      <c r="J311" s="170">
        <v>44720</v>
      </c>
      <c r="K311" s="175">
        <v>44724</v>
      </c>
      <c r="L311" s="176">
        <v>0.82638888888888884</v>
      </c>
      <c r="M311" s="176">
        <v>0.84722222222222221</v>
      </c>
      <c r="Y311" s="63"/>
      <c r="Z311" s="63"/>
      <c r="AA311" s="63"/>
    </row>
    <row r="312" spans="7:27" s="62" customFormat="1" ht="25.9" customHeight="1">
      <c r="G312" s="83">
        <v>303</v>
      </c>
      <c r="H312" s="83" t="s">
        <v>1715</v>
      </c>
      <c r="I312" s="83" t="str">
        <f>VLOOKUP(MP_cierre[[#This Row],[OT]],MP_registro[[#All],[OT]:[PROGRAMADO]],9,FALSE)</f>
        <v>G1</v>
      </c>
      <c r="J312" s="170">
        <v>44721</v>
      </c>
      <c r="K312" s="175">
        <v>44723</v>
      </c>
      <c r="L312" s="176">
        <v>0.97916666666666663</v>
      </c>
      <c r="M312" s="176">
        <v>0</v>
      </c>
      <c r="Y312" s="63"/>
      <c r="Z312" s="63"/>
      <c r="AA312" s="63"/>
    </row>
    <row r="313" spans="7:27" s="62" customFormat="1" ht="25.9" customHeight="1">
      <c r="G313" s="83">
        <v>304</v>
      </c>
      <c r="H313" s="83" t="s">
        <v>1717</v>
      </c>
      <c r="I313" s="83" t="str">
        <f>VLOOKUP(MP_cierre[[#This Row],[OT]],MP_registro[[#All],[OT]:[PROGRAMADO]],9,FALSE)</f>
        <v>G3</v>
      </c>
      <c r="J313" s="170">
        <v>44721</v>
      </c>
      <c r="K313" s="175">
        <v>44719</v>
      </c>
      <c r="L313" s="181">
        <v>0.80208333333333337</v>
      </c>
      <c r="M313" s="181">
        <v>0</v>
      </c>
      <c r="Y313" s="63"/>
      <c r="Z313" s="63"/>
      <c r="AA313" s="63"/>
    </row>
    <row r="314" spans="7:27" s="62" customFormat="1" ht="25.9" customHeight="1">
      <c r="G314" s="83">
        <v>305</v>
      </c>
      <c r="H314" s="83" t="s">
        <v>1718</v>
      </c>
      <c r="I314" s="83" t="str">
        <f>VLOOKUP(MP_cierre[[#This Row],[OT]],MP_registro[[#All],[OT]:[PROGRAMADO]],9,FALSE)</f>
        <v>G2</v>
      </c>
      <c r="J314" s="170">
        <v>44721</v>
      </c>
      <c r="K314" s="175">
        <v>44719</v>
      </c>
      <c r="L314" s="181">
        <v>0.125</v>
      </c>
      <c r="M314" s="181">
        <v>0.16666666666666666</v>
      </c>
      <c r="Y314" s="63"/>
      <c r="Z314" s="63"/>
      <c r="AA314" s="63"/>
    </row>
    <row r="315" spans="7:27" s="62" customFormat="1" ht="25.9" customHeight="1">
      <c r="G315" s="83">
        <v>306</v>
      </c>
      <c r="H315" s="83" t="s">
        <v>1719</v>
      </c>
      <c r="I315" s="83" t="str">
        <f>VLOOKUP(MP_cierre[[#This Row],[OT]],MP_registro[[#All],[OT]:[PROGRAMADO]],9,FALSE)</f>
        <v>G2</v>
      </c>
      <c r="J315" s="170">
        <v>44721</v>
      </c>
      <c r="K315" s="175">
        <v>44723</v>
      </c>
      <c r="L315" s="181">
        <v>8.3333333333333329E-2</v>
      </c>
      <c r="M315" s="181">
        <v>0.125</v>
      </c>
      <c r="Y315" s="63"/>
      <c r="Z315" s="63"/>
      <c r="AA315" s="63"/>
    </row>
    <row r="316" spans="7:27" s="62" customFormat="1" ht="25.9" customHeight="1">
      <c r="G316" s="83">
        <v>307</v>
      </c>
      <c r="H316" s="83" t="s">
        <v>1720</v>
      </c>
      <c r="I316" s="83" t="str">
        <f>VLOOKUP(MP_cierre[[#This Row],[OT]],MP_registro[[#All],[OT]:[PROGRAMADO]],9,FALSE)</f>
        <v>G2</v>
      </c>
      <c r="J316" s="170">
        <v>44721</v>
      </c>
      <c r="K316" s="175">
        <v>44719</v>
      </c>
      <c r="L316" s="181">
        <v>4.1666666666666664E-2</v>
      </c>
      <c r="M316" s="181">
        <v>8.3333333333333329E-2</v>
      </c>
      <c r="Y316" s="63"/>
      <c r="Z316" s="63"/>
      <c r="AA316" s="63"/>
    </row>
    <row r="317" spans="7:27" s="62" customFormat="1" ht="25.9" customHeight="1">
      <c r="G317" s="83">
        <v>308</v>
      </c>
      <c r="H317" s="83" t="s">
        <v>1721</v>
      </c>
      <c r="I317" s="83" t="str">
        <f>VLOOKUP(MP_cierre[[#This Row],[OT]],MP_registro[[#All],[OT]:[PROGRAMADO]],9,FALSE)</f>
        <v>G3</v>
      </c>
      <c r="J317" s="170">
        <v>44721</v>
      </c>
      <c r="K317" s="175">
        <v>44728</v>
      </c>
      <c r="L317" s="176">
        <v>0.4375</v>
      </c>
      <c r="M317" s="176">
        <v>0.46875</v>
      </c>
      <c r="Y317" s="63"/>
      <c r="Z317" s="63"/>
      <c r="AA317" s="63"/>
    </row>
    <row r="318" spans="7:27" s="62" customFormat="1" ht="25.9" customHeight="1">
      <c r="G318" s="83">
        <v>309</v>
      </c>
      <c r="H318" s="83" t="s">
        <v>1722</v>
      </c>
      <c r="I318" s="83" t="str">
        <f>VLOOKUP(MP_cierre[[#This Row],[OT]],MP_registro[[#All],[OT]:[PROGRAMADO]],9,FALSE)</f>
        <v>G1</v>
      </c>
      <c r="J318" s="170">
        <v>44721</v>
      </c>
      <c r="K318" s="175">
        <v>44723</v>
      </c>
      <c r="L318" s="176">
        <v>0.41666666666666669</v>
      </c>
      <c r="M318" s="176">
        <v>0.47569444444444442</v>
      </c>
      <c r="Y318" s="63"/>
      <c r="Z318" s="63"/>
      <c r="AA318" s="63"/>
    </row>
    <row r="319" spans="7:27" s="62" customFormat="1" ht="25.9" customHeight="1">
      <c r="G319" s="83">
        <v>310</v>
      </c>
      <c r="H319" s="83" t="s">
        <v>1723</v>
      </c>
      <c r="I319" s="83" t="str">
        <f>VLOOKUP(MP_cierre[[#This Row],[OT]],MP_registro[[#All],[OT]:[PROGRAMADO]],9,FALSE)</f>
        <v>G1</v>
      </c>
      <c r="J319" s="170">
        <v>44721</v>
      </c>
      <c r="K319" s="175">
        <v>44722</v>
      </c>
      <c r="L319" s="176">
        <v>0</v>
      </c>
      <c r="M319" s="176">
        <v>6.25E-2</v>
      </c>
      <c r="Y319" s="63"/>
      <c r="Z319" s="63"/>
      <c r="AA319" s="63"/>
    </row>
    <row r="320" spans="7:27" s="62" customFormat="1" ht="25.9" customHeight="1">
      <c r="G320" s="83">
        <v>311</v>
      </c>
      <c r="H320" s="83" t="s">
        <v>1724</v>
      </c>
      <c r="I320" s="83" t="str">
        <f>VLOOKUP(MP_cierre[[#This Row],[OT]],MP_registro[[#All],[OT]:[PROGRAMADO]],9,FALSE)</f>
        <v>G3</v>
      </c>
      <c r="J320" s="170">
        <v>44721</v>
      </c>
      <c r="K320" s="175">
        <v>44723</v>
      </c>
      <c r="L320" s="176">
        <v>9.0277777777777776E-2</v>
      </c>
      <c r="M320" s="176">
        <v>0.11666666666666665</v>
      </c>
      <c r="Y320" s="63"/>
      <c r="Z320" s="63"/>
      <c r="AA320" s="63"/>
    </row>
    <row r="321" spans="7:27" s="62" customFormat="1" ht="25.9" customHeight="1">
      <c r="G321" s="83">
        <v>312</v>
      </c>
      <c r="H321" s="83" t="s">
        <v>1725</v>
      </c>
      <c r="I321" s="83" t="str">
        <f>VLOOKUP(MP_cierre[[#This Row],[OT]],MP_registro[[#All],[OT]:[PROGRAMADO]],9,FALSE)</f>
        <v>G1</v>
      </c>
      <c r="J321" s="170">
        <v>44721</v>
      </c>
      <c r="K321" s="175">
        <v>44724</v>
      </c>
      <c r="L321" s="176">
        <v>4.1666666666666664E-2</v>
      </c>
      <c r="M321" s="176">
        <v>5.4166666666666669E-2</v>
      </c>
      <c r="Y321" s="63"/>
      <c r="Z321" s="63"/>
      <c r="AA321" s="63"/>
    </row>
    <row r="322" spans="7:27" s="62" customFormat="1" ht="25.9" customHeight="1">
      <c r="G322" s="83">
        <v>313</v>
      </c>
      <c r="H322" s="83" t="s">
        <v>1726</v>
      </c>
      <c r="I322" s="83" t="str">
        <f>VLOOKUP(MP_cierre[[#This Row],[OT]],MP_registro[[#All],[OT]:[PROGRAMADO]],9,FALSE)</f>
        <v>G3</v>
      </c>
      <c r="J322" s="170">
        <v>44722</v>
      </c>
      <c r="K322" s="175">
        <v>44728</v>
      </c>
      <c r="L322" s="176">
        <v>0.1388888888888889</v>
      </c>
      <c r="M322" s="176">
        <v>0.16319444444444445</v>
      </c>
      <c r="Y322" s="63"/>
      <c r="Z322" s="63"/>
      <c r="AA322" s="63"/>
    </row>
    <row r="323" spans="7:27" s="62" customFormat="1" ht="25.9" customHeight="1">
      <c r="G323" s="83">
        <v>314</v>
      </c>
      <c r="H323" s="83" t="s">
        <v>1727</v>
      </c>
      <c r="I323" s="83" t="str">
        <f>VLOOKUP(MP_cierre[[#This Row],[OT]],MP_registro[[#All],[OT]:[PROGRAMADO]],9,FALSE)</f>
        <v>G1</v>
      </c>
      <c r="J323" s="170">
        <v>44722</v>
      </c>
      <c r="K323" s="175">
        <v>44724</v>
      </c>
      <c r="L323" s="176">
        <v>7.2916666666666671E-2</v>
      </c>
      <c r="M323" s="176">
        <v>8.3333333333333329E-2</v>
      </c>
      <c r="Y323" s="63"/>
      <c r="Z323" s="63"/>
      <c r="AA323" s="63"/>
    </row>
    <row r="324" spans="7:27" s="62" customFormat="1" ht="25.9" customHeight="1">
      <c r="G324" s="83">
        <v>315</v>
      </c>
      <c r="H324" s="83" t="s">
        <v>1728</v>
      </c>
      <c r="I324" s="83" t="str">
        <f>VLOOKUP(MP_cierre[[#This Row],[OT]],MP_registro[[#All],[OT]:[PROGRAMADO]],9,FALSE)</f>
        <v>G1</v>
      </c>
      <c r="J324" s="170">
        <v>44722</v>
      </c>
      <c r="K324" s="175">
        <v>44726</v>
      </c>
      <c r="L324" s="181">
        <v>0.80208333333333337</v>
      </c>
      <c r="M324" s="181">
        <v>0</v>
      </c>
      <c r="Y324" s="63"/>
      <c r="Z324" s="63"/>
      <c r="AA324" s="63"/>
    </row>
    <row r="325" spans="7:27" s="62" customFormat="1" ht="25.9" customHeight="1">
      <c r="G325" s="83">
        <v>316</v>
      </c>
      <c r="H325" s="83" t="s">
        <v>1729</v>
      </c>
      <c r="I325" s="83" t="str">
        <f>VLOOKUP(MP_cierre[[#This Row],[OT]],MP_registro[[#All],[OT]:[PROGRAMADO]],9,FALSE)</f>
        <v>G3</v>
      </c>
      <c r="J325" s="170">
        <v>44722</v>
      </c>
      <c r="K325" s="175">
        <v>44727</v>
      </c>
      <c r="L325" s="181">
        <v>0.44791666666666669</v>
      </c>
      <c r="M325" s="181">
        <v>0.4770833333333333</v>
      </c>
      <c r="Y325" s="63"/>
      <c r="Z325" s="63"/>
      <c r="AA325" s="63"/>
    </row>
    <row r="326" spans="7:27" s="62" customFormat="1" ht="25.9" customHeight="1">
      <c r="G326" s="83">
        <v>317</v>
      </c>
      <c r="H326" s="83" t="s">
        <v>1730</v>
      </c>
      <c r="I326" s="83" t="str">
        <f>VLOOKUP(MP_cierre[[#This Row],[OT]],MP_registro[[#All],[OT]:[PROGRAMADO]],9,FALSE)</f>
        <v>G4</v>
      </c>
      <c r="J326" s="170">
        <v>44722</v>
      </c>
      <c r="K326" s="175">
        <v>44724</v>
      </c>
      <c r="L326" s="181">
        <v>0.625</v>
      </c>
      <c r="M326" s="181">
        <v>0.6875</v>
      </c>
      <c r="Y326" s="63"/>
      <c r="Z326" s="63"/>
      <c r="AA326" s="63"/>
    </row>
    <row r="327" spans="7:27" s="62" customFormat="1" ht="25.9" customHeight="1">
      <c r="G327" s="83">
        <v>318</v>
      </c>
      <c r="H327" s="83" t="s">
        <v>1731</v>
      </c>
      <c r="I327" s="83" t="str">
        <f>VLOOKUP(MP_cierre[[#This Row],[OT]],MP_registro[[#All],[OT]:[PROGRAMADO]],9,FALSE)</f>
        <v>G1</v>
      </c>
      <c r="J327" s="170">
        <v>44722</v>
      </c>
      <c r="K327" s="175">
        <v>44727</v>
      </c>
      <c r="L327" s="181">
        <v>5.2083333333333336E-2</v>
      </c>
      <c r="M327" s="181">
        <v>7.2916666666666671E-2</v>
      </c>
      <c r="Y327" s="63"/>
      <c r="Z327" s="63"/>
      <c r="AA327" s="63"/>
    </row>
    <row r="328" spans="7:27" s="62" customFormat="1" ht="25.9" customHeight="1">
      <c r="G328" s="83">
        <v>319</v>
      </c>
      <c r="H328" s="83" t="s">
        <v>1732</v>
      </c>
      <c r="I328" s="83" t="str">
        <f>VLOOKUP(MP_cierre[[#This Row],[OT]],MP_registro[[#All],[OT]:[PROGRAMADO]],9,FALSE)</f>
        <v>G3</v>
      </c>
      <c r="J328" s="170">
        <v>44722</v>
      </c>
      <c r="K328" s="175">
        <v>44724</v>
      </c>
      <c r="L328" s="181">
        <v>0.40625</v>
      </c>
      <c r="M328" s="181">
        <v>0.43055555555555558</v>
      </c>
      <c r="Y328" s="63"/>
      <c r="Z328" s="63"/>
      <c r="AA328" s="63"/>
    </row>
    <row r="329" spans="7:27" s="62" customFormat="1" ht="25.9" customHeight="1">
      <c r="G329" s="83">
        <v>320</v>
      </c>
      <c r="H329" s="83" t="s">
        <v>1733</v>
      </c>
      <c r="I329" s="83" t="str">
        <f>VLOOKUP(MP_cierre[[#This Row],[OT]],MP_registro[[#All],[OT]:[PROGRAMADO]],9,FALSE)</f>
        <v>G1</v>
      </c>
      <c r="J329" s="170">
        <v>44723</v>
      </c>
      <c r="K329" s="175">
        <v>44725</v>
      </c>
      <c r="L329" s="181">
        <v>8.3333333333333329E-2</v>
      </c>
      <c r="M329" s="181">
        <v>0.10416666666666667</v>
      </c>
      <c r="Y329" s="63"/>
      <c r="Z329" s="63"/>
      <c r="AA329" s="63"/>
    </row>
    <row r="330" spans="7:27" s="62" customFormat="1" ht="25.9" customHeight="1">
      <c r="G330" s="83">
        <v>321</v>
      </c>
      <c r="H330" s="83" t="s">
        <v>1734</v>
      </c>
      <c r="I330" s="83" t="str">
        <f>VLOOKUP(MP_cierre[[#This Row],[OT]],MP_registro[[#All],[OT]:[PROGRAMADO]],9,FALSE)</f>
        <v>G3</v>
      </c>
      <c r="J330" s="170">
        <v>44723</v>
      </c>
      <c r="K330" s="175">
        <v>44720</v>
      </c>
      <c r="L330" s="181">
        <v>0.10972222222222222</v>
      </c>
      <c r="M330" s="181">
        <v>0.1361111111111111</v>
      </c>
      <c r="Y330" s="63"/>
      <c r="Z330" s="63"/>
      <c r="AA330" s="63"/>
    </row>
    <row r="331" spans="7:27" s="62" customFormat="1" ht="25.9" customHeight="1">
      <c r="G331" s="83">
        <v>322</v>
      </c>
      <c r="H331" s="83" t="s">
        <v>1736</v>
      </c>
      <c r="I331" s="83" t="str">
        <f>VLOOKUP(MP_cierre[[#This Row],[OT]],MP_registro[[#All],[OT]:[PROGRAMADO]],9,FALSE)</f>
        <v>G3</v>
      </c>
      <c r="J331" s="170">
        <v>44723</v>
      </c>
      <c r="K331" s="175">
        <v>44725</v>
      </c>
      <c r="L331" s="176">
        <v>0.16666666666666666</v>
      </c>
      <c r="M331" s="176">
        <v>0.21180555555555555</v>
      </c>
      <c r="Y331" s="63"/>
      <c r="Z331" s="63"/>
      <c r="AA331" s="63"/>
    </row>
    <row r="332" spans="7:27" s="62" customFormat="1" ht="25.9" customHeight="1">
      <c r="G332" s="83">
        <v>323</v>
      </c>
      <c r="H332" s="83" t="s">
        <v>1737</v>
      </c>
      <c r="I332" s="83" t="str">
        <f>VLOOKUP(MP_cierre[[#This Row],[OT]],MP_registro[[#All],[OT]:[PROGRAMADO]],9,FALSE)</f>
        <v>G1</v>
      </c>
      <c r="J332" s="170">
        <v>44723</v>
      </c>
      <c r="K332" s="175">
        <v>44725</v>
      </c>
      <c r="L332" s="176">
        <v>0.66666666666666663</v>
      </c>
      <c r="M332" s="176">
        <v>0.70833333333333337</v>
      </c>
      <c r="Y332" s="63"/>
      <c r="Z332" s="63"/>
      <c r="AA332" s="63"/>
    </row>
    <row r="333" spans="7:27" s="62" customFormat="1" ht="25.9" customHeight="1">
      <c r="G333" s="83">
        <v>324</v>
      </c>
      <c r="H333" s="83" t="s">
        <v>1738</v>
      </c>
      <c r="I333" s="83" t="str">
        <f>VLOOKUP(MP_cierre[[#This Row],[OT]],MP_registro[[#All],[OT]:[PROGRAMADO]],9,FALSE)</f>
        <v>G3</v>
      </c>
      <c r="J333" s="170">
        <v>44723</v>
      </c>
      <c r="K333" s="175">
        <v>44727</v>
      </c>
      <c r="L333" s="176">
        <v>0.41875000000000001</v>
      </c>
      <c r="M333" s="176">
        <v>0.47916666666666669</v>
      </c>
      <c r="Y333" s="63"/>
      <c r="Z333" s="63"/>
      <c r="AA333" s="63"/>
    </row>
    <row r="334" spans="7:27" s="62" customFormat="1" ht="25.9" customHeight="1">
      <c r="G334" s="83">
        <v>325</v>
      </c>
      <c r="H334" s="83" t="s">
        <v>1739</v>
      </c>
      <c r="I334" s="83" t="str">
        <f>VLOOKUP(MP_cierre[[#This Row],[OT]],MP_registro[[#All],[OT]:[PROGRAMADO]],9,FALSE)</f>
        <v>G1</v>
      </c>
      <c r="J334" s="170">
        <v>44723</v>
      </c>
      <c r="K334" s="175">
        <v>44727</v>
      </c>
      <c r="L334" s="176">
        <v>8.3333333333333329E-2</v>
      </c>
      <c r="M334" s="176">
        <v>9.375E-2</v>
      </c>
      <c r="Y334" s="63"/>
      <c r="Z334" s="63"/>
      <c r="AA334" s="63"/>
    </row>
    <row r="335" spans="7:27" s="62" customFormat="1" ht="25.9" customHeight="1">
      <c r="G335" s="83">
        <v>326</v>
      </c>
      <c r="H335" s="83" t="s">
        <v>1740</v>
      </c>
      <c r="I335" s="83" t="str">
        <f>VLOOKUP(MP_cierre[[#This Row],[OT]],MP_registro[[#All],[OT]:[PROGRAMADO]],9,FALSE)</f>
        <v>G4</v>
      </c>
      <c r="J335" s="170">
        <v>44723</v>
      </c>
      <c r="K335" s="175">
        <v>44725</v>
      </c>
      <c r="L335" s="176">
        <v>0.45833333333333331</v>
      </c>
      <c r="M335" s="176">
        <v>0.54166666666666663</v>
      </c>
      <c r="Y335" s="63"/>
      <c r="Z335" s="63"/>
      <c r="AA335" s="63"/>
    </row>
    <row r="336" spans="7:27" s="62" customFormat="1" ht="25.9" customHeight="1">
      <c r="G336" s="83">
        <v>327</v>
      </c>
      <c r="H336" s="83" t="s">
        <v>1741</v>
      </c>
      <c r="I336" s="83" t="str">
        <f>VLOOKUP(MP_cierre[[#This Row],[OT]],MP_registro[[#All],[OT]:[PROGRAMADO]],9,FALSE)</f>
        <v>G4</v>
      </c>
      <c r="J336" s="170">
        <v>44723</v>
      </c>
      <c r="K336" s="175">
        <v>44725</v>
      </c>
      <c r="L336" s="176">
        <v>0.41666666666666669</v>
      </c>
      <c r="M336" s="176">
        <v>0.5</v>
      </c>
      <c r="Y336" s="63"/>
      <c r="Z336" s="63"/>
      <c r="AA336" s="63"/>
    </row>
    <row r="337" spans="7:27" s="62" customFormat="1" ht="25.9" customHeight="1">
      <c r="G337" s="83">
        <v>328</v>
      </c>
      <c r="H337" s="83" t="s">
        <v>1742</v>
      </c>
      <c r="I337" s="83" t="str">
        <f>VLOOKUP(MP_cierre[[#This Row],[OT]],MP_registro[[#All],[OT]:[PROGRAMADO]],9,FALSE)</f>
        <v>G4</v>
      </c>
      <c r="J337" s="170">
        <v>44724</v>
      </c>
      <c r="K337" s="175">
        <v>44726</v>
      </c>
      <c r="L337" s="176">
        <v>0.35416666666666669</v>
      </c>
      <c r="M337" s="176">
        <v>0.41666666666666669</v>
      </c>
      <c r="Y337" s="63"/>
      <c r="Z337" s="63"/>
      <c r="AA337" s="63"/>
    </row>
    <row r="338" spans="7:27" s="62" customFormat="1" ht="25.9" customHeight="1">
      <c r="G338" s="83">
        <v>329</v>
      </c>
      <c r="H338" s="83" t="s">
        <v>1743</v>
      </c>
      <c r="I338" s="83" t="str">
        <f>VLOOKUP(MP_cierre[[#This Row],[OT]],MP_registro[[#All],[OT]:[PROGRAMADO]],9,FALSE)</f>
        <v>G3</v>
      </c>
      <c r="J338" s="170">
        <v>44724</v>
      </c>
      <c r="K338" s="175">
        <v>44725</v>
      </c>
      <c r="L338" s="176">
        <v>0.22916666666666666</v>
      </c>
      <c r="M338" s="176">
        <v>0.25555555555555559</v>
      </c>
      <c r="Y338" s="63"/>
      <c r="Z338" s="63"/>
      <c r="AA338" s="63"/>
    </row>
    <row r="339" spans="7:27" s="62" customFormat="1" ht="25.9" customHeight="1">
      <c r="G339" s="83">
        <v>330</v>
      </c>
      <c r="H339" s="83" t="s">
        <v>1744</v>
      </c>
      <c r="I339" s="83" t="str">
        <f>VLOOKUP(MP_cierre[[#This Row],[OT]],MP_registro[[#All],[OT]:[PROGRAMADO]],9,FALSE)</f>
        <v>G1</v>
      </c>
      <c r="J339" s="170">
        <v>44724</v>
      </c>
      <c r="K339" s="175">
        <v>44727</v>
      </c>
      <c r="L339" s="176">
        <v>5.2083333333333336E-2</v>
      </c>
      <c r="M339" s="176">
        <v>7.2916666666666671E-2</v>
      </c>
      <c r="Y339" s="63"/>
      <c r="Z339" s="63"/>
      <c r="AA339" s="63"/>
    </row>
    <row r="340" spans="7:27" s="62" customFormat="1" ht="25.9" customHeight="1">
      <c r="G340" s="83">
        <v>331</v>
      </c>
      <c r="H340" s="83" t="s">
        <v>1745</v>
      </c>
      <c r="I340" s="83" t="str">
        <f>VLOOKUP(MP_cierre[[#This Row],[OT]],MP_registro[[#All],[OT]:[PROGRAMADO]],9,FALSE)</f>
        <v>G3</v>
      </c>
      <c r="J340" s="170">
        <v>44724</v>
      </c>
      <c r="K340" s="175">
        <v>44720</v>
      </c>
      <c r="L340" s="176">
        <v>0.10416666666666667</v>
      </c>
      <c r="M340" s="176">
        <v>0.1277777777777778</v>
      </c>
      <c r="Y340" s="63"/>
      <c r="Z340" s="63"/>
      <c r="AA340" s="63"/>
    </row>
    <row r="341" spans="7:27" s="62" customFormat="1" ht="25.9" customHeight="1">
      <c r="G341" s="83">
        <v>332</v>
      </c>
      <c r="H341" s="83" t="s">
        <v>1746</v>
      </c>
      <c r="I341" s="83" t="str">
        <f>VLOOKUP(MP_cierre[[#This Row],[OT]],MP_registro[[#All],[OT]:[PROGRAMADO]],9,FALSE)</f>
        <v>G4</v>
      </c>
      <c r="J341" s="170">
        <v>44724</v>
      </c>
      <c r="K341" s="175">
        <v>44726</v>
      </c>
      <c r="L341" s="176">
        <v>0.66666666666666663</v>
      </c>
      <c r="M341" s="176">
        <v>0.72916666666666663</v>
      </c>
      <c r="Y341" s="63"/>
      <c r="Z341" s="63"/>
      <c r="AA341" s="63"/>
    </row>
    <row r="342" spans="7:27" s="62" customFormat="1" ht="25.9" customHeight="1">
      <c r="G342" s="83">
        <v>333</v>
      </c>
      <c r="H342" s="83" t="s">
        <v>1747</v>
      </c>
      <c r="I342" s="83" t="str">
        <f>VLOOKUP(MP_cierre[[#This Row],[OT]],MP_registro[[#All],[OT]:[PROGRAMADO]],9,FALSE)</f>
        <v>G4</v>
      </c>
      <c r="J342" s="170">
        <v>44725</v>
      </c>
      <c r="K342" s="175">
        <v>44725</v>
      </c>
      <c r="L342" s="176">
        <v>0.58333333333333337</v>
      </c>
      <c r="M342" s="176">
        <v>0.64583333333333337</v>
      </c>
      <c r="Y342" s="63"/>
      <c r="Z342" s="63"/>
      <c r="AA342" s="63"/>
    </row>
    <row r="343" spans="7:27" s="62" customFormat="1" ht="25.9" customHeight="1">
      <c r="G343" s="83">
        <v>334</v>
      </c>
      <c r="H343" s="83" t="s">
        <v>1748</v>
      </c>
      <c r="I343" s="83" t="str">
        <f>VLOOKUP(MP_cierre[[#This Row],[OT]],MP_registro[[#All],[OT]:[PROGRAMADO]],9,FALSE)</f>
        <v>G1</v>
      </c>
      <c r="J343" s="170">
        <v>44725</v>
      </c>
      <c r="K343" s="175">
        <v>44720</v>
      </c>
      <c r="L343" s="176">
        <v>0.6875</v>
      </c>
      <c r="M343" s="176">
        <v>0.70833333333333337</v>
      </c>
      <c r="Y343" s="63"/>
      <c r="Z343" s="63"/>
      <c r="AA343" s="63"/>
    </row>
    <row r="344" spans="7:27" s="62" customFormat="1" ht="25.9" customHeight="1">
      <c r="G344" s="83">
        <v>335</v>
      </c>
      <c r="H344" s="83" t="s">
        <v>1749</v>
      </c>
      <c r="I344" s="83" t="str">
        <f>VLOOKUP(MP_cierre[[#This Row],[OT]],MP_registro[[#All],[OT]:[PROGRAMADO]],9,FALSE)</f>
        <v>G3</v>
      </c>
      <c r="J344" s="170">
        <v>44725</v>
      </c>
      <c r="K344" s="175">
        <v>44725</v>
      </c>
      <c r="L344" s="176">
        <v>0.44444444444444442</v>
      </c>
      <c r="M344" s="176">
        <v>0.4777777777777778</v>
      </c>
      <c r="Y344" s="63"/>
      <c r="Z344" s="63"/>
      <c r="AA344" s="63"/>
    </row>
    <row r="345" spans="7:27" s="62" customFormat="1" ht="25.9" customHeight="1">
      <c r="G345" s="83">
        <v>336</v>
      </c>
      <c r="H345" s="83" t="s">
        <v>1751</v>
      </c>
      <c r="I345" s="83" t="str">
        <f>VLOOKUP(MP_cierre[[#This Row],[OT]],MP_registro[[#All],[OT]:[PROGRAMADO]],9,FALSE)</f>
        <v>G1</v>
      </c>
      <c r="J345" s="170">
        <v>44725</v>
      </c>
      <c r="K345" s="175">
        <v>44725</v>
      </c>
      <c r="L345" s="176">
        <v>0.91666666666666663</v>
      </c>
      <c r="M345" s="176">
        <v>0.95833333333333337</v>
      </c>
      <c r="Y345" s="63"/>
      <c r="Z345" s="63"/>
      <c r="AA345" s="63"/>
    </row>
    <row r="346" spans="7:27" s="62" customFormat="1" ht="25.9" customHeight="1">
      <c r="G346" s="83">
        <v>337</v>
      </c>
      <c r="H346" s="83" t="s">
        <v>1752</v>
      </c>
      <c r="I346" s="83" t="str">
        <f>VLOOKUP(MP_cierre[[#This Row],[OT]],MP_registro[[#All],[OT]:[PROGRAMADO]],9,FALSE)</f>
        <v>G2</v>
      </c>
      <c r="J346" s="170">
        <v>44725</v>
      </c>
      <c r="K346" s="175">
        <v>44725</v>
      </c>
      <c r="L346" s="176">
        <v>0.22916666666666666</v>
      </c>
      <c r="M346" s="176">
        <v>0.27083333333333331</v>
      </c>
      <c r="Y346" s="63"/>
      <c r="Z346" s="63"/>
      <c r="AA346" s="63"/>
    </row>
    <row r="347" spans="7:27" s="62" customFormat="1" ht="25.9" customHeight="1">
      <c r="G347" s="83">
        <v>338</v>
      </c>
      <c r="H347" s="83" t="s">
        <v>1753</v>
      </c>
      <c r="I347" s="83" t="str">
        <f>VLOOKUP(MP_cierre[[#This Row],[OT]],MP_registro[[#All],[OT]:[PROGRAMADO]],9,FALSE)</f>
        <v>G4</v>
      </c>
      <c r="J347" s="170">
        <v>44725</v>
      </c>
      <c r="K347" s="175">
        <v>44720</v>
      </c>
      <c r="L347" s="176">
        <v>0.35416666666666669</v>
      </c>
      <c r="M347" s="176">
        <v>0.4375</v>
      </c>
      <c r="Y347" s="63"/>
      <c r="Z347" s="63"/>
      <c r="AA347" s="63"/>
    </row>
    <row r="348" spans="7:27" s="62" customFormat="1" ht="25.9" customHeight="1">
      <c r="G348" s="83">
        <v>339</v>
      </c>
      <c r="H348" s="83" t="s">
        <v>1754</v>
      </c>
      <c r="I348" s="83" t="str">
        <f>VLOOKUP(MP_cierre[[#This Row],[OT]],MP_registro[[#All],[OT]:[PROGRAMADO]],9,FALSE)</f>
        <v>G3</v>
      </c>
      <c r="J348" s="170">
        <v>44726</v>
      </c>
      <c r="K348" s="175">
        <v>44726</v>
      </c>
      <c r="L348" s="176">
        <v>0.66666666666666663</v>
      </c>
      <c r="M348" s="176">
        <v>0.69305555555555554</v>
      </c>
      <c r="Y348" s="63"/>
      <c r="Z348" s="63"/>
      <c r="AA348" s="63"/>
    </row>
    <row r="349" spans="7:27" s="62" customFormat="1" ht="25.9" customHeight="1">
      <c r="G349" s="83">
        <v>340</v>
      </c>
      <c r="H349" s="83" t="s">
        <v>1755</v>
      </c>
      <c r="I349" s="83" t="str">
        <f>VLOOKUP(MP_cierre[[#This Row],[OT]],MP_registro[[#All],[OT]:[PROGRAMADO]],9,FALSE)</f>
        <v>G1</v>
      </c>
      <c r="J349" s="170">
        <v>44726</v>
      </c>
      <c r="K349" s="175">
        <v>44726</v>
      </c>
      <c r="L349" s="176">
        <v>8.3333333333333329E-2</v>
      </c>
      <c r="M349" s="176">
        <v>0.125</v>
      </c>
      <c r="Y349" s="63"/>
      <c r="Z349" s="63"/>
      <c r="AA349" s="63"/>
    </row>
    <row r="350" spans="7:27" s="62" customFormat="1" ht="25.9" customHeight="1">
      <c r="G350" s="83">
        <v>341</v>
      </c>
      <c r="H350" s="83" t="s">
        <v>1756</v>
      </c>
      <c r="I350" s="83" t="str">
        <f>VLOOKUP(MP_cierre[[#This Row],[OT]],MP_registro[[#All],[OT]:[PROGRAMADO]],9,FALSE)</f>
        <v>G2</v>
      </c>
      <c r="J350" s="170">
        <v>44726</v>
      </c>
      <c r="K350" s="175">
        <v>44726</v>
      </c>
      <c r="L350" s="176">
        <v>0.85416666666666663</v>
      </c>
      <c r="M350" s="176">
        <v>0.875</v>
      </c>
      <c r="Y350" s="63"/>
      <c r="Z350" s="63"/>
      <c r="AA350" s="63"/>
    </row>
    <row r="351" spans="7:27" s="62" customFormat="1" ht="25.9" customHeight="1">
      <c r="G351" s="83">
        <v>342</v>
      </c>
      <c r="H351" s="83" t="s">
        <v>1757</v>
      </c>
      <c r="I351" s="83" t="str">
        <f>VLOOKUP(MP_cierre[[#This Row],[OT]],MP_registro[[#All],[OT]:[PROGRAMADO]],9,FALSE)</f>
        <v>G3</v>
      </c>
      <c r="J351" s="170">
        <v>44726</v>
      </c>
      <c r="K351" s="175">
        <v>44727</v>
      </c>
      <c r="L351" s="176">
        <v>0.70833333333333337</v>
      </c>
      <c r="M351" s="176">
        <v>0.73958333333333337</v>
      </c>
      <c r="Y351" s="63"/>
      <c r="Z351" s="63"/>
      <c r="AA351" s="63"/>
    </row>
    <row r="352" spans="7:27" s="62" customFormat="1" ht="25.9" customHeight="1">
      <c r="G352" s="83">
        <v>343</v>
      </c>
      <c r="H352" s="83" t="s">
        <v>1758</v>
      </c>
      <c r="I352" s="83" t="str">
        <f>VLOOKUP(MP_cierre[[#This Row],[OT]],MP_registro[[#All],[OT]:[PROGRAMADO]],9,FALSE)</f>
        <v>G1</v>
      </c>
      <c r="J352" s="170">
        <v>44726</v>
      </c>
      <c r="K352" s="175">
        <v>44726</v>
      </c>
      <c r="L352" s="176">
        <v>0.16666666666666666</v>
      </c>
      <c r="M352" s="176">
        <v>0.1875</v>
      </c>
      <c r="Y352" s="63"/>
      <c r="Z352" s="63"/>
      <c r="AA352" s="63"/>
    </row>
    <row r="353" spans="7:27" s="62" customFormat="1" ht="25.9" customHeight="1">
      <c r="G353" s="83">
        <v>344</v>
      </c>
      <c r="H353" s="83" t="s">
        <v>1759</v>
      </c>
      <c r="I353" s="83" t="str">
        <f>VLOOKUP(MP_cierre[[#This Row],[OT]],MP_registro[[#All],[OT]:[PROGRAMADO]],9,FALSE)</f>
        <v>G4</v>
      </c>
      <c r="J353" s="170">
        <v>44726</v>
      </c>
      <c r="K353" s="175">
        <v>44720</v>
      </c>
      <c r="L353" s="176">
        <v>0.41666666666666669</v>
      </c>
      <c r="M353" s="176">
        <v>0.5</v>
      </c>
      <c r="Y353" s="63"/>
      <c r="Z353" s="63"/>
      <c r="AA353" s="63"/>
    </row>
    <row r="354" spans="7:27" s="62" customFormat="1" ht="25.9" customHeight="1">
      <c r="G354" s="83">
        <v>345</v>
      </c>
      <c r="H354" s="83" t="s">
        <v>1760</v>
      </c>
      <c r="I354" s="83" t="str">
        <f>VLOOKUP(MP_cierre[[#This Row],[OT]],MP_registro[[#All],[OT]:[PROGRAMADO]],9,FALSE)</f>
        <v>G4</v>
      </c>
      <c r="J354" s="170">
        <v>44726</v>
      </c>
      <c r="K354" s="175">
        <v>44726</v>
      </c>
      <c r="L354" s="176">
        <v>0.66666666666666663</v>
      </c>
      <c r="M354" s="176">
        <v>0.75</v>
      </c>
      <c r="Y354" s="63"/>
      <c r="Z354" s="63"/>
      <c r="AA354" s="63"/>
    </row>
    <row r="355" spans="7:27" s="62" customFormat="1" ht="25.9" customHeight="1">
      <c r="G355" s="83">
        <v>346</v>
      </c>
      <c r="H355" s="83" t="s">
        <v>1761</v>
      </c>
      <c r="I355" s="83" t="str">
        <f>VLOOKUP(MP_cierre[[#This Row],[OT]],MP_registro[[#All],[OT]:[PROGRAMADO]],9,FALSE)</f>
        <v>G4</v>
      </c>
      <c r="J355" s="170">
        <v>44726</v>
      </c>
      <c r="K355" s="175">
        <v>44726</v>
      </c>
      <c r="L355" s="176">
        <v>0.70833333333333337</v>
      </c>
      <c r="M355" s="176">
        <v>0.77083333333333337</v>
      </c>
      <c r="Y355" s="63"/>
      <c r="Z355" s="63"/>
      <c r="AA355" s="63"/>
    </row>
    <row r="356" spans="7:27" s="62" customFormat="1" ht="25.9" customHeight="1">
      <c r="G356" s="83">
        <v>347</v>
      </c>
      <c r="H356" s="83" t="s">
        <v>1762</v>
      </c>
      <c r="I356" s="83" t="str">
        <f>VLOOKUP(MP_cierre[[#This Row],[OT]],MP_registro[[#All],[OT]:[PROGRAMADO]],9,FALSE)</f>
        <v>G2</v>
      </c>
      <c r="J356" s="170">
        <v>44726</v>
      </c>
      <c r="K356" s="175">
        <v>44720</v>
      </c>
      <c r="L356" s="176">
        <v>0.89583333333333337</v>
      </c>
      <c r="M356" s="176">
        <v>0.91666666666666663</v>
      </c>
      <c r="Y356" s="63"/>
      <c r="Z356" s="63"/>
      <c r="AA356" s="63"/>
    </row>
    <row r="357" spans="7:27" s="62" customFormat="1" ht="25.9" customHeight="1">
      <c r="G357" s="83">
        <v>348</v>
      </c>
      <c r="H357" s="83" t="s">
        <v>1763</v>
      </c>
      <c r="I357" s="83" t="str">
        <f>VLOOKUP(MP_cierre[[#This Row],[OT]],MP_registro[[#All],[OT]:[PROGRAMADO]],9,FALSE)</f>
        <v>G3</v>
      </c>
      <c r="J357" s="170">
        <v>44727</v>
      </c>
      <c r="K357" s="175">
        <v>44728</v>
      </c>
      <c r="L357" s="176">
        <v>0.89583333333333337</v>
      </c>
      <c r="M357" s="176">
        <v>0.92361111111111116</v>
      </c>
      <c r="Y357" s="63"/>
      <c r="Z357" s="63"/>
      <c r="AA357" s="63"/>
    </row>
    <row r="358" spans="7:27" s="62" customFormat="1" ht="25.9" customHeight="1">
      <c r="G358" s="83">
        <v>349</v>
      </c>
      <c r="H358" s="83" t="s">
        <v>1764</v>
      </c>
      <c r="I358" s="83" t="str">
        <f>VLOOKUP(MP_cierre[[#This Row],[OT]],MP_registro[[#All],[OT]:[PROGRAMADO]],9,FALSE)</f>
        <v>G1</v>
      </c>
      <c r="J358" s="170">
        <v>44727</v>
      </c>
      <c r="K358" s="175">
        <v>44727</v>
      </c>
      <c r="L358" s="176">
        <v>8.3333333333333329E-2</v>
      </c>
      <c r="M358" s="176">
        <v>0.14583333333333334</v>
      </c>
      <c r="Y358" s="63"/>
      <c r="Z358" s="63"/>
      <c r="AA358" s="63"/>
    </row>
    <row r="359" spans="7:27" s="62" customFormat="1" ht="25.9" customHeight="1">
      <c r="G359" s="83">
        <v>350</v>
      </c>
      <c r="H359" s="83" t="s">
        <v>1765</v>
      </c>
      <c r="I359" s="83" t="str">
        <f>VLOOKUP(MP_cierre[[#This Row],[OT]],MP_registro[[#All],[OT]:[PROGRAMADO]],9,FALSE)</f>
        <v>G2</v>
      </c>
      <c r="J359" s="170">
        <v>44727</v>
      </c>
      <c r="K359" s="175">
        <v>44727</v>
      </c>
      <c r="L359" s="176">
        <v>0.875</v>
      </c>
      <c r="M359" s="176">
        <v>0.89583333333333337</v>
      </c>
      <c r="Y359" s="63"/>
      <c r="Z359" s="63"/>
      <c r="AA359" s="63"/>
    </row>
    <row r="360" spans="7:27" s="62" customFormat="1" ht="25.9" customHeight="1">
      <c r="G360" s="83">
        <v>351</v>
      </c>
      <c r="H360" s="83" t="s">
        <v>1766</v>
      </c>
      <c r="I360" s="83" t="str">
        <f>VLOOKUP(MP_cierre[[#This Row],[OT]],MP_registro[[#All],[OT]:[PROGRAMADO]],9,FALSE)</f>
        <v>G3</v>
      </c>
      <c r="J360" s="170">
        <v>44727</v>
      </c>
      <c r="K360" s="175">
        <v>44728</v>
      </c>
      <c r="L360" s="176">
        <v>0.89583333333333337</v>
      </c>
      <c r="M360" s="176">
        <v>0.92361111111111116</v>
      </c>
      <c r="Y360" s="63"/>
      <c r="Z360" s="63"/>
      <c r="AA360" s="63"/>
    </row>
    <row r="361" spans="7:27" s="62" customFormat="1" ht="25.9" customHeight="1">
      <c r="G361" s="83">
        <v>352</v>
      </c>
      <c r="H361" s="83" t="s">
        <v>1767</v>
      </c>
      <c r="I361" s="83" t="str">
        <f>VLOOKUP(MP_cierre[[#This Row],[OT]],MP_registro[[#All],[OT]:[PROGRAMADO]],9,FALSE)</f>
        <v>G1</v>
      </c>
      <c r="J361" s="170">
        <v>44727</v>
      </c>
      <c r="K361" s="175">
        <v>44727</v>
      </c>
      <c r="L361" s="176">
        <v>8.3333333333333329E-2</v>
      </c>
      <c r="M361" s="176">
        <v>0.14583333333333334</v>
      </c>
      <c r="Y361" s="63"/>
      <c r="Z361" s="63"/>
      <c r="AA361" s="63"/>
    </row>
    <row r="362" spans="7:27" s="62" customFormat="1" ht="25.9" customHeight="1">
      <c r="G362" s="83">
        <v>353</v>
      </c>
      <c r="H362" s="83" t="s">
        <v>1768</v>
      </c>
      <c r="I362" s="83" t="str">
        <f>VLOOKUP(MP_cierre[[#This Row],[OT]],MP_registro[[#All],[OT]:[PROGRAMADO]],9,FALSE)</f>
        <v>G2</v>
      </c>
      <c r="J362" s="170">
        <v>44727</v>
      </c>
      <c r="K362" s="175">
        <v>44727</v>
      </c>
      <c r="L362" s="176">
        <v>0.64583333333333337</v>
      </c>
      <c r="M362" s="176">
        <v>0.6875</v>
      </c>
      <c r="Y362" s="63"/>
      <c r="Z362" s="63"/>
      <c r="AA362" s="63"/>
    </row>
    <row r="363" spans="7:27" s="62" customFormat="1" ht="25.9" customHeight="1">
      <c r="G363" s="83">
        <v>354</v>
      </c>
      <c r="H363" s="83" t="s">
        <v>1769</v>
      </c>
      <c r="I363" s="83" t="str">
        <f>VLOOKUP(MP_cierre[[#This Row],[OT]],MP_registro[[#All],[OT]:[PROGRAMADO]],9,FALSE)</f>
        <v>G4</v>
      </c>
      <c r="J363" s="170">
        <v>44727</v>
      </c>
      <c r="K363" s="175">
        <v>44727</v>
      </c>
      <c r="L363" s="176">
        <v>0.375</v>
      </c>
      <c r="M363" s="176">
        <v>0.45833333333333331</v>
      </c>
      <c r="Y363" s="63"/>
      <c r="Z363" s="63"/>
      <c r="AA363" s="63"/>
    </row>
    <row r="364" spans="7:27" s="62" customFormat="1" ht="25.9" customHeight="1">
      <c r="G364" s="83">
        <v>355</v>
      </c>
      <c r="H364" s="83" t="s">
        <v>1770</v>
      </c>
      <c r="I364" s="83" t="str">
        <f>VLOOKUP(MP_cierre[[#This Row],[OT]],MP_registro[[#All],[OT]:[PROGRAMADO]],9,FALSE)</f>
        <v>G3</v>
      </c>
      <c r="J364" s="170">
        <v>44727</v>
      </c>
      <c r="K364" s="175">
        <v>44727</v>
      </c>
      <c r="L364" s="176">
        <v>0.89583333333333337</v>
      </c>
      <c r="M364" s="176">
        <v>0.92361111111111116</v>
      </c>
      <c r="Y364" s="63"/>
      <c r="Z364" s="63"/>
      <c r="AA364" s="63"/>
    </row>
    <row r="365" spans="7:27" s="62" customFormat="1" ht="25.9" customHeight="1">
      <c r="G365" s="83">
        <v>356</v>
      </c>
      <c r="H365" s="83" t="s">
        <v>1771</v>
      </c>
      <c r="I365" s="83" t="str">
        <f>VLOOKUP(MP_cierre[[#This Row],[OT]],MP_registro[[#All],[OT]:[PROGRAMADO]],9,FALSE)</f>
        <v>G1</v>
      </c>
      <c r="J365" s="170">
        <v>44728</v>
      </c>
      <c r="K365" s="175">
        <v>44727</v>
      </c>
      <c r="L365" s="176">
        <v>0.15625</v>
      </c>
      <c r="M365" s="176">
        <v>0.20833333333333334</v>
      </c>
      <c r="Y365" s="63"/>
      <c r="Z365" s="63"/>
      <c r="AA365" s="63"/>
    </row>
    <row r="366" spans="7:27" s="62" customFormat="1" ht="25.9" customHeight="1">
      <c r="G366" s="83">
        <v>357</v>
      </c>
      <c r="H366" s="83" t="s">
        <v>1772</v>
      </c>
      <c r="I366" s="83" t="str">
        <f>VLOOKUP(MP_cierre[[#This Row],[OT]],MP_registro[[#All],[OT]:[PROGRAMADO]],9,FALSE)</f>
        <v>G2</v>
      </c>
      <c r="J366" s="170">
        <v>44728</v>
      </c>
      <c r="K366" s="175">
        <v>44728</v>
      </c>
      <c r="L366" s="176">
        <v>0.58333333333333337</v>
      </c>
      <c r="M366" s="176">
        <v>0.60416666666666663</v>
      </c>
      <c r="Y366" s="63"/>
      <c r="Z366" s="63"/>
      <c r="AA366" s="63"/>
    </row>
    <row r="367" spans="7:27" s="62" customFormat="1" ht="25.9" customHeight="1">
      <c r="G367" s="83">
        <v>358</v>
      </c>
      <c r="H367" s="83" t="s">
        <v>1773</v>
      </c>
      <c r="I367" s="83" t="str">
        <f>VLOOKUP(MP_cierre[[#This Row],[OT]],MP_registro[[#All],[OT]:[PROGRAMADO]],9,FALSE)</f>
        <v>G3</v>
      </c>
      <c r="J367" s="170">
        <v>44728</v>
      </c>
      <c r="K367" s="175">
        <v>44727</v>
      </c>
      <c r="L367" s="176">
        <v>4.1666666666666664E-2</v>
      </c>
      <c r="M367" s="176">
        <v>6.25E-2</v>
      </c>
      <c r="Y367" s="63"/>
      <c r="Z367" s="63"/>
      <c r="AA367" s="63"/>
    </row>
    <row r="368" spans="7:27" s="62" customFormat="1" ht="25.9" customHeight="1">
      <c r="G368" s="83">
        <v>359</v>
      </c>
      <c r="H368" s="83" t="s">
        <v>1775</v>
      </c>
      <c r="I368" s="83" t="str">
        <f>VLOOKUP(MP_cierre[[#This Row],[OT]],MP_registro[[#All],[OT]:[PROGRAMADO]],9,FALSE)</f>
        <v>G2</v>
      </c>
      <c r="J368" s="170">
        <v>44728</v>
      </c>
      <c r="K368" s="175">
        <v>44728</v>
      </c>
      <c r="L368" s="176">
        <v>0.60416666666666663</v>
      </c>
      <c r="M368" s="176">
        <v>0.64583333333333337</v>
      </c>
      <c r="Y368" s="63"/>
      <c r="Z368" s="63"/>
      <c r="AA368" s="63"/>
    </row>
    <row r="369" spans="7:27" s="62" customFormat="1" ht="25.9" customHeight="1">
      <c r="G369" s="83">
        <v>360</v>
      </c>
      <c r="H369" s="83" t="s">
        <v>1776</v>
      </c>
      <c r="I369" s="83" t="str">
        <f>VLOOKUP(MP_cierre[[#This Row],[OT]],MP_registro[[#All],[OT]:[PROGRAMADO]],9,FALSE)</f>
        <v>G3</v>
      </c>
      <c r="J369" s="170">
        <v>44728</v>
      </c>
      <c r="K369" s="175">
        <v>44728</v>
      </c>
      <c r="L369" s="176">
        <v>0.94652777777777775</v>
      </c>
      <c r="M369" s="176">
        <v>0.96527777777777779</v>
      </c>
      <c r="Y369" s="63"/>
      <c r="Z369" s="63"/>
      <c r="AA369" s="63"/>
    </row>
    <row r="370" spans="7:27" s="62" customFormat="1" ht="25.9" customHeight="1">
      <c r="G370" s="83">
        <v>361</v>
      </c>
      <c r="H370" s="83" t="s">
        <v>1777</v>
      </c>
      <c r="I370" s="83" t="str">
        <f>VLOOKUP(MP_cierre[[#This Row],[OT]],MP_registro[[#All],[OT]:[PROGRAMADO]],9,FALSE)</f>
        <v>G2</v>
      </c>
      <c r="J370" s="170">
        <v>44728</v>
      </c>
      <c r="K370" s="175">
        <v>44728</v>
      </c>
      <c r="L370" s="176">
        <v>0.6875</v>
      </c>
      <c r="M370" s="176">
        <v>0.72916666666666663</v>
      </c>
      <c r="Y370" s="63"/>
      <c r="Z370" s="63"/>
      <c r="AA370" s="63"/>
    </row>
    <row r="371" spans="7:27" s="62" customFormat="1" ht="25.9" customHeight="1">
      <c r="G371" s="83">
        <v>362</v>
      </c>
      <c r="H371" s="83" t="s">
        <v>1778</v>
      </c>
      <c r="I371" s="83" t="str">
        <f>VLOOKUP(MP_cierre[[#This Row],[OT]],MP_registro[[#All],[OT]:[PROGRAMADO]],9,FALSE)</f>
        <v>G4</v>
      </c>
      <c r="J371" s="170">
        <v>44728</v>
      </c>
      <c r="K371" s="175">
        <v>44728</v>
      </c>
      <c r="L371" s="176">
        <v>0.47916666666666669</v>
      </c>
      <c r="M371" s="176">
        <v>0.52083333333333337</v>
      </c>
      <c r="Y371" s="63"/>
      <c r="Z371" s="63"/>
      <c r="AA371" s="63"/>
    </row>
    <row r="372" spans="7:27" s="62" customFormat="1" ht="25.9" customHeight="1">
      <c r="G372" s="83">
        <v>363</v>
      </c>
      <c r="H372" s="83" t="s">
        <v>1779</v>
      </c>
      <c r="I372" s="83" t="str">
        <f>VLOOKUP(MP_cierre[[#This Row],[OT]],MP_registro[[#All],[OT]:[PROGRAMADO]],9,FALSE)</f>
        <v>G2</v>
      </c>
      <c r="J372" s="170">
        <v>44729</v>
      </c>
      <c r="K372" s="175">
        <v>44729</v>
      </c>
      <c r="L372" s="176">
        <v>0.375</v>
      </c>
      <c r="M372" s="176">
        <v>0.39583333333333331</v>
      </c>
      <c r="Y372" s="63"/>
      <c r="Z372" s="63"/>
      <c r="AA372" s="63"/>
    </row>
    <row r="373" spans="7:27" s="62" customFormat="1" ht="25.9" customHeight="1">
      <c r="G373" s="83">
        <v>364</v>
      </c>
      <c r="H373" s="83" t="s">
        <v>1780</v>
      </c>
      <c r="I373" s="83" t="str">
        <f>VLOOKUP(MP_cierre[[#This Row],[OT]],MP_registro[[#All],[OT]:[PROGRAMADO]],9,FALSE)</f>
        <v>G3</v>
      </c>
      <c r="J373" s="170">
        <v>44729</v>
      </c>
      <c r="K373" s="175">
        <v>44729</v>
      </c>
      <c r="L373" s="176">
        <v>4.1666666666666664E-2</v>
      </c>
      <c r="M373" s="176">
        <v>6.25E-2</v>
      </c>
      <c r="Y373" s="63"/>
      <c r="Z373" s="63"/>
      <c r="AA373" s="63"/>
    </row>
    <row r="374" spans="7:27" s="62" customFormat="1" ht="25.9" customHeight="1">
      <c r="G374" s="83">
        <v>365</v>
      </c>
      <c r="H374" s="83" t="s">
        <v>1781</v>
      </c>
      <c r="I374" s="83" t="str">
        <f>VLOOKUP(MP_cierre[[#This Row],[OT]],MP_registro[[#All],[OT]:[PROGRAMADO]],9,FALSE)</f>
        <v>G3</v>
      </c>
      <c r="J374" s="170">
        <v>44729</v>
      </c>
      <c r="K374" s="175">
        <v>44728</v>
      </c>
      <c r="L374" s="176">
        <v>0.93263888888888891</v>
      </c>
      <c r="M374" s="176">
        <v>0.94374999999999998</v>
      </c>
      <c r="Y374" s="63"/>
      <c r="Z374" s="63"/>
      <c r="AA374" s="63"/>
    </row>
    <row r="375" spans="7:27" s="62" customFormat="1" ht="25.9" customHeight="1">
      <c r="G375" s="83">
        <v>366</v>
      </c>
      <c r="H375" s="83" t="s">
        <v>1782</v>
      </c>
      <c r="I375" s="83" t="str">
        <f>VLOOKUP(MP_cierre[[#This Row],[OT]],MP_registro[[#All],[OT]:[PROGRAMADO]],9,FALSE)</f>
        <v>G2</v>
      </c>
      <c r="J375" s="170">
        <v>44729</v>
      </c>
      <c r="K375" s="175">
        <v>44728</v>
      </c>
      <c r="L375" s="176">
        <v>0.39583333333333331</v>
      </c>
      <c r="M375" s="176">
        <v>0.41666666666666669</v>
      </c>
      <c r="Y375" s="63"/>
      <c r="Z375" s="63"/>
      <c r="AA375" s="63"/>
    </row>
    <row r="376" spans="7:27" s="62" customFormat="1" ht="25.9" customHeight="1">
      <c r="G376" s="83">
        <v>367</v>
      </c>
      <c r="H376" s="83" t="s">
        <v>1783</v>
      </c>
      <c r="I376" s="83" t="str">
        <f>VLOOKUP(MP_cierre[[#This Row],[OT]],MP_registro[[#All],[OT]:[PROGRAMADO]],9,FALSE)</f>
        <v>G3</v>
      </c>
      <c r="J376" s="170">
        <v>44729</v>
      </c>
      <c r="K376" s="175">
        <v>44729</v>
      </c>
      <c r="L376" s="176">
        <v>5.9027777777777783E-2</v>
      </c>
      <c r="M376" s="176">
        <v>8.0555555555555561E-2</v>
      </c>
      <c r="Y376" s="63"/>
      <c r="Z376" s="63"/>
      <c r="AA376" s="63"/>
    </row>
    <row r="377" spans="7:27" s="62" customFormat="1" ht="25.9" customHeight="1">
      <c r="G377" s="83">
        <v>368</v>
      </c>
      <c r="H377" s="83" t="s">
        <v>1784</v>
      </c>
      <c r="I377" s="83" t="str">
        <f>VLOOKUP(MP_cierre[[#This Row],[OT]],MP_registro[[#All],[OT]:[PROGRAMADO]],9,FALSE)</f>
        <v>G4</v>
      </c>
      <c r="J377" s="170">
        <v>44729</v>
      </c>
      <c r="K377" s="175">
        <v>44729</v>
      </c>
      <c r="L377" s="176">
        <v>0.35416666666666669</v>
      </c>
      <c r="M377" s="176">
        <v>0.41666666666666669</v>
      </c>
      <c r="Y377" s="63"/>
      <c r="Z377" s="63"/>
      <c r="AA377" s="63"/>
    </row>
    <row r="378" spans="7:27" s="62" customFormat="1" ht="25.9" customHeight="1">
      <c r="G378" s="83">
        <v>369</v>
      </c>
      <c r="H378" s="83" t="s">
        <v>1785</v>
      </c>
      <c r="I378" s="83" t="str">
        <f>VLOOKUP(MP_cierre[[#This Row],[OT]],MP_registro[[#All],[OT]:[PROGRAMADO]],9,FALSE)</f>
        <v>G2</v>
      </c>
      <c r="J378" s="170">
        <v>44729</v>
      </c>
      <c r="K378" s="175">
        <v>44728</v>
      </c>
      <c r="L378" s="176">
        <v>0.41666666666666669</v>
      </c>
      <c r="M378" s="176">
        <v>0.4375</v>
      </c>
      <c r="Y378" s="63"/>
      <c r="Z378" s="63"/>
      <c r="AA378" s="63"/>
    </row>
    <row r="379" spans="7:27" s="62" customFormat="1" ht="25.9" customHeight="1">
      <c r="G379" s="83">
        <v>370</v>
      </c>
      <c r="H379" s="83" t="s">
        <v>1786</v>
      </c>
      <c r="I379" s="83" t="str">
        <f>VLOOKUP(MP_cierre[[#This Row],[OT]],MP_registro[[#All],[OT]:[PROGRAMADO]],9,FALSE)</f>
        <v>G2</v>
      </c>
      <c r="J379" s="170">
        <v>44730</v>
      </c>
      <c r="K379" s="175">
        <v>44730</v>
      </c>
      <c r="L379" s="176">
        <v>0.4375</v>
      </c>
      <c r="M379" s="176">
        <v>0.45833333333333331</v>
      </c>
      <c r="Y379" s="63"/>
      <c r="Z379" s="63"/>
      <c r="AA379" s="63"/>
    </row>
    <row r="380" spans="7:27" s="62" customFormat="1" ht="25.9" customHeight="1">
      <c r="G380" s="83">
        <v>371</v>
      </c>
      <c r="H380" s="83" t="s">
        <v>1787</v>
      </c>
      <c r="I380" s="83" t="str">
        <f>VLOOKUP(MP_cierre[[#This Row],[OT]],MP_registro[[#All],[OT]:[PROGRAMADO]],9,FALSE)</f>
        <v>G3</v>
      </c>
      <c r="J380" s="170">
        <v>44730</v>
      </c>
      <c r="K380" s="175">
        <v>44729</v>
      </c>
      <c r="L380" s="176">
        <v>9.2361111111111116E-2</v>
      </c>
      <c r="M380" s="176">
        <v>0.10277777777777779</v>
      </c>
      <c r="Y380" s="63"/>
      <c r="Z380" s="63"/>
      <c r="AA380" s="63"/>
    </row>
    <row r="381" spans="7:27" s="62" customFormat="1" ht="25.9" customHeight="1">
      <c r="G381" s="83">
        <v>372</v>
      </c>
      <c r="H381" s="83" t="s">
        <v>1788</v>
      </c>
      <c r="I381" s="83" t="str">
        <f>VLOOKUP(MP_cierre[[#This Row],[OT]],MP_registro[[#All],[OT]:[PROGRAMADO]],9,FALSE)</f>
        <v>G3</v>
      </c>
      <c r="J381" s="170">
        <v>44730</v>
      </c>
      <c r="K381" s="175">
        <v>44729</v>
      </c>
      <c r="L381" s="176">
        <v>5.1388888888888894E-2</v>
      </c>
      <c r="M381" s="176">
        <v>6.25E-2</v>
      </c>
      <c r="Y381" s="63"/>
      <c r="Z381" s="63"/>
      <c r="AA381" s="63"/>
    </row>
    <row r="382" spans="7:27" s="62" customFormat="1" ht="25.9" customHeight="1">
      <c r="G382" s="83">
        <v>373</v>
      </c>
      <c r="H382" s="83" t="s">
        <v>1789</v>
      </c>
      <c r="I382" s="83" t="str">
        <f>VLOOKUP(MP_cierre[[#This Row],[OT]],MP_registro[[#All],[OT]:[PROGRAMADO]],9,FALSE)</f>
        <v>G2</v>
      </c>
      <c r="J382" s="170">
        <v>44730</v>
      </c>
      <c r="K382" s="175">
        <v>44729</v>
      </c>
      <c r="L382" s="176">
        <v>0.45833333333333331</v>
      </c>
      <c r="M382" s="176">
        <v>0.46875</v>
      </c>
      <c r="Y382" s="63"/>
      <c r="Z382" s="63"/>
      <c r="AA382" s="63"/>
    </row>
    <row r="383" spans="7:27" s="62" customFormat="1" ht="25.9" customHeight="1">
      <c r="G383" s="83">
        <v>374</v>
      </c>
      <c r="H383" s="83" t="s">
        <v>1790</v>
      </c>
      <c r="I383" s="83" t="str">
        <f>VLOOKUP(MP_cierre[[#This Row],[OT]],MP_registro[[#All],[OT]:[PROGRAMADO]],9,FALSE)</f>
        <v>G3</v>
      </c>
      <c r="J383" s="170">
        <v>44730</v>
      </c>
      <c r="K383" s="175">
        <v>44730</v>
      </c>
      <c r="L383" s="176">
        <v>4.1666666666666664E-2</v>
      </c>
      <c r="M383" s="176">
        <v>6.25E-2</v>
      </c>
      <c r="Y383" s="63"/>
      <c r="Z383" s="63"/>
      <c r="AA383" s="63"/>
    </row>
    <row r="384" spans="7:27" s="62" customFormat="1" ht="25.9" customHeight="1">
      <c r="G384" s="83">
        <v>375</v>
      </c>
      <c r="H384" s="83" t="s">
        <v>1791</v>
      </c>
      <c r="I384" s="83" t="str">
        <f>VLOOKUP(MP_cierre[[#This Row],[OT]],MP_registro[[#All],[OT]:[PROGRAMADO]],9,FALSE)</f>
        <v>G2</v>
      </c>
      <c r="J384" s="170">
        <v>44730</v>
      </c>
      <c r="K384" s="175">
        <v>44730</v>
      </c>
      <c r="L384" s="176">
        <v>0.39583333333333331</v>
      </c>
      <c r="M384" s="176">
        <v>0.41666666666666669</v>
      </c>
      <c r="Y384" s="63"/>
      <c r="Z384" s="63"/>
      <c r="AA384" s="63"/>
    </row>
    <row r="385" spans="7:27" s="62" customFormat="1" ht="25.9" customHeight="1">
      <c r="G385" s="83">
        <v>376</v>
      </c>
      <c r="H385" s="83" t="s">
        <v>1792</v>
      </c>
      <c r="I385" s="83" t="str">
        <f>VLOOKUP(MP_cierre[[#This Row],[OT]],MP_registro[[#All],[OT]:[PROGRAMADO]],9,FALSE)</f>
        <v>G2</v>
      </c>
      <c r="J385" s="170">
        <v>44731</v>
      </c>
      <c r="K385" s="175">
        <v>44729</v>
      </c>
      <c r="L385" s="176">
        <v>0.58333333333333337</v>
      </c>
      <c r="M385" s="176">
        <v>0.625</v>
      </c>
      <c r="Y385" s="63"/>
      <c r="Z385" s="63"/>
      <c r="AA385" s="63"/>
    </row>
    <row r="386" spans="7:27" s="62" customFormat="1" ht="25.9" customHeight="1">
      <c r="G386" s="83">
        <v>377</v>
      </c>
      <c r="H386" s="83" t="s">
        <v>1793</v>
      </c>
      <c r="I386" s="83" t="str">
        <f>VLOOKUP(MP_cierre[[#This Row],[OT]],MP_registro[[#All],[OT]:[PROGRAMADO]],9,FALSE)</f>
        <v>G4</v>
      </c>
      <c r="J386" s="170">
        <v>44731</v>
      </c>
      <c r="K386" s="175">
        <v>44734</v>
      </c>
      <c r="L386" s="176">
        <v>0.4375</v>
      </c>
      <c r="M386" s="176">
        <v>0.5</v>
      </c>
      <c r="Y386" s="63"/>
      <c r="Z386" s="63"/>
      <c r="AA386" s="63"/>
    </row>
    <row r="387" spans="7:27" s="62" customFormat="1" ht="25.9" customHeight="1">
      <c r="G387" s="83">
        <v>378</v>
      </c>
      <c r="H387" s="83" t="s">
        <v>1794</v>
      </c>
      <c r="I387" s="83" t="str">
        <f>VLOOKUP(MP_cierre[[#This Row],[OT]],MP_registro[[#All],[OT]:[PROGRAMADO]],9,FALSE)</f>
        <v>G3</v>
      </c>
      <c r="J387" s="170">
        <v>44731</v>
      </c>
      <c r="K387" s="175">
        <v>44731</v>
      </c>
      <c r="L387" s="176">
        <v>0.94513888888888886</v>
      </c>
      <c r="M387" s="176">
        <v>0.95833333333333337</v>
      </c>
      <c r="Y387" s="63"/>
      <c r="Z387" s="63"/>
      <c r="AA387" s="63"/>
    </row>
    <row r="388" spans="7:27" s="62" customFormat="1" ht="25.9" customHeight="1">
      <c r="G388" s="83">
        <v>379</v>
      </c>
      <c r="H388" s="83" t="s">
        <v>1795</v>
      </c>
      <c r="I388" s="83" t="str">
        <f>VLOOKUP(MP_cierre[[#This Row],[OT]],MP_registro[[#All],[OT]:[PROGRAMADO]],9,FALSE)</f>
        <v>G3</v>
      </c>
      <c r="J388" s="170">
        <v>44731</v>
      </c>
      <c r="K388" s="175">
        <v>44729</v>
      </c>
      <c r="L388" s="176">
        <v>0.96527777777777779</v>
      </c>
      <c r="M388" s="176">
        <v>0.97499999999999998</v>
      </c>
      <c r="Y388" s="63"/>
      <c r="Z388" s="63"/>
      <c r="AA388" s="63"/>
    </row>
    <row r="389" spans="7:27" s="62" customFormat="1" ht="25.9" customHeight="1">
      <c r="G389" s="83">
        <v>380</v>
      </c>
      <c r="H389" s="83" t="s">
        <v>1796</v>
      </c>
      <c r="I389" s="83" t="str">
        <f>VLOOKUP(MP_cierre[[#This Row],[OT]],MP_registro[[#All],[OT]:[PROGRAMADO]],9,FALSE)</f>
        <v>G2</v>
      </c>
      <c r="J389" s="170">
        <v>44732</v>
      </c>
      <c r="K389" s="175">
        <v>44745</v>
      </c>
      <c r="L389" s="176">
        <v>0.625</v>
      </c>
      <c r="M389" s="176">
        <v>0.66666666666666663</v>
      </c>
      <c r="Y389" s="63"/>
      <c r="Z389" s="63"/>
      <c r="AA389" s="63"/>
    </row>
    <row r="390" spans="7:27" s="62" customFormat="1" ht="25.9" customHeight="1">
      <c r="G390" s="83">
        <v>381</v>
      </c>
      <c r="H390" s="83" t="s">
        <v>1797</v>
      </c>
      <c r="I390" s="83" t="str">
        <f>VLOOKUP(MP_cierre[[#This Row],[OT]],MP_registro[[#All],[OT]:[PROGRAMADO]],9,FALSE)</f>
        <v>G4</v>
      </c>
      <c r="J390" s="170">
        <v>44732</v>
      </c>
      <c r="K390" s="175">
        <v>44734</v>
      </c>
      <c r="L390" s="176">
        <v>0.35416666666666669</v>
      </c>
      <c r="M390" s="176">
        <v>0.41666666666666669</v>
      </c>
      <c r="Y390" s="63"/>
      <c r="Z390" s="63"/>
      <c r="AA390" s="63"/>
    </row>
    <row r="391" spans="7:27" s="62" customFormat="1" ht="25.9" customHeight="1">
      <c r="G391" s="83">
        <v>382</v>
      </c>
      <c r="H391" s="83" t="s">
        <v>1798</v>
      </c>
      <c r="I391" s="83" t="str">
        <f>VLOOKUP(MP_cierre[[#This Row],[OT]],MP_registro[[#All],[OT]:[PROGRAMADO]],9,FALSE)</f>
        <v>G3</v>
      </c>
      <c r="J391" s="170">
        <v>44732</v>
      </c>
      <c r="K391" s="175">
        <v>44734</v>
      </c>
      <c r="L391" s="176">
        <v>0.43194444444444446</v>
      </c>
      <c r="M391" s="176">
        <v>0.44166666666666665</v>
      </c>
      <c r="Y391" s="63"/>
      <c r="Z391" s="63"/>
      <c r="AA391" s="63"/>
    </row>
    <row r="392" spans="7:27" s="62" customFormat="1" ht="25.9" customHeight="1">
      <c r="G392" s="83">
        <v>383</v>
      </c>
      <c r="H392" s="83" t="s">
        <v>1799</v>
      </c>
      <c r="I392" s="83" t="str">
        <f>VLOOKUP(MP_cierre[[#This Row],[OT]],MP_registro[[#All],[OT]:[PROGRAMADO]],9,FALSE)</f>
        <v>G2</v>
      </c>
      <c r="J392" s="170">
        <v>44732</v>
      </c>
      <c r="K392" s="175">
        <v>44731</v>
      </c>
      <c r="L392" s="176">
        <v>0.35416666666666669</v>
      </c>
      <c r="M392" s="176">
        <v>0.375</v>
      </c>
      <c r="Y392" s="63"/>
      <c r="Z392" s="63"/>
      <c r="AA392" s="63"/>
    </row>
    <row r="393" spans="7:27" s="62" customFormat="1" ht="25.9" customHeight="1">
      <c r="G393" s="83">
        <v>384</v>
      </c>
      <c r="H393" s="83" t="s">
        <v>1802</v>
      </c>
      <c r="I393" s="83" t="str">
        <f>VLOOKUP(MP_cierre[[#This Row],[OT]],MP_registro[[#All],[OT]:[PROGRAMADO]],9,FALSE)</f>
        <v>G3</v>
      </c>
      <c r="J393" s="170">
        <v>44732</v>
      </c>
      <c r="K393" s="175">
        <v>44734</v>
      </c>
      <c r="L393" s="176">
        <v>0.70833333333333337</v>
      </c>
      <c r="M393" s="176">
        <v>0.73263888888888884</v>
      </c>
      <c r="Y393" s="63"/>
      <c r="Z393" s="63"/>
      <c r="AA393" s="63"/>
    </row>
    <row r="394" spans="7:27" s="62" customFormat="1" ht="25.9" customHeight="1">
      <c r="G394" s="83">
        <v>385</v>
      </c>
      <c r="H394" s="83" t="s">
        <v>1803</v>
      </c>
      <c r="I394" s="83" t="str">
        <f>VLOOKUP(MP_cierre[[#This Row],[OT]],MP_registro[[#All],[OT]:[PROGRAMADO]],9,FALSE)</f>
        <v>G4</v>
      </c>
      <c r="J394" s="170">
        <v>44733</v>
      </c>
      <c r="K394" s="175">
        <v>44733</v>
      </c>
      <c r="L394" s="176">
        <v>0.60416666666666663</v>
      </c>
      <c r="M394" s="176">
        <v>0.66666666666666663</v>
      </c>
      <c r="Y394" s="63"/>
      <c r="Z394" s="63"/>
      <c r="AA394" s="63"/>
    </row>
    <row r="395" spans="7:27" s="62" customFormat="1" ht="25.9" customHeight="1">
      <c r="G395" s="83">
        <v>386</v>
      </c>
      <c r="H395" s="83" t="s">
        <v>1804</v>
      </c>
      <c r="I395" s="83" t="str">
        <f>VLOOKUP(MP_cierre[[#This Row],[OT]],MP_registro[[#All],[OT]:[PROGRAMADO]],9,FALSE)</f>
        <v>G2</v>
      </c>
      <c r="J395" s="170">
        <v>44733</v>
      </c>
      <c r="K395" s="175">
        <v>44735</v>
      </c>
      <c r="L395" s="176">
        <v>0.66666666666666663</v>
      </c>
      <c r="M395" s="176">
        <v>0.6875</v>
      </c>
      <c r="Y395" s="63"/>
      <c r="Z395" s="63"/>
      <c r="AA395" s="63"/>
    </row>
    <row r="396" spans="7:27" s="62" customFormat="1" ht="25.9" customHeight="1">
      <c r="G396" s="83">
        <v>387</v>
      </c>
      <c r="H396" s="83" t="s">
        <v>1805</v>
      </c>
      <c r="I396" s="83" t="str">
        <f>VLOOKUP(MP_cierre[[#This Row],[OT]],MP_registro[[#All],[OT]:[PROGRAMADO]],9,FALSE)</f>
        <v>G3</v>
      </c>
      <c r="J396" s="170">
        <v>44733</v>
      </c>
      <c r="K396" s="175">
        <v>44735</v>
      </c>
      <c r="L396" s="176">
        <v>0.63472222222222219</v>
      </c>
      <c r="M396" s="176">
        <v>0.64583333333333337</v>
      </c>
      <c r="Y396" s="63"/>
      <c r="Z396" s="63"/>
      <c r="AA396" s="63"/>
    </row>
    <row r="397" spans="7:27" s="62" customFormat="1" ht="25.9" customHeight="1">
      <c r="G397" s="83">
        <v>388</v>
      </c>
      <c r="H397" s="83" t="s">
        <v>1806</v>
      </c>
      <c r="I397" s="83" t="str">
        <f>VLOOKUP(MP_cierre[[#This Row],[OT]],MP_registro[[#All],[OT]:[PROGRAMADO]],9,FALSE)</f>
        <v>G2</v>
      </c>
      <c r="J397" s="170">
        <v>44733</v>
      </c>
      <c r="K397" s="175">
        <v>44734</v>
      </c>
      <c r="L397" s="176">
        <v>0.70833333333333337</v>
      </c>
      <c r="M397" s="176">
        <v>0.72916666666666663</v>
      </c>
      <c r="Y397" s="63"/>
      <c r="Z397" s="63"/>
      <c r="AA397" s="63"/>
    </row>
    <row r="398" spans="7:27" s="62" customFormat="1" ht="25.9" customHeight="1">
      <c r="G398" s="83">
        <v>389</v>
      </c>
      <c r="H398" s="83" t="s">
        <v>1807</v>
      </c>
      <c r="I398" s="83" t="str">
        <f>VLOOKUP(MP_cierre[[#This Row],[OT]],MP_registro[[#All],[OT]:[PROGRAMADO]],9,FALSE)</f>
        <v>G2</v>
      </c>
      <c r="J398" s="170">
        <v>44733</v>
      </c>
      <c r="K398" s="175">
        <v>44733</v>
      </c>
      <c r="L398" s="181">
        <v>0.80208333333333337</v>
      </c>
      <c r="M398" s="181">
        <v>0</v>
      </c>
      <c r="Y398" s="63"/>
      <c r="Z398" s="63"/>
      <c r="AA398" s="63"/>
    </row>
    <row r="399" spans="7:27" s="62" customFormat="1" ht="25.9" customHeight="1">
      <c r="G399" s="83">
        <v>390</v>
      </c>
      <c r="H399" s="83" t="s">
        <v>1808</v>
      </c>
      <c r="I399" s="83" t="str">
        <f>VLOOKUP(MP_cierre[[#This Row],[OT]],MP_registro[[#All],[OT]:[PROGRAMADO]],9,FALSE)</f>
        <v>G3</v>
      </c>
      <c r="J399" s="170">
        <v>44733</v>
      </c>
      <c r="K399" s="175">
        <v>44734</v>
      </c>
      <c r="L399" s="176">
        <v>0.13541666666666666</v>
      </c>
      <c r="M399" s="176">
        <v>0.15972222222222224</v>
      </c>
      <c r="Y399" s="63"/>
      <c r="Z399" s="63"/>
      <c r="AA399" s="63"/>
    </row>
    <row r="400" spans="7:27" s="62" customFormat="1" ht="25.9" customHeight="1">
      <c r="G400" s="83">
        <v>391</v>
      </c>
      <c r="H400" s="83" t="s">
        <v>1809</v>
      </c>
      <c r="I400" s="83" t="str">
        <f>VLOOKUP(MP_cierre[[#This Row],[OT]],MP_registro[[#All],[OT]:[PROGRAMADO]],9,FALSE)</f>
        <v>G3</v>
      </c>
      <c r="J400" s="170">
        <v>44733</v>
      </c>
      <c r="K400" s="175">
        <v>44733</v>
      </c>
      <c r="L400" s="176">
        <v>0.9375</v>
      </c>
      <c r="M400" s="176">
        <v>1.6666666666666666E-2</v>
      </c>
      <c r="Y400" s="63"/>
      <c r="Z400" s="63"/>
      <c r="AA400" s="63"/>
    </row>
    <row r="401" spans="7:27" s="62" customFormat="1" ht="25.9" customHeight="1">
      <c r="G401" s="83">
        <v>392</v>
      </c>
      <c r="H401" s="83" t="s">
        <v>1810</v>
      </c>
      <c r="I401" s="83" t="str">
        <f>VLOOKUP(MP_cierre[[#This Row],[OT]],MP_registro[[#All],[OT]:[PROGRAMADO]],9,FALSE)</f>
        <v>G4</v>
      </c>
      <c r="J401" s="170">
        <v>44733</v>
      </c>
      <c r="K401" s="175">
        <v>44733</v>
      </c>
      <c r="L401" s="176">
        <v>0.66666666666666663</v>
      </c>
      <c r="M401" s="176">
        <v>0.72916666666666663</v>
      </c>
      <c r="Y401" s="63"/>
      <c r="Z401" s="63"/>
      <c r="AA401" s="63"/>
    </row>
    <row r="402" spans="7:27" s="62" customFormat="1" ht="25.9" customHeight="1">
      <c r="G402" s="83">
        <v>393</v>
      </c>
      <c r="H402" s="83" t="s">
        <v>1811</v>
      </c>
      <c r="I402" s="83" t="str">
        <f>VLOOKUP(MP_cierre[[#This Row],[OT]],MP_registro[[#All],[OT]:[PROGRAMADO]],9,FALSE)</f>
        <v>G3</v>
      </c>
      <c r="J402" s="170">
        <v>44734</v>
      </c>
      <c r="K402" s="175">
        <v>44735</v>
      </c>
      <c r="L402" s="176">
        <v>0.96527777777777779</v>
      </c>
      <c r="M402" s="176">
        <v>0.97222222222222221</v>
      </c>
      <c r="Y402" s="63"/>
      <c r="Z402" s="63"/>
      <c r="AA402" s="63"/>
    </row>
    <row r="403" spans="7:27" s="62" customFormat="1" ht="25.9" customHeight="1">
      <c r="G403" s="83">
        <v>394</v>
      </c>
      <c r="H403" s="83" t="s">
        <v>1812</v>
      </c>
      <c r="I403" s="83" t="str">
        <f>VLOOKUP(MP_cierre[[#This Row],[OT]],MP_registro[[#All],[OT]:[PROGRAMADO]],9,FALSE)</f>
        <v>G2</v>
      </c>
      <c r="J403" s="170">
        <v>44734</v>
      </c>
      <c r="K403" s="175">
        <v>44740</v>
      </c>
      <c r="L403" s="176">
        <v>0.73958333333333337</v>
      </c>
      <c r="M403" s="176">
        <v>0.76041666666666663</v>
      </c>
      <c r="Y403" s="63"/>
      <c r="Z403" s="63"/>
      <c r="AA403" s="63"/>
    </row>
    <row r="404" spans="7:27" s="62" customFormat="1" ht="25.9" customHeight="1">
      <c r="G404" s="83">
        <v>395</v>
      </c>
      <c r="H404" s="83" t="s">
        <v>1813</v>
      </c>
      <c r="I404" s="83" t="str">
        <f>VLOOKUP(MP_cierre[[#This Row],[OT]],MP_registro[[#All],[OT]:[PROGRAMADO]],9,FALSE)</f>
        <v>G3</v>
      </c>
      <c r="J404" s="170">
        <v>44734</v>
      </c>
      <c r="K404" s="175">
        <v>44733</v>
      </c>
      <c r="L404" s="176">
        <v>0.99305555555555547</v>
      </c>
      <c r="M404" s="176">
        <v>4.1666666666666666E-3</v>
      </c>
      <c r="Y404" s="63"/>
      <c r="Z404" s="63"/>
      <c r="AA404" s="63"/>
    </row>
    <row r="405" spans="7:27" s="62" customFormat="1" ht="25.9" customHeight="1">
      <c r="G405" s="83">
        <v>396</v>
      </c>
      <c r="H405" s="83" t="s">
        <v>1814</v>
      </c>
      <c r="I405" s="83" t="str">
        <f>VLOOKUP(MP_cierre[[#This Row],[OT]],MP_registro[[#All],[OT]:[PROGRAMADO]],9,FALSE)</f>
        <v>G3</v>
      </c>
      <c r="J405" s="170">
        <v>44734</v>
      </c>
      <c r="K405" s="175">
        <v>44734</v>
      </c>
      <c r="L405" s="176">
        <v>0.97916666666666663</v>
      </c>
      <c r="M405" s="176">
        <v>0.98888888888888893</v>
      </c>
      <c r="Y405" s="63"/>
      <c r="Z405" s="63"/>
      <c r="AA405" s="63"/>
    </row>
    <row r="406" spans="7:27" s="62" customFormat="1" ht="25.9" customHeight="1">
      <c r="G406" s="83">
        <v>397</v>
      </c>
      <c r="H406" s="83" t="s">
        <v>1815</v>
      </c>
      <c r="I406" s="83" t="str">
        <f>VLOOKUP(MP_cierre[[#This Row],[OT]],MP_registro[[#All],[OT]:[PROGRAMADO]],9,FALSE)</f>
        <v>G3</v>
      </c>
      <c r="J406" s="170">
        <v>44734</v>
      </c>
      <c r="K406" s="175">
        <v>44731</v>
      </c>
      <c r="L406" s="176">
        <v>0.10625</v>
      </c>
      <c r="M406" s="176">
        <v>0.12638888888888888</v>
      </c>
      <c r="Y406" s="63"/>
      <c r="Z406" s="63"/>
      <c r="AA406" s="63"/>
    </row>
    <row r="407" spans="7:27" s="62" customFormat="1" ht="25.9" customHeight="1">
      <c r="G407" s="83">
        <v>398</v>
      </c>
      <c r="H407" s="83" t="s">
        <v>1816</v>
      </c>
      <c r="I407" s="83" t="str">
        <f>VLOOKUP(MP_cierre[[#This Row],[OT]],MP_registro[[#All],[OT]:[PROGRAMADO]],9,FALSE)</f>
        <v>G2</v>
      </c>
      <c r="J407" s="170">
        <v>44734</v>
      </c>
      <c r="K407" s="175">
        <v>44735</v>
      </c>
      <c r="L407" s="176">
        <v>8.3333333333333329E-2</v>
      </c>
      <c r="M407" s="176">
        <v>0.10416666666666667</v>
      </c>
      <c r="Y407" s="63"/>
      <c r="Z407" s="63"/>
      <c r="AA407" s="63"/>
    </row>
    <row r="408" spans="7:27" s="62" customFormat="1" ht="25.9" customHeight="1">
      <c r="G408" s="83">
        <v>399</v>
      </c>
      <c r="H408" s="83" t="s">
        <v>1817</v>
      </c>
      <c r="I408" s="83" t="str">
        <f>VLOOKUP(MP_cierre[[#This Row],[OT]],MP_registro[[#All],[OT]:[PROGRAMADO]],9,FALSE)</f>
        <v>G4</v>
      </c>
      <c r="J408" s="170">
        <v>44734</v>
      </c>
      <c r="K408" s="175">
        <v>44731</v>
      </c>
      <c r="L408" s="176">
        <v>0.66666666666666663</v>
      </c>
      <c r="M408" s="176">
        <v>0.70833333333333337</v>
      </c>
      <c r="Y408" s="63"/>
      <c r="Z408" s="63"/>
      <c r="AA408" s="63"/>
    </row>
    <row r="409" spans="7:27" s="62" customFormat="1" ht="25.9" customHeight="1">
      <c r="G409" s="83">
        <v>400</v>
      </c>
      <c r="H409" s="83" t="s">
        <v>1818</v>
      </c>
      <c r="I409" s="83" t="str">
        <f>VLOOKUP(MP_cierre[[#This Row],[OT]],MP_registro[[#All],[OT]:[PROGRAMADO]],9,FALSE)</f>
        <v>G3</v>
      </c>
      <c r="J409" s="170">
        <v>44735</v>
      </c>
      <c r="K409" s="175">
        <v>44733</v>
      </c>
      <c r="L409" s="176">
        <v>0.96527777777777779</v>
      </c>
      <c r="M409" s="176">
        <v>0.9770833333333333</v>
      </c>
      <c r="Y409" s="63"/>
      <c r="Z409" s="63"/>
      <c r="AA409" s="63"/>
    </row>
    <row r="410" spans="7:27" s="62" customFormat="1" ht="25.9" customHeight="1">
      <c r="G410" s="83">
        <v>401</v>
      </c>
      <c r="H410" s="83" t="s">
        <v>1819</v>
      </c>
      <c r="I410" s="83" t="str">
        <f>VLOOKUP(MP_cierre[[#This Row],[OT]],MP_registro[[#All],[OT]:[PROGRAMADO]],9,FALSE)</f>
        <v>G3</v>
      </c>
      <c r="J410" s="170">
        <v>44735</v>
      </c>
      <c r="K410" s="175">
        <v>44733</v>
      </c>
      <c r="L410" s="176">
        <v>9.2361111111111116E-2</v>
      </c>
      <c r="M410" s="176">
        <v>0.10347222222222223</v>
      </c>
      <c r="Y410" s="63"/>
      <c r="Z410" s="63"/>
      <c r="AA410" s="63"/>
    </row>
    <row r="411" spans="7:27" s="62" customFormat="1" ht="25.9" customHeight="1">
      <c r="G411" s="83">
        <v>402</v>
      </c>
      <c r="H411" s="83" t="s">
        <v>1820</v>
      </c>
      <c r="I411" s="83" t="str">
        <f>VLOOKUP(MP_cierre[[#This Row],[OT]],MP_registro[[#All],[OT]:[PROGRAMADO]],9,FALSE)</f>
        <v>G2</v>
      </c>
      <c r="J411" s="170">
        <v>44735</v>
      </c>
      <c r="K411" s="175">
        <v>44742</v>
      </c>
      <c r="L411" s="176">
        <v>0.97916666666666663</v>
      </c>
      <c r="M411" s="176">
        <v>0</v>
      </c>
      <c r="Y411" s="63"/>
      <c r="Z411" s="63"/>
      <c r="AA411" s="63"/>
    </row>
    <row r="412" spans="7:27" s="62" customFormat="1" ht="25.9" customHeight="1">
      <c r="G412" s="83">
        <v>403</v>
      </c>
      <c r="H412" s="83" t="s">
        <v>1821</v>
      </c>
      <c r="I412" s="83" t="str">
        <f>VLOOKUP(MP_cierre[[#This Row],[OT]],MP_registro[[#All],[OT]:[PROGRAMADO]],9,FALSE)</f>
        <v>G3</v>
      </c>
      <c r="J412" s="170">
        <v>44735</v>
      </c>
      <c r="K412" s="175">
        <v>44737</v>
      </c>
      <c r="L412" s="176">
        <v>0.11180555555555556</v>
      </c>
      <c r="M412" s="176">
        <v>0.125</v>
      </c>
      <c r="Y412" s="63"/>
      <c r="Z412" s="63"/>
      <c r="AA412" s="63"/>
    </row>
    <row r="413" spans="7:27" s="62" customFormat="1" ht="25.9" customHeight="1">
      <c r="G413" s="83">
        <v>404</v>
      </c>
      <c r="H413" s="83" t="s">
        <v>1823</v>
      </c>
      <c r="I413" s="83" t="str">
        <f>VLOOKUP(MP_cierre[[#This Row],[OT]],MP_registro[[#All],[OT]:[PROGRAMADO]],9,FALSE)</f>
        <v>G2</v>
      </c>
      <c r="J413" s="170">
        <v>44735</v>
      </c>
      <c r="K413" s="175">
        <v>44736</v>
      </c>
      <c r="L413" s="181">
        <v>0.80208333333333337</v>
      </c>
      <c r="M413" s="181">
        <v>0</v>
      </c>
      <c r="Y413" s="63"/>
      <c r="Z413" s="63"/>
      <c r="AA413" s="63"/>
    </row>
    <row r="414" spans="7:27" s="62" customFormat="1" ht="25.9" customHeight="1">
      <c r="G414" s="83">
        <v>405</v>
      </c>
      <c r="H414" s="83" t="s">
        <v>1824</v>
      </c>
      <c r="I414" s="83" t="str">
        <f>VLOOKUP(MP_cierre[[#This Row],[OT]],MP_registro[[#All],[OT]:[PROGRAMADO]],9,FALSE)</f>
        <v>G2</v>
      </c>
      <c r="J414" s="170">
        <v>44736</v>
      </c>
      <c r="K414" s="175">
        <v>44739</v>
      </c>
      <c r="L414" s="181">
        <v>0.80208333333333337</v>
      </c>
      <c r="M414" s="181">
        <v>0</v>
      </c>
      <c r="Y414" s="63"/>
      <c r="Z414" s="63"/>
      <c r="AA414" s="63"/>
    </row>
    <row r="415" spans="7:27" s="62" customFormat="1" ht="25.9" customHeight="1">
      <c r="G415" s="83">
        <v>406</v>
      </c>
      <c r="H415" s="83" t="s">
        <v>1826</v>
      </c>
      <c r="I415" s="83" t="str">
        <f>VLOOKUP(MP_cierre[[#This Row],[OT]],MP_registro[[#All],[OT]:[PROGRAMADO]],9,FALSE)</f>
        <v>G4</v>
      </c>
      <c r="J415" s="170">
        <v>44736</v>
      </c>
      <c r="K415" s="175">
        <v>44742</v>
      </c>
      <c r="L415" s="176">
        <v>0.4236111111111111</v>
      </c>
      <c r="M415" s="176">
        <v>0.44444444444444442</v>
      </c>
      <c r="Y415" s="63"/>
      <c r="Z415" s="63"/>
      <c r="AA415" s="63"/>
    </row>
    <row r="416" spans="7:27" s="62" customFormat="1" ht="25.9" customHeight="1">
      <c r="G416" s="83">
        <v>407</v>
      </c>
      <c r="H416" s="83" t="s">
        <v>1828</v>
      </c>
      <c r="I416" s="83" t="str">
        <f>VLOOKUP(MP_cierre[[#This Row],[OT]],MP_registro[[#All],[OT]:[PROGRAMADO]],9,FALSE)</f>
        <v>G2</v>
      </c>
      <c r="J416" s="170">
        <v>44736</v>
      </c>
      <c r="K416" s="175">
        <v>44739</v>
      </c>
      <c r="L416" s="176">
        <v>0.16666666666666666</v>
      </c>
      <c r="M416" s="176">
        <v>0.1875</v>
      </c>
      <c r="Y416" s="63"/>
      <c r="Z416" s="63"/>
      <c r="AA416" s="63"/>
    </row>
    <row r="417" spans="7:27" s="62" customFormat="1" ht="25.9" customHeight="1">
      <c r="G417" s="83">
        <v>408</v>
      </c>
      <c r="H417" s="83" t="s">
        <v>1829</v>
      </c>
      <c r="I417" s="83" t="str">
        <f>VLOOKUP(MP_cierre[[#This Row],[OT]],MP_registro[[#All],[OT]:[PROGRAMADO]],9,FALSE)</f>
        <v>G1</v>
      </c>
      <c r="J417" s="170">
        <v>44736</v>
      </c>
      <c r="K417" s="175">
        <v>44737</v>
      </c>
      <c r="L417" s="176">
        <v>0.70833333333333337</v>
      </c>
      <c r="M417" s="176">
        <v>0.72916666666666663</v>
      </c>
      <c r="Y417" s="63"/>
      <c r="Z417" s="63"/>
      <c r="AA417" s="63"/>
    </row>
    <row r="418" spans="7:27" s="62" customFormat="1" ht="25.9" customHeight="1">
      <c r="G418" s="83">
        <v>409</v>
      </c>
      <c r="H418" s="83" t="s">
        <v>1830</v>
      </c>
      <c r="I418" s="83" t="str">
        <f>VLOOKUP(MP_cierre[[#This Row],[OT]],MP_registro[[#All],[OT]:[PROGRAMADO]],9,FALSE)</f>
        <v>G2</v>
      </c>
      <c r="J418" s="170">
        <v>44736</v>
      </c>
      <c r="K418" s="175">
        <v>44739</v>
      </c>
      <c r="L418" s="176">
        <v>0.16666666666666666</v>
      </c>
      <c r="M418" s="176">
        <v>0.1875</v>
      </c>
      <c r="Y418" s="63"/>
      <c r="Z418" s="63"/>
      <c r="AA418" s="63"/>
    </row>
    <row r="419" spans="7:27" s="62" customFormat="1" ht="25.9" customHeight="1">
      <c r="G419" s="83">
        <v>410</v>
      </c>
      <c r="H419" s="83" t="s">
        <v>1831</v>
      </c>
      <c r="I419" s="83" t="str">
        <f>VLOOKUP(MP_cierre[[#This Row],[OT]],MP_registro[[#All],[OT]:[PROGRAMADO]],9,FALSE)</f>
        <v>G1</v>
      </c>
      <c r="J419" s="170">
        <v>44736</v>
      </c>
      <c r="K419" s="175">
        <v>44736</v>
      </c>
      <c r="L419" s="176">
        <v>0.625</v>
      </c>
      <c r="M419" s="176">
        <v>0.66666666666666663</v>
      </c>
      <c r="Y419" s="63"/>
      <c r="Z419" s="63"/>
      <c r="AA419" s="63"/>
    </row>
    <row r="420" spans="7:27" s="62" customFormat="1" ht="25.9" customHeight="1">
      <c r="G420" s="83">
        <v>411</v>
      </c>
      <c r="H420" s="83" t="s">
        <v>1832</v>
      </c>
      <c r="I420" s="83" t="str">
        <f>VLOOKUP(MP_cierre[[#This Row],[OT]],MP_registro[[#All],[OT]:[PROGRAMADO]],9,FALSE)</f>
        <v>G2</v>
      </c>
      <c r="J420" s="170">
        <v>44737</v>
      </c>
      <c r="K420" s="175">
        <v>44740</v>
      </c>
      <c r="L420" s="176">
        <v>0.10416666666666667</v>
      </c>
      <c r="M420" s="176">
        <v>0.125</v>
      </c>
      <c r="Y420" s="63"/>
      <c r="Z420" s="63"/>
      <c r="AA420" s="63"/>
    </row>
    <row r="421" spans="7:27" s="62" customFormat="1" ht="25.9" customHeight="1">
      <c r="G421" s="83">
        <v>412</v>
      </c>
      <c r="H421" s="83" t="s">
        <v>1833</v>
      </c>
      <c r="I421" s="83" t="str">
        <f>VLOOKUP(MP_cierre[[#This Row],[OT]],MP_registro[[#All],[OT]:[PROGRAMADO]],9,FALSE)</f>
        <v>G4</v>
      </c>
      <c r="J421" s="170">
        <v>44737</v>
      </c>
      <c r="K421" s="175">
        <v>44735</v>
      </c>
      <c r="L421" s="176">
        <v>0.4513888888888889</v>
      </c>
      <c r="M421" s="176">
        <v>0.47222222222222227</v>
      </c>
      <c r="Y421" s="63"/>
      <c r="Z421" s="63"/>
      <c r="AA421" s="63"/>
    </row>
    <row r="422" spans="7:27" s="62" customFormat="1" ht="25.9" customHeight="1">
      <c r="G422" s="83">
        <v>413</v>
      </c>
      <c r="H422" s="83" t="s">
        <v>1834</v>
      </c>
      <c r="I422" s="83" t="str">
        <f>VLOOKUP(MP_cierre[[#This Row],[OT]],MP_registro[[#All],[OT]:[PROGRAMADO]],9,FALSE)</f>
        <v>G4</v>
      </c>
      <c r="J422" s="170">
        <v>44737</v>
      </c>
      <c r="K422" s="175">
        <v>44736</v>
      </c>
      <c r="L422" s="176">
        <v>0.41666666666666669</v>
      </c>
      <c r="M422" s="176">
        <v>0.47916666666666669</v>
      </c>
      <c r="Y422" s="63"/>
      <c r="Z422" s="63"/>
      <c r="AA422" s="63"/>
    </row>
    <row r="423" spans="7:27" s="62" customFormat="1" ht="25.9" customHeight="1">
      <c r="G423" s="83">
        <v>414</v>
      </c>
      <c r="H423" s="83" t="s">
        <v>1835</v>
      </c>
      <c r="I423" s="83" t="str">
        <f>VLOOKUP(MP_cierre[[#This Row],[OT]],MP_registro[[#All],[OT]:[PROGRAMADO]],9,FALSE)</f>
        <v>G1</v>
      </c>
      <c r="J423" s="170">
        <v>44738</v>
      </c>
      <c r="K423" s="175">
        <v>44732</v>
      </c>
      <c r="L423" s="176">
        <v>0.66666666666666663</v>
      </c>
      <c r="M423" s="176">
        <v>0.68402777777777779</v>
      </c>
      <c r="Y423" s="63"/>
      <c r="Z423" s="63"/>
      <c r="AA423" s="63"/>
    </row>
    <row r="424" spans="7:27" s="62" customFormat="1" ht="25.9" customHeight="1">
      <c r="G424" s="83">
        <v>415</v>
      </c>
      <c r="H424" s="83" t="s">
        <v>1836</v>
      </c>
      <c r="I424" s="83" t="str">
        <f>VLOOKUP(MP_cierre[[#This Row],[OT]],MP_registro[[#All],[OT]:[PROGRAMADO]],9,FALSE)</f>
        <v>G2</v>
      </c>
      <c r="J424" s="170">
        <v>44738</v>
      </c>
      <c r="K424" s="175">
        <v>44739</v>
      </c>
      <c r="L424" s="176">
        <v>0.1875</v>
      </c>
      <c r="M424" s="176">
        <v>0.20833333333333334</v>
      </c>
      <c r="Y424" s="63"/>
      <c r="Z424" s="63"/>
      <c r="AA424" s="63"/>
    </row>
    <row r="425" spans="7:27" s="62" customFormat="1" ht="25.9" customHeight="1">
      <c r="G425" s="83">
        <v>416</v>
      </c>
      <c r="H425" s="83" t="s">
        <v>1837</v>
      </c>
      <c r="I425" s="83" t="str">
        <f>VLOOKUP(MP_cierre[[#This Row],[OT]],MP_registro[[#All],[OT]:[PROGRAMADO]],9,FALSE)</f>
        <v>G1</v>
      </c>
      <c r="J425" s="170">
        <v>44738</v>
      </c>
      <c r="K425" s="175">
        <v>44732</v>
      </c>
      <c r="L425" s="176">
        <v>0.6875</v>
      </c>
      <c r="M425" s="176">
        <v>0.70486111111111116</v>
      </c>
      <c r="Y425" s="63"/>
      <c r="Z425" s="63"/>
      <c r="AA425" s="63"/>
    </row>
    <row r="426" spans="7:27" s="62" customFormat="1" ht="25.9" customHeight="1">
      <c r="G426" s="83">
        <v>417</v>
      </c>
      <c r="H426" s="83" t="s">
        <v>1838</v>
      </c>
      <c r="I426" s="83" t="str">
        <f>VLOOKUP(MP_cierre[[#This Row],[OT]],MP_registro[[#All],[OT]:[PROGRAMADO]],9,FALSE)</f>
        <v>G2</v>
      </c>
      <c r="J426" s="170">
        <v>44738</v>
      </c>
      <c r="K426" s="175">
        <v>44738</v>
      </c>
      <c r="L426" s="176">
        <v>0.1875</v>
      </c>
      <c r="M426" s="176">
        <v>0.20833333333333334</v>
      </c>
      <c r="Y426" s="63"/>
      <c r="Z426" s="63"/>
      <c r="AA426" s="63"/>
    </row>
    <row r="427" spans="7:27" s="62" customFormat="1" ht="25.9" customHeight="1">
      <c r="G427" s="83">
        <v>418</v>
      </c>
      <c r="H427" s="83" t="s">
        <v>1840</v>
      </c>
      <c r="I427" s="83" t="str">
        <f>VLOOKUP(MP_cierre[[#This Row],[OT]],MP_registro[[#All],[OT]:[PROGRAMADO]],9,FALSE)</f>
        <v>G2</v>
      </c>
      <c r="J427" s="170">
        <v>44739</v>
      </c>
      <c r="K427" s="175">
        <v>44744</v>
      </c>
      <c r="L427" s="176">
        <v>0.125</v>
      </c>
      <c r="M427" s="176">
        <v>0.14583333333333334</v>
      </c>
      <c r="Y427" s="63"/>
      <c r="Z427" s="63"/>
      <c r="AA427" s="63"/>
    </row>
    <row r="428" spans="7:27" s="62" customFormat="1" ht="25.9" customHeight="1">
      <c r="G428" s="83">
        <v>419</v>
      </c>
      <c r="H428" s="83" t="s">
        <v>1841</v>
      </c>
      <c r="I428" s="83" t="str">
        <f>VLOOKUP(MP_cierre[[#This Row],[OT]],MP_registro[[#All],[OT]:[PROGRAMADO]],9,FALSE)</f>
        <v>G1</v>
      </c>
      <c r="J428" s="170">
        <v>44740</v>
      </c>
      <c r="K428" s="175">
        <v>44741</v>
      </c>
      <c r="L428" s="176">
        <v>0.6875</v>
      </c>
      <c r="M428" s="176">
        <v>0.72916666666666663</v>
      </c>
      <c r="Y428" s="63"/>
      <c r="Z428" s="63"/>
      <c r="AA428" s="63"/>
    </row>
    <row r="429" spans="7:27" s="62" customFormat="1" ht="25.9" customHeight="1">
      <c r="G429" s="83">
        <v>420</v>
      </c>
      <c r="H429" s="83" t="s">
        <v>1842</v>
      </c>
      <c r="I429" s="83" t="str">
        <f>VLOOKUP(MP_cierre[[#This Row],[OT]],MP_registro[[#All],[OT]:[PROGRAMADO]],9,FALSE)</f>
        <v>G1</v>
      </c>
      <c r="J429" s="170">
        <v>44740</v>
      </c>
      <c r="K429" s="175">
        <v>44741</v>
      </c>
      <c r="L429" s="176">
        <v>0.66319444444444442</v>
      </c>
      <c r="M429" s="176">
        <v>0.70486111111111116</v>
      </c>
      <c r="Y429" s="63"/>
      <c r="Z429" s="63"/>
      <c r="AA429" s="63"/>
    </row>
    <row r="430" spans="7:27" s="62" customFormat="1" ht="25.9" customHeight="1">
      <c r="G430" s="83">
        <v>421</v>
      </c>
      <c r="H430" s="83" t="s">
        <v>1843</v>
      </c>
      <c r="I430" s="83" t="str">
        <f>VLOOKUP(MP_cierre[[#This Row],[OT]],MP_registro[[#All],[OT]:[PROGRAMADO]],9,FALSE)</f>
        <v>G3</v>
      </c>
      <c r="J430" s="170">
        <v>44739</v>
      </c>
      <c r="K430" s="175">
        <v>44744</v>
      </c>
      <c r="L430" s="181">
        <v>0.80208333333333337</v>
      </c>
      <c r="M430" s="181">
        <v>0</v>
      </c>
      <c r="Y430" s="63"/>
      <c r="Z430" s="63"/>
      <c r="AA430" s="63"/>
    </row>
    <row r="431" spans="7:27" s="62" customFormat="1" ht="25.9" customHeight="1">
      <c r="G431" s="83">
        <v>422</v>
      </c>
      <c r="H431" s="83" t="s">
        <v>1844</v>
      </c>
      <c r="I431" s="83" t="str">
        <f>VLOOKUP(MP_cierre[[#This Row],[OT]],MP_registro[[#All],[OT]:[PROGRAMADO]],9,FALSE)</f>
        <v>G1</v>
      </c>
      <c r="J431" s="170">
        <v>44739</v>
      </c>
      <c r="K431" s="175">
        <v>44744</v>
      </c>
      <c r="L431" s="176">
        <v>0.3576388888888889</v>
      </c>
      <c r="M431" s="176">
        <v>0.41666666666666669</v>
      </c>
      <c r="Y431" s="63"/>
      <c r="Z431" s="63"/>
      <c r="AA431" s="63"/>
    </row>
    <row r="432" spans="7:27" s="62" customFormat="1" ht="25.9" customHeight="1">
      <c r="G432" s="83">
        <v>423</v>
      </c>
      <c r="H432" s="83" t="s">
        <v>1845</v>
      </c>
      <c r="I432" s="83" t="str">
        <f>VLOOKUP(MP_cierre[[#This Row],[OT]],MP_registro[[#All],[OT]:[PROGRAMADO]],9,FALSE)</f>
        <v>G3</v>
      </c>
      <c r="J432" s="170">
        <v>44739</v>
      </c>
      <c r="K432" s="175">
        <v>44732</v>
      </c>
      <c r="L432" s="176">
        <v>4.1666666666666664E-2</v>
      </c>
      <c r="M432" s="176">
        <v>0.1423611111111111</v>
      </c>
      <c r="Y432" s="63"/>
      <c r="Z432" s="63"/>
      <c r="AA432" s="63"/>
    </row>
    <row r="433" spans="6:27" s="62" customFormat="1" ht="25.9" customHeight="1">
      <c r="G433" s="83">
        <v>424</v>
      </c>
      <c r="H433" s="83" t="s">
        <v>1846</v>
      </c>
      <c r="I433" s="83" t="str">
        <f>VLOOKUP(MP_cierre[[#This Row],[OT]],MP_registro[[#All],[OT]:[PROGRAMADO]],9,FALSE)</f>
        <v>G2</v>
      </c>
      <c r="J433" s="170">
        <v>44740</v>
      </c>
      <c r="K433" s="175">
        <v>44733</v>
      </c>
      <c r="L433" s="176">
        <v>0.10416666666666667</v>
      </c>
      <c r="M433" s="176">
        <v>0.125</v>
      </c>
      <c r="Y433" s="63"/>
      <c r="Z433" s="63"/>
      <c r="AA433" s="63"/>
    </row>
    <row r="434" spans="6:27" s="62" customFormat="1" ht="25.9" customHeight="1">
      <c r="G434" s="83">
        <v>425</v>
      </c>
      <c r="H434" s="83" t="s">
        <v>1847</v>
      </c>
      <c r="I434" s="83" t="str">
        <f>VLOOKUP(MP_cierre[[#This Row],[OT]],MP_registro[[#All],[OT]:[PROGRAMADO]],9,FALSE)</f>
        <v>G1</v>
      </c>
      <c r="J434" s="170">
        <v>44740</v>
      </c>
      <c r="K434" s="175">
        <v>44745</v>
      </c>
      <c r="L434" s="176">
        <v>0.625</v>
      </c>
      <c r="M434" s="176">
        <v>0.66666666666666663</v>
      </c>
      <c r="Y434" s="63"/>
      <c r="Z434" s="63"/>
      <c r="AA434" s="63"/>
    </row>
    <row r="435" spans="6:27" s="62" customFormat="1" ht="25.9" customHeight="1">
      <c r="G435" s="83">
        <v>426</v>
      </c>
      <c r="H435" s="83" t="s">
        <v>1852</v>
      </c>
      <c r="I435" s="83" t="str">
        <f>VLOOKUP(MP_cierre[[#This Row],[OT]],MP_registro[[#All],[OT]:[PROGRAMADO]],9,FALSE)</f>
        <v>G1</v>
      </c>
      <c r="J435" s="170">
        <v>44740</v>
      </c>
      <c r="K435" s="175">
        <v>44742</v>
      </c>
      <c r="L435" s="176">
        <v>0.95833333333333337</v>
      </c>
      <c r="M435" s="176">
        <v>0.97916666666666663</v>
      </c>
      <c r="Y435" s="63"/>
      <c r="Z435" s="63"/>
      <c r="AA435" s="63"/>
    </row>
    <row r="436" spans="6:27" s="62" customFormat="1" ht="25.9" customHeight="1">
      <c r="G436" s="83">
        <v>427</v>
      </c>
      <c r="H436" s="83" t="s">
        <v>1853</v>
      </c>
      <c r="I436" s="83" t="str">
        <f>VLOOKUP(MP_cierre[[#This Row],[OT]],MP_registro[[#All],[OT]:[PROGRAMADO]],9,FALSE)</f>
        <v>G4</v>
      </c>
      <c r="J436" s="170">
        <v>44741</v>
      </c>
      <c r="K436" s="175">
        <v>44742</v>
      </c>
      <c r="L436" s="176">
        <v>0.35416666666666669</v>
      </c>
      <c r="M436" s="176">
        <v>0.375</v>
      </c>
      <c r="Y436" s="63"/>
      <c r="Z436" s="63"/>
      <c r="AA436" s="63"/>
    </row>
    <row r="437" spans="6:27" s="62" customFormat="1" ht="25.9" customHeight="1">
      <c r="G437" s="83">
        <v>428</v>
      </c>
      <c r="H437" s="83" t="s">
        <v>1854</v>
      </c>
      <c r="I437" s="83" t="str">
        <f>VLOOKUP(MP_cierre[[#This Row],[OT]],MP_registro[[#All],[OT]:[PROGRAMADO]],9,FALSE)</f>
        <v>G4</v>
      </c>
      <c r="J437" s="170">
        <v>44741</v>
      </c>
      <c r="K437" s="175">
        <v>44742</v>
      </c>
      <c r="L437" s="176">
        <v>0.375</v>
      </c>
      <c r="M437" s="176">
        <v>0.41666666666666669</v>
      </c>
      <c r="Y437" s="63"/>
      <c r="Z437" s="63"/>
      <c r="AA437" s="63"/>
    </row>
    <row r="438" spans="6:27" s="62" customFormat="1" ht="25.9" customHeight="1">
      <c r="G438" s="83">
        <v>429</v>
      </c>
      <c r="H438" s="83" t="s">
        <v>1855</v>
      </c>
      <c r="I438" s="83" t="str">
        <f>VLOOKUP(MP_cierre[[#This Row],[OT]],MP_registro[[#All],[OT]:[PROGRAMADO]],9,FALSE)</f>
        <v>G1</v>
      </c>
      <c r="J438" s="170">
        <v>44741</v>
      </c>
      <c r="K438" s="175">
        <v>44741</v>
      </c>
      <c r="L438" s="176">
        <v>0.85416666666666663</v>
      </c>
      <c r="M438" s="176">
        <v>0.86111111111111116</v>
      </c>
      <c r="Y438" s="63"/>
      <c r="Z438" s="63"/>
      <c r="AA438" s="63"/>
    </row>
    <row r="439" spans="6:27" s="62" customFormat="1" ht="25.9" customHeight="1">
      <c r="G439" s="83">
        <v>430</v>
      </c>
      <c r="H439" s="83" t="s">
        <v>1856</v>
      </c>
      <c r="I439" s="83" t="str">
        <f>VLOOKUP(MP_cierre[[#This Row],[OT]],MP_registro[[#All],[OT]:[PROGRAMADO]],9,FALSE)</f>
        <v>G1</v>
      </c>
      <c r="J439" s="170">
        <v>44741</v>
      </c>
      <c r="K439" s="175">
        <v>44742</v>
      </c>
      <c r="L439" s="176">
        <v>0.99305555555555547</v>
      </c>
      <c r="M439" s="176">
        <v>1.3888888888888888E-2</v>
      </c>
      <c r="Y439" s="63"/>
      <c r="Z439" s="63"/>
      <c r="AA439" s="63"/>
    </row>
    <row r="440" spans="6:27" s="62" customFormat="1" ht="25.9" customHeight="1">
      <c r="G440" s="83">
        <v>431</v>
      </c>
      <c r="H440" s="83" t="s">
        <v>1851</v>
      </c>
      <c r="I440" s="83" t="str">
        <f>VLOOKUP(MP_cierre[[#This Row],[OT]],MP_registro[[#All],[OT]:[PROGRAMADO]],9,FALSE)</f>
        <v>G1</v>
      </c>
      <c r="J440" s="170">
        <v>44742</v>
      </c>
      <c r="K440" s="175">
        <v>44744</v>
      </c>
      <c r="L440" s="176">
        <v>0.85416666666666663</v>
      </c>
      <c r="M440" s="176">
        <v>0.875</v>
      </c>
      <c r="Y440" s="63"/>
      <c r="Z440" s="63"/>
      <c r="AA440" s="63"/>
    </row>
    <row r="441" spans="6:27" s="62" customFormat="1" ht="25.9" customHeight="1">
      <c r="G441" s="83">
        <v>432</v>
      </c>
      <c r="H441" s="83" t="s">
        <v>1857</v>
      </c>
      <c r="I441" s="83" t="str">
        <f>VLOOKUP(MP_cierre[[#This Row],[OT]],MP_registro[[#All],[OT]:[PROGRAMADO]],9,FALSE)</f>
        <v>G2</v>
      </c>
      <c r="J441" s="170">
        <v>44742</v>
      </c>
      <c r="K441" s="175">
        <v>44742</v>
      </c>
      <c r="L441" s="181">
        <v>0.80208333333333337</v>
      </c>
      <c r="M441" s="181">
        <v>0</v>
      </c>
      <c r="Y441" s="63"/>
      <c r="Z441" s="63"/>
      <c r="AA441" s="63"/>
    </row>
    <row r="442" spans="6:27" s="62" customFormat="1" ht="25.9" customHeight="1">
      <c r="G442" s="83">
        <v>433</v>
      </c>
      <c r="H442" s="83" t="s">
        <v>1858</v>
      </c>
      <c r="I442" s="83" t="str">
        <f>VLOOKUP(MP_cierre[[#This Row],[OT]],MP_registro[[#All],[OT]:[PROGRAMADO]],9,FALSE)</f>
        <v>G1</v>
      </c>
      <c r="J442" s="170">
        <v>44742</v>
      </c>
      <c r="K442" s="175">
        <v>44715</v>
      </c>
      <c r="L442" s="176">
        <v>4.1666666666666664E-2</v>
      </c>
      <c r="M442" s="176">
        <v>6.25E-2</v>
      </c>
      <c r="Y442" s="63"/>
      <c r="Z442" s="63"/>
      <c r="AA442" s="63"/>
    </row>
    <row r="443" spans="6:27" s="62" customFormat="1" ht="25.9" customHeight="1">
      <c r="G443" s="83">
        <v>434</v>
      </c>
      <c r="H443" s="90" t="s">
        <v>1859</v>
      </c>
      <c r="I443" s="90" t="str">
        <f>VLOOKUP(MP_cierre[[#This Row],[OT]],MP_registro[[#All],[OT]:[PROGRAMADO]],9,FALSE)</f>
        <v>G2</v>
      </c>
      <c r="J443" s="171">
        <v>44742</v>
      </c>
      <c r="K443" s="179">
        <v>44741</v>
      </c>
      <c r="L443" s="177">
        <v>0.875</v>
      </c>
      <c r="M443" s="177">
        <v>0.89583333333333337</v>
      </c>
      <c r="Y443" s="63"/>
      <c r="Z443" s="63"/>
      <c r="AA443" s="63"/>
    </row>
    <row r="444" spans="6:27" s="62" customFormat="1" ht="30" customHeight="1">
      <c r="F444" s="53"/>
      <c r="G444" s="83">
        <v>435</v>
      </c>
      <c r="H444" s="182" t="s">
        <v>1860</v>
      </c>
      <c r="I444" s="182" t="str">
        <f>VLOOKUP(MP_cierre[[#This Row],[OT]],MP_registro[[#All],[OT]:[PROGRAMADO]],9,FALSE)</f>
        <v>G2</v>
      </c>
      <c r="J444" s="170">
        <v>44740</v>
      </c>
      <c r="K444" s="183">
        <v>44742</v>
      </c>
      <c r="L444" s="181">
        <v>6.25E-2</v>
      </c>
      <c r="M444" s="181">
        <v>8.3333333333333329E-2</v>
      </c>
      <c r="X444" s="63"/>
      <c r="Y444" s="63"/>
      <c r="Z444" s="63"/>
    </row>
    <row r="445" spans="6:27" s="62" customFormat="1" ht="30" customHeight="1">
      <c r="F445" s="53"/>
      <c r="G445" s="83">
        <v>436</v>
      </c>
      <c r="H445" s="182" t="s">
        <v>1861</v>
      </c>
      <c r="I445" s="182" t="str">
        <f>VLOOKUP(MP_cierre[[#This Row],[OT]],MP_registro[[#All],[OT]:[PROGRAMADO]],9,FALSE)</f>
        <v>G2</v>
      </c>
      <c r="J445" s="170">
        <v>44741</v>
      </c>
      <c r="K445" s="183">
        <v>44742</v>
      </c>
      <c r="L445" s="181">
        <v>0</v>
      </c>
      <c r="M445" s="181">
        <v>2.0833333333333332E-2</v>
      </c>
      <c r="X445" s="63"/>
      <c r="Y445" s="63"/>
      <c r="Z445" s="63"/>
    </row>
    <row r="446" spans="6:27" s="62" customFormat="1" ht="30" customHeight="1">
      <c r="F446" s="53"/>
      <c r="G446" s="83">
        <v>437</v>
      </c>
      <c r="H446" s="182" t="s">
        <v>1862</v>
      </c>
      <c r="I446" s="182" t="str">
        <f>VLOOKUP(MP_cierre[[#This Row],[OT]],MP_registro[[#All],[OT]:[PROGRAMADO]],9,FALSE)</f>
        <v>G2</v>
      </c>
      <c r="J446" s="170">
        <v>44741</v>
      </c>
      <c r="K446" s="183">
        <v>44742</v>
      </c>
      <c r="L446" s="181">
        <v>2.0833333333333332E-2</v>
      </c>
      <c r="M446" s="181">
        <v>4.1666666666666664E-2</v>
      </c>
      <c r="X446" s="63"/>
      <c r="Y446" s="63"/>
      <c r="Z446" s="63"/>
    </row>
    <row r="447" spans="6:27" s="62" customFormat="1" ht="30" customHeight="1">
      <c r="F447" s="53"/>
      <c r="G447" s="83">
        <v>438</v>
      </c>
      <c r="H447" s="182" t="s">
        <v>1863</v>
      </c>
      <c r="I447" s="182" t="str">
        <f>VLOOKUP(MP_cierre[[#This Row],[OT]],MP_registro[[#All],[OT]:[PROGRAMADO]],9,FALSE)</f>
        <v>G3</v>
      </c>
      <c r="J447" s="170">
        <v>44741</v>
      </c>
      <c r="K447" s="183">
        <v>44742</v>
      </c>
      <c r="L447" s="181">
        <v>0.66666666666666663</v>
      </c>
      <c r="M447" s="181">
        <v>0.69861111111111107</v>
      </c>
      <c r="X447" s="63"/>
      <c r="Y447" s="63"/>
      <c r="Z447" s="63"/>
    </row>
    <row r="448" spans="6:27" s="62" customFormat="1" ht="30" customHeight="1">
      <c r="F448" s="53"/>
      <c r="G448" s="83">
        <v>439</v>
      </c>
      <c r="H448" s="184" t="s">
        <v>1864</v>
      </c>
      <c r="I448" s="184" t="str">
        <f>VLOOKUP(MP_cierre[[#This Row],[OT]],MP_registro[[#All],[OT]:[PROGRAMADO]],9,FALSE)</f>
        <v>G2</v>
      </c>
      <c r="J448" s="171">
        <v>44741</v>
      </c>
      <c r="K448" s="185">
        <v>44742</v>
      </c>
      <c r="L448" s="186">
        <v>0.125</v>
      </c>
      <c r="M448" s="186">
        <v>0.14583333333333334</v>
      </c>
      <c r="X448" s="63"/>
      <c r="Y448" s="63"/>
      <c r="Z448" s="63"/>
    </row>
    <row r="449" spans="6:26" s="62" customFormat="1" ht="30" customHeight="1">
      <c r="F449" s="53"/>
      <c r="G449" s="83">
        <v>440</v>
      </c>
      <c r="H449" s="182" t="s">
        <v>1866</v>
      </c>
      <c r="I449" s="182" t="str">
        <f>VLOOKUP(MP_cierre[[#This Row],[OT]],MP_registro[[#All],[OT]:[PROGRAMADO]],9,FALSE)</f>
        <v>G3</v>
      </c>
      <c r="J449" s="170">
        <v>44742</v>
      </c>
      <c r="K449" s="183">
        <v>44742</v>
      </c>
      <c r="L449" s="181">
        <v>0.59375</v>
      </c>
      <c r="M449" s="181">
        <v>0.62013888888888891</v>
      </c>
      <c r="X449" s="63"/>
      <c r="Y449" s="63"/>
      <c r="Z449" s="63"/>
    </row>
    <row r="450" spans="6:26" s="62" customFormat="1" ht="30" customHeight="1">
      <c r="F450" s="53"/>
      <c r="G450" s="83">
        <v>441</v>
      </c>
      <c r="H450" s="182" t="s">
        <v>1867</v>
      </c>
      <c r="I450" s="182" t="str">
        <f>VLOOKUP(MP_cierre[[#This Row],[OT]],MP_registro[[#All],[OT]:[PROGRAMADO]],9,FALSE)</f>
        <v>G3</v>
      </c>
      <c r="J450" s="170">
        <v>44742</v>
      </c>
      <c r="K450" s="183">
        <v>44742</v>
      </c>
      <c r="L450" s="181">
        <v>0.63194444444444442</v>
      </c>
      <c r="M450" s="181">
        <v>0.65833333333333333</v>
      </c>
      <c r="X450" s="63"/>
      <c r="Y450" s="63"/>
      <c r="Z450" s="63"/>
    </row>
    <row r="451" spans="6:26" s="62" customFormat="1" ht="30" customHeight="1">
      <c r="F451" s="53"/>
      <c r="G451" s="83">
        <v>442</v>
      </c>
      <c r="H451" s="182" t="s">
        <v>1868</v>
      </c>
      <c r="I451" s="182" t="str">
        <f>VLOOKUP(MP_cierre[[#This Row],[OT]],MP_registro[[#All],[OT]:[PROGRAMADO]],9,FALSE)</f>
        <v>G3</v>
      </c>
      <c r="J451" s="170">
        <v>44742</v>
      </c>
      <c r="K451" s="183">
        <v>44742</v>
      </c>
      <c r="L451" s="181">
        <v>0.625</v>
      </c>
      <c r="M451" s="181">
        <v>0.65138888888888891</v>
      </c>
      <c r="X451" s="63"/>
      <c r="Y451" s="63"/>
      <c r="Z451" s="63"/>
    </row>
    <row r="452" spans="6:26" s="62" customFormat="1" ht="30" customHeight="1">
      <c r="F452" s="53"/>
      <c r="G452" s="83">
        <v>443</v>
      </c>
      <c r="H452" s="184" t="s">
        <v>1869</v>
      </c>
      <c r="I452" s="184" t="str">
        <f>VLOOKUP(MP_cierre[[#This Row],[OT]],MP_registro[[#All],[OT]:[PROGRAMADO]],9,FALSE)</f>
        <v>G3</v>
      </c>
      <c r="J452" s="171">
        <v>44742</v>
      </c>
      <c r="K452" s="185">
        <v>44742</v>
      </c>
      <c r="L452" s="186">
        <v>0.58333333333333337</v>
      </c>
      <c r="M452" s="186">
        <v>0.60972222222222217</v>
      </c>
      <c r="X452" s="63"/>
      <c r="Y452" s="63"/>
      <c r="Z452" s="63"/>
    </row>
    <row r="453" spans="6:26" s="62" customFormat="1" ht="30" customHeight="1">
      <c r="F453" s="53"/>
      <c r="G453" s="83">
        <v>444</v>
      </c>
      <c r="H453" s="187" t="s">
        <v>1871</v>
      </c>
      <c r="I453" s="182" t="str">
        <f>VLOOKUP(MP_cierre[[#This Row],[OT]],MP_registro[[#All],[OT]:[PROGRAMADO]],9,FALSE)</f>
        <v>G3</v>
      </c>
      <c r="J453" s="170">
        <v>44743</v>
      </c>
      <c r="K453" s="188">
        <v>44751</v>
      </c>
      <c r="L453" s="212">
        <v>7.2916666666666671E-2</v>
      </c>
      <c r="M453" s="212">
        <v>8.6805555555555566E-2</v>
      </c>
      <c r="W453" s="63"/>
      <c r="X453" s="63"/>
      <c r="Y453" s="63"/>
    </row>
    <row r="454" spans="6:26" s="62" customFormat="1" ht="30" customHeight="1">
      <c r="F454" s="53"/>
      <c r="G454" s="83">
        <v>445</v>
      </c>
      <c r="H454" s="187" t="s">
        <v>1874</v>
      </c>
      <c r="I454" s="182" t="str">
        <f>VLOOKUP(MP_cierre[[#This Row],[OT]],MP_registro[[#All],[OT]:[PROGRAMADO]],9,FALSE)</f>
        <v>G3</v>
      </c>
      <c r="J454" s="170">
        <v>44743</v>
      </c>
      <c r="K454" s="188">
        <v>44748</v>
      </c>
      <c r="L454" s="212">
        <v>0.6958333333333333</v>
      </c>
      <c r="M454" s="212">
        <v>0.70833333333333337</v>
      </c>
      <c r="W454" s="63"/>
      <c r="X454" s="63"/>
      <c r="Y454" s="63"/>
    </row>
    <row r="455" spans="6:26" s="62" customFormat="1" ht="30" customHeight="1">
      <c r="F455" s="53"/>
      <c r="G455" s="83">
        <v>446</v>
      </c>
      <c r="H455" s="187" t="s">
        <v>1875</v>
      </c>
      <c r="I455" s="182" t="str">
        <f>VLOOKUP(MP_cierre[[#This Row],[OT]],MP_registro[[#All],[OT]:[PROGRAMADO]],9,FALSE)</f>
        <v>G3</v>
      </c>
      <c r="J455" s="170">
        <v>44743</v>
      </c>
      <c r="K455" s="188">
        <v>44750</v>
      </c>
      <c r="L455" s="212">
        <v>0.13541666666666666</v>
      </c>
      <c r="M455" s="212">
        <v>0.15972222222222224</v>
      </c>
      <c r="W455" s="63"/>
      <c r="X455" s="63"/>
      <c r="Y455" s="63"/>
    </row>
    <row r="456" spans="6:26" s="62" customFormat="1" ht="30" customHeight="1">
      <c r="F456" s="53"/>
      <c r="G456" s="83">
        <v>447</v>
      </c>
      <c r="H456" s="187" t="s">
        <v>1876</v>
      </c>
      <c r="I456" s="182" t="str">
        <f>VLOOKUP(MP_cierre[[#This Row],[OT]],MP_registro[[#All],[OT]:[PROGRAMADO]],9,FALSE)</f>
        <v>G3</v>
      </c>
      <c r="J456" s="170">
        <v>44743</v>
      </c>
      <c r="K456" s="188">
        <v>44750</v>
      </c>
      <c r="L456" s="212">
        <v>0.16666666666666666</v>
      </c>
      <c r="M456" s="212">
        <v>0.19097222222222221</v>
      </c>
      <c r="W456" s="63"/>
      <c r="X456" s="63"/>
      <c r="Y456" s="63"/>
    </row>
    <row r="457" spans="6:26" s="62" customFormat="1" ht="30" customHeight="1">
      <c r="F457" s="53"/>
      <c r="G457" s="83">
        <v>448</v>
      </c>
      <c r="H457" s="187" t="s">
        <v>1877</v>
      </c>
      <c r="I457" s="182" t="str">
        <f>VLOOKUP(MP_cierre[[#This Row],[OT]],MP_registro[[#All],[OT]:[PROGRAMADO]],9,FALSE)</f>
        <v>G3</v>
      </c>
      <c r="J457" s="170">
        <v>44743</v>
      </c>
      <c r="K457" s="188">
        <v>44748</v>
      </c>
      <c r="L457" s="212">
        <v>0.71527777777777779</v>
      </c>
      <c r="M457" s="212">
        <v>0.72777777777777775</v>
      </c>
      <c r="W457" s="63"/>
      <c r="X457" s="63"/>
      <c r="Y457" s="63"/>
    </row>
    <row r="458" spans="6:26" s="62" customFormat="1" ht="30" customHeight="1">
      <c r="F458" s="53"/>
      <c r="G458" s="83">
        <v>449</v>
      </c>
      <c r="H458" s="187" t="s">
        <v>1879</v>
      </c>
      <c r="I458" s="182" t="str">
        <f>VLOOKUP(MP_cierre[[#This Row],[OT]],MP_registro[[#All],[OT]:[PROGRAMADO]],9,FALSE)</f>
        <v>G3</v>
      </c>
      <c r="J458" s="170">
        <v>44744</v>
      </c>
      <c r="K458" s="188">
        <v>44751</v>
      </c>
      <c r="L458" s="212">
        <v>0.875</v>
      </c>
      <c r="M458" s="212">
        <v>0.90972222222222221</v>
      </c>
      <c r="W458" s="63"/>
      <c r="X458" s="63"/>
      <c r="Y458" s="63"/>
    </row>
    <row r="459" spans="6:26" s="62" customFormat="1" ht="30" customHeight="1">
      <c r="F459" s="53"/>
      <c r="G459" s="83">
        <v>450</v>
      </c>
      <c r="H459" s="187" t="s">
        <v>1880</v>
      </c>
      <c r="I459" s="182" t="str">
        <f>VLOOKUP(MP_cierre[[#This Row],[OT]],MP_registro[[#All],[OT]:[PROGRAMADO]],9,FALSE)</f>
        <v>G3</v>
      </c>
      <c r="J459" s="170">
        <v>44744</v>
      </c>
      <c r="K459" s="188">
        <v>44751</v>
      </c>
      <c r="L459" s="212">
        <v>0.93819444444444444</v>
      </c>
      <c r="M459" s="212">
        <v>0.94930555555555562</v>
      </c>
      <c r="W459" s="63"/>
      <c r="X459" s="63"/>
      <c r="Y459" s="63"/>
    </row>
    <row r="460" spans="6:26" s="62" customFormat="1" ht="30" customHeight="1">
      <c r="F460" s="53"/>
      <c r="G460" s="83">
        <v>451</v>
      </c>
      <c r="H460" s="187" t="s">
        <v>1881</v>
      </c>
      <c r="I460" s="182" t="str">
        <f>VLOOKUP(MP_cierre[[#This Row],[OT]],MP_registro[[#All],[OT]:[PROGRAMADO]],9,FALSE)</f>
        <v>G3</v>
      </c>
      <c r="J460" s="170">
        <v>44744</v>
      </c>
      <c r="K460" s="188">
        <v>44751</v>
      </c>
      <c r="L460" s="212">
        <v>0.92361111111111116</v>
      </c>
      <c r="M460" s="212">
        <v>0.93541666666666667</v>
      </c>
      <c r="W460" s="63"/>
      <c r="X460" s="63"/>
      <c r="Y460" s="63"/>
    </row>
    <row r="461" spans="6:26" s="62" customFormat="1" ht="30" customHeight="1">
      <c r="F461" s="53"/>
      <c r="G461" s="83">
        <v>452</v>
      </c>
      <c r="H461" s="187" t="s">
        <v>1882</v>
      </c>
      <c r="I461" s="182" t="str">
        <f>VLOOKUP(MP_cierre[[#This Row],[OT]],MP_registro[[#All],[OT]:[PROGRAMADO]],9,FALSE)</f>
        <v>G3</v>
      </c>
      <c r="J461" s="170">
        <v>44745</v>
      </c>
      <c r="K461" s="188">
        <v>44751</v>
      </c>
      <c r="L461" s="212">
        <v>0.10416666666666667</v>
      </c>
      <c r="M461" s="212">
        <v>0.12847222222222224</v>
      </c>
      <c r="W461" s="63"/>
      <c r="X461" s="63"/>
      <c r="Y461" s="63"/>
    </row>
    <row r="462" spans="6:26" s="62" customFormat="1" ht="30" customHeight="1">
      <c r="F462" s="53"/>
      <c r="G462" s="83">
        <v>453</v>
      </c>
      <c r="H462" s="187" t="s">
        <v>1883</v>
      </c>
      <c r="I462" s="182" t="str">
        <f>VLOOKUP(MP_cierre[[#This Row],[OT]],MP_registro[[#All],[OT]:[PROGRAMADO]],9,FALSE)</f>
        <v>G3</v>
      </c>
      <c r="J462" s="170">
        <v>44745</v>
      </c>
      <c r="K462" s="188">
        <v>44750</v>
      </c>
      <c r="L462" s="212">
        <v>0.93958333333333333</v>
      </c>
      <c r="M462" s="212">
        <v>9.0277777777777787E-3</v>
      </c>
      <c r="W462" s="63"/>
      <c r="X462" s="63"/>
      <c r="Y462" s="63"/>
    </row>
    <row r="463" spans="6:26" s="62" customFormat="1" ht="30" customHeight="1">
      <c r="F463" s="53"/>
      <c r="G463" s="83">
        <v>454</v>
      </c>
      <c r="H463" s="187" t="s">
        <v>1884</v>
      </c>
      <c r="I463" s="182" t="str">
        <f>VLOOKUP(MP_cierre[[#This Row],[OT]],MP_registro[[#All],[OT]:[PROGRAMADO]],9,FALSE)</f>
        <v>G3</v>
      </c>
      <c r="J463" s="170">
        <v>44745</v>
      </c>
      <c r="K463" s="188">
        <v>44750</v>
      </c>
      <c r="L463" s="212">
        <v>0.10416666666666667</v>
      </c>
      <c r="M463" s="212">
        <v>0.12847222222222224</v>
      </c>
      <c r="W463" s="63"/>
      <c r="X463" s="63"/>
      <c r="Y463" s="63"/>
    </row>
    <row r="464" spans="6:26" s="62" customFormat="1" ht="30" customHeight="1">
      <c r="F464" s="53"/>
      <c r="G464" s="83">
        <v>455</v>
      </c>
      <c r="H464" s="187" t="s">
        <v>1885</v>
      </c>
      <c r="I464" s="182" t="str">
        <f>VLOOKUP(MP_cierre[[#This Row],[OT]],MP_registro[[#All],[OT]:[PROGRAMADO]],9,FALSE)</f>
        <v>G3</v>
      </c>
      <c r="J464" s="170">
        <v>44745</v>
      </c>
      <c r="K464" s="188">
        <v>44750</v>
      </c>
      <c r="L464" s="212">
        <v>4.1666666666666664E-2</v>
      </c>
      <c r="M464" s="212">
        <v>6.5972222222222224E-2</v>
      </c>
      <c r="W464" s="63"/>
      <c r="X464" s="63"/>
      <c r="Y464" s="63"/>
    </row>
    <row r="465" spans="6:25" s="62" customFormat="1" ht="30" customHeight="1">
      <c r="F465" s="53"/>
      <c r="G465" s="83">
        <v>456</v>
      </c>
      <c r="H465" s="187" t="s">
        <v>1886</v>
      </c>
      <c r="I465" s="182" t="str">
        <f>VLOOKUP(MP_cierre[[#This Row],[OT]],MP_registro[[#All],[OT]:[PROGRAMADO]],9,FALSE)</f>
        <v>G3</v>
      </c>
      <c r="J465" s="170">
        <v>44746</v>
      </c>
      <c r="K465" s="188">
        <v>44751</v>
      </c>
      <c r="L465" s="212">
        <v>0.13541666666666666</v>
      </c>
      <c r="M465" s="212">
        <v>0.15972222222222224</v>
      </c>
      <c r="W465" s="63"/>
      <c r="X465" s="63"/>
      <c r="Y465" s="63"/>
    </row>
    <row r="466" spans="6:25" s="62" customFormat="1" ht="30" customHeight="1">
      <c r="F466" s="53"/>
      <c r="G466" s="83">
        <v>457</v>
      </c>
      <c r="H466" s="187" t="s">
        <v>1887</v>
      </c>
      <c r="I466" s="182" t="str">
        <f>VLOOKUP(MP_cierre[[#This Row],[OT]],MP_registro[[#All],[OT]:[PROGRAMADO]],9,FALSE)</f>
        <v>G1</v>
      </c>
      <c r="J466" s="170">
        <v>44746</v>
      </c>
      <c r="K466" s="188">
        <v>44747</v>
      </c>
      <c r="L466" s="212">
        <v>0.9375</v>
      </c>
      <c r="M466" s="212">
        <v>0.95833333333333337</v>
      </c>
      <c r="W466" s="63"/>
      <c r="X466" s="63"/>
      <c r="Y466" s="63"/>
    </row>
    <row r="467" spans="6:25" s="62" customFormat="1" ht="30" customHeight="1">
      <c r="F467" s="53"/>
      <c r="G467" s="83">
        <v>458</v>
      </c>
      <c r="H467" s="187" t="s">
        <v>1888</v>
      </c>
      <c r="I467" s="182" t="str">
        <f>VLOOKUP(MP_cierre[[#This Row],[OT]],MP_registro[[#All],[OT]:[PROGRAMADO]],9,FALSE)</f>
        <v>G1</v>
      </c>
      <c r="J467" s="170">
        <v>44746</v>
      </c>
      <c r="K467" s="188">
        <v>44747</v>
      </c>
      <c r="L467" s="212">
        <v>0.47916666666666669</v>
      </c>
      <c r="M467" s="212">
        <v>0.48958333333333331</v>
      </c>
      <c r="W467" s="63"/>
      <c r="X467" s="63"/>
      <c r="Y467" s="63"/>
    </row>
    <row r="468" spans="6:25" s="62" customFormat="1" ht="30" customHeight="1">
      <c r="F468" s="53"/>
      <c r="G468" s="83">
        <v>459</v>
      </c>
      <c r="H468" s="187" t="s">
        <v>1889</v>
      </c>
      <c r="I468" s="182" t="str">
        <f>VLOOKUP(MP_cierre[[#This Row],[OT]],MP_registro[[#All],[OT]:[PROGRAMADO]],9,FALSE)</f>
        <v>G1</v>
      </c>
      <c r="J468" s="170">
        <v>44746</v>
      </c>
      <c r="K468" s="188">
        <v>44747</v>
      </c>
      <c r="L468" s="212">
        <v>0.125</v>
      </c>
      <c r="M468" s="212">
        <v>0.15625</v>
      </c>
      <c r="W468" s="63"/>
      <c r="X468" s="63"/>
      <c r="Y468" s="63"/>
    </row>
    <row r="469" spans="6:25" s="62" customFormat="1" ht="30" customHeight="1">
      <c r="F469" s="53"/>
      <c r="G469" s="83">
        <v>460</v>
      </c>
      <c r="H469" s="187" t="s">
        <v>1890</v>
      </c>
      <c r="I469" s="182" t="str">
        <f>VLOOKUP(MP_cierre[[#This Row],[OT]],MP_registro[[#All],[OT]:[PROGRAMADO]],9,FALSE)</f>
        <v>G3</v>
      </c>
      <c r="J469" s="170">
        <v>44747</v>
      </c>
      <c r="K469" s="188">
        <v>44751</v>
      </c>
      <c r="L469" s="212">
        <v>5.5555555555555552E-2</v>
      </c>
      <c r="M469" s="212">
        <v>6.7361111111111108E-2</v>
      </c>
      <c r="W469" s="63"/>
      <c r="X469" s="63"/>
      <c r="Y469" s="63"/>
    </row>
    <row r="470" spans="6:25" s="62" customFormat="1" ht="30" customHeight="1">
      <c r="F470" s="53"/>
      <c r="G470" s="83">
        <v>461</v>
      </c>
      <c r="H470" s="187" t="s">
        <v>1891</v>
      </c>
      <c r="I470" s="182" t="str">
        <f>VLOOKUP(MP_cierre[[#This Row],[OT]],MP_registro[[#All],[OT]:[PROGRAMADO]],9,FALSE)</f>
        <v>G4</v>
      </c>
      <c r="J470" s="170">
        <v>44747</v>
      </c>
      <c r="K470" s="188">
        <v>44748</v>
      </c>
      <c r="L470" s="212">
        <v>0.35416666666666669</v>
      </c>
      <c r="M470" s="212">
        <v>0.375</v>
      </c>
      <c r="W470" s="63"/>
      <c r="X470" s="63"/>
      <c r="Y470" s="63"/>
    </row>
    <row r="471" spans="6:25" s="62" customFormat="1" ht="30" customHeight="1">
      <c r="F471" s="53"/>
      <c r="G471" s="83">
        <v>462</v>
      </c>
      <c r="H471" s="187" t="s">
        <v>1892</v>
      </c>
      <c r="I471" s="182" t="str">
        <f>VLOOKUP(MP_cierre[[#This Row],[OT]],MP_registro[[#All],[OT]:[PROGRAMADO]],9,FALSE)</f>
        <v>G1</v>
      </c>
      <c r="J471" s="170">
        <v>44747</v>
      </c>
      <c r="K471" s="188">
        <v>44748</v>
      </c>
      <c r="L471" s="212">
        <v>0</v>
      </c>
      <c r="M471" s="212">
        <v>1.3888888888888888E-2</v>
      </c>
      <c r="W471" s="63"/>
      <c r="X471" s="63"/>
      <c r="Y471" s="63"/>
    </row>
    <row r="472" spans="6:25" s="62" customFormat="1" ht="30" customHeight="1">
      <c r="F472" s="53"/>
      <c r="G472" s="83">
        <v>463</v>
      </c>
      <c r="H472" s="187" t="s">
        <v>1893</v>
      </c>
      <c r="I472" s="182" t="str">
        <f>VLOOKUP(MP_cierre[[#This Row],[OT]],MP_registro[[#All],[OT]:[PROGRAMADO]],9,FALSE)</f>
        <v>G1</v>
      </c>
      <c r="J472" s="170">
        <v>44747</v>
      </c>
      <c r="K472" s="188">
        <v>44748</v>
      </c>
      <c r="L472" s="212">
        <v>4.3055555555555562E-2</v>
      </c>
      <c r="M472" s="212">
        <v>6.458333333333334E-2</v>
      </c>
      <c r="W472" s="63"/>
      <c r="X472" s="63"/>
      <c r="Y472" s="63"/>
    </row>
    <row r="473" spans="6:25" s="62" customFormat="1" ht="30" customHeight="1">
      <c r="F473" s="53"/>
      <c r="G473" s="83">
        <v>464</v>
      </c>
      <c r="H473" s="187" t="s">
        <v>1896</v>
      </c>
      <c r="I473" s="182" t="str">
        <f>VLOOKUP(MP_cierre[[#This Row],[OT]],MP_registro[[#All],[OT]:[PROGRAMADO]],9,FALSE)</f>
        <v>G3</v>
      </c>
      <c r="J473" s="170">
        <v>44748</v>
      </c>
      <c r="K473" s="188">
        <v>44747</v>
      </c>
      <c r="L473" s="212">
        <v>0.59236111111111112</v>
      </c>
      <c r="M473" s="212">
        <v>0.64722222222222225</v>
      </c>
      <c r="W473" s="63"/>
      <c r="X473" s="63"/>
      <c r="Y473" s="63"/>
    </row>
    <row r="474" spans="6:25" s="62" customFormat="1" ht="30" customHeight="1">
      <c r="F474" s="53"/>
      <c r="G474" s="83">
        <v>465</v>
      </c>
      <c r="H474" s="187" t="s">
        <v>1897</v>
      </c>
      <c r="I474" s="182" t="str">
        <f>VLOOKUP(MP_cierre[[#This Row],[OT]],MP_registro[[#All],[OT]:[PROGRAMADO]],9,FALSE)</f>
        <v>G3</v>
      </c>
      <c r="J474" s="170">
        <v>44748</v>
      </c>
      <c r="K474" s="188">
        <v>44752</v>
      </c>
      <c r="L474" s="212">
        <v>0.875</v>
      </c>
      <c r="M474" s="212">
        <v>0.90277777777777779</v>
      </c>
      <c r="W474" s="63"/>
      <c r="X474" s="63"/>
      <c r="Y474" s="63"/>
    </row>
    <row r="475" spans="6:25" s="62" customFormat="1" ht="30" customHeight="1">
      <c r="F475" s="53"/>
      <c r="G475" s="83">
        <v>466</v>
      </c>
      <c r="H475" s="187" t="s">
        <v>1898</v>
      </c>
      <c r="I475" s="182" t="str">
        <f>VLOOKUP(MP_cierre[[#This Row],[OT]],MP_registro[[#All],[OT]:[PROGRAMADO]],9,FALSE)</f>
        <v>G1</v>
      </c>
      <c r="J475" s="170">
        <v>44748</v>
      </c>
      <c r="K475" s="188">
        <v>44748</v>
      </c>
      <c r="L475" s="212">
        <v>6.7361111111111108E-2</v>
      </c>
      <c r="M475" s="212">
        <v>8.1250000000000003E-2</v>
      </c>
      <c r="W475" s="63"/>
      <c r="X475" s="63"/>
      <c r="Y475" s="63"/>
    </row>
    <row r="476" spans="6:25" s="62" customFormat="1" ht="30" customHeight="1">
      <c r="F476" s="53"/>
      <c r="G476" s="83">
        <v>467</v>
      </c>
      <c r="H476" s="187" t="s">
        <v>1899</v>
      </c>
      <c r="I476" s="182" t="str">
        <f>VLOOKUP(MP_cierre[[#This Row],[OT]],MP_registro[[#All],[OT]:[PROGRAMADO]],9,FALSE)</f>
        <v>G1</v>
      </c>
      <c r="J476" s="170">
        <v>44748</v>
      </c>
      <c r="K476" s="188">
        <v>44748</v>
      </c>
      <c r="L476" s="212">
        <v>2.0833333333333332E-2</v>
      </c>
      <c r="M476" s="212">
        <v>4.0972222222222222E-2</v>
      </c>
      <c r="W476" s="63"/>
      <c r="X476" s="63"/>
      <c r="Y476" s="63"/>
    </row>
    <row r="477" spans="6:25" s="62" customFormat="1" ht="30" customHeight="1">
      <c r="F477" s="53"/>
      <c r="G477" s="83">
        <v>468</v>
      </c>
      <c r="H477" s="187" t="s">
        <v>1900</v>
      </c>
      <c r="I477" s="182" t="str">
        <f>VLOOKUP(MP_cierre[[#This Row],[OT]],MP_registro[[#All],[OT]:[PROGRAMADO]],9,FALSE)</f>
        <v>G1</v>
      </c>
      <c r="J477" s="170">
        <v>44748</v>
      </c>
      <c r="K477" s="188">
        <v>44748</v>
      </c>
      <c r="L477" s="212">
        <v>1.3888888888888889E-3</v>
      </c>
      <c r="M477" s="212">
        <v>1.9444444444444445E-2</v>
      </c>
      <c r="W477" s="63"/>
      <c r="X477" s="63"/>
      <c r="Y477" s="63"/>
    </row>
    <row r="478" spans="6:25" s="62" customFormat="1" ht="30" customHeight="1">
      <c r="F478" s="53"/>
      <c r="G478" s="83">
        <v>469</v>
      </c>
      <c r="H478" s="187" t="s">
        <v>1903</v>
      </c>
      <c r="I478" s="182" t="str">
        <f>VLOOKUP(MP_cierre[[#This Row],[OT]],MP_registro[[#All],[OT]:[PROGRAMADO]],9,FALSE)</f>
        <v>G4</v>
      </c>
      <c r="J478" s="170">
        <v>44749</v>
      </c>
      <c r="K478" s="188">
        <v>44750</v>
      </c>
      <c r="L478" s="212">
        <v>0.39583333333333331</v>
      </c>
      <c r="M478" s="212">
        <v>0.4375</v>
      </c>
      <c r="W478" s="63"/>
      <c r="X478" s="63"/>
      <c r="Y478" s="63"/>
    </row>
    <row r="479" spans="6:25" s="62" customFormat="1" ht="30" customHeight="1">
      <c r="F479" s="53"/>
      <c r="G479" s="83">
        <v>470</v>
      </c>
      <c r="H479" s="187" t="s">
        <v>1904</v>
      </c>
      <c r="I479" s="182" t="str">
        <f>VLOOKUP(MP_cierre[[#This Row],[OT]],MP_registro[[#All],[OT]:[PROGRAMADO]],9,FALSE)</f>
        <v>G3</v>
      </c>
      <c r="J479" s="170">
        <v>44749</v>
      </c>
      <c r="K479" s="188">
        <v>44749</v>
      </c>
      <c r="L479" s="212">
        <v>0.85625000000000007</v>
      </c>
      <c r="M479" s="212">
        <v>0.86388888888888893</v>
      </c>
      <c r="W479" s="63"/>
      <c r="X479" s="63"/>
      <c r="Y479" s="63"/>
    </row>
    <row r="480" spans="6:25" s="62" customFormat="1" ht="30" customHeight="1">
      <c r="F480" s="53"/>
      <c r="G480" s="83">
        <v>471</v>
      </c>
      <c r="H480" s="187" t="s">
        <v>1905</v>
      </c>
      <c r="I480" s="182" t="str">
        <f>VLOOKUP(MP_cierre[[#This Row],[OT]],MP_registro[[#All],[OT]:[PROGRAMADO]],9,FALSE)</f>
        <v>G3</v>
      </c>
      <c r="J480" s="170">
        <v>44749</v>
      </c>
      <c r="K480" s="188">
        <v>44750</v>
      </c>
      <c r="L480" s="212">
        <v>7.2916666666666671E-2</v>
      </c>
      <c r="M480" s="212">
        <v>9.7222222222222224E-2</v>
      </c>
      <c r="W480" s="63"/>
      <c r="X480" s="63"/>
      <c r="Y480" s="63"/>
    </row>
    <row r="481" spans="6:25" s="62" customFormat="1" ht="30" customHeight="1">
      <c r="F481" s="53"/>
      <c r="G481" s="83">
        <v>472</v>
      </c>
      <c r="H481" s="187" t="s">
        <v>1906</v>
      </c>
      <c r="I481" s="182" t="str">
        <f>VLOOKUP(MP_cierre[[#This Row],[OT]],MP_registro[[#All],[OT]:[PROGRAMADO]],9,FALSE)</f>
        <v>G2</v>
      </c>
      <c r="J481" s="170">
        <v>44749</v>
      </c>
      <c r="K481" s="188">
        <v>44751</v>
      </c>
      <c r="L481" s="212">
        <v>0.375</v>
      </c>
      <c r="M481" s="212">
        <v>0.39583333333333331</v>
      </c>
      <c r="W481" s="63"/>
      <c r="X481" s="63"/>
      <c r="Y481" s="63"/>
    </row>
    <row r="482" spans="6:25" s="62" customFormat="1" ht="30" customHeight="1">
      <c r="F482" s="53"/>
      <c r="G482" s="83">
        <v>473</v>
      </c>
      <c r="H482" s="187" t="s">
        <v>1907</v>
      </c>
      <c r="I482" s="182" t="str">
        <f>VLOOKUP(MP_cierre[[#This Row],[OT]],MP_registro[[#All],[OT]:[PROGRAMADO]],9,FALSE)</f>
        <v>G2</v>
      </c>
      <c r="J482" s="170">
        <v>44749</v>
      </c>
      <c r="K482" s="188">
        <v>44751</v>
      </c>
      <c r="L482" s="212">
        <v>0.39583333333333331</v>
      </c>
      <c r="M482" s="212">
        <v>0.41666666666666669</v>
      </c>
      <c r="W482" s="63"/>
      <c r="X482" s="63"/>
      <c r="Y482" s="63"/>
    </row>
    <row r="483" spans="6:25" s="62" customFormat="1" ht="30" customHeight="1">
      <c r="F483" s="53"/>
      <c r="G483" s="83">
        <v>474</v>
      </c>
      <c r="H483" s="187" t="s">
        <v>1908</v>
      </c>
      <c r="I483" s="182" t="str">
        <f>VLOOKUP(MP_cierre[[#This Row],[OT]],MP_registro[[#All],[OT]:[PROGRAMADO]],9,FALSE)</f>
        <v>G2</v>
      </c>
      <c r="J483" s="170">
        <v>44750</v>
      </c>
      <c r="K483" s="188">
        <v>44754</v>
      </c>
      <c r="L483" s="212">
        <v>0.58333333333333337</v>
      </c>
      <c r="M483" s="212">
        <v>0.625</v>
      </c>
      <c r="W483" s="63"/>
      <c r="X483" s="63"/>
      <c r="Y483" s="63"/>
    </row>
    <row r="484" spans="6:25" s="62" customFormat="1" ht="30" customHeight="1">
      <c r="F484" s="53"/>
      <c r="G484" s="83">
        <v>475</v>
      </c>
      <c r="H484" s="187" t="s">
        <v>1909</v>
      </c>
      <c r="I484" s="182" t="str">
        <f>VLOOKUP(MP_cierre[[#This Row],[OT]],MP_registro[[#All],[OT]:[PROGRAMADO]],9,FALSE)</f>
        <v>G2</v>
      </c>
      <c r="J484" s="170">
        <v>44750</v>
      </c>
      <c r="K484" s="188">
        <v>44756</v>
      </c>
      <c r="L484" s="212">
        <v>0.875</v>
      </c>
      <c r="M484" s="212">
        <v>0.89583333333333337</v>
      </c>
      <c r="W484" s="63"/>
      <c r="X484" s="63"/>
      <c r="Y484" s="63"/>
    </row>
    <row r="485" spans="6:25" s="62" customFormat="1" ht="30" customHeight="1">
      <c r="F485" s="53"/>
      <c r="G485" s="83">
        <v>476</v>
      </c>
      <c r="H485" s="187" t="s">
        <v>1910</v>
      </c>
      <c r="I485" s="182" t="str">
        <f>VLOOKUP(MP_cierre[[#This Row],[OT]],MP_registro[[#All],[OT]:[PROGRAMADO]],9,FALSE)</f>
        <v>G2</v>
      </c>
      <c r="J485" s="170">
        <v>44750</v>
      </c>
      <c r="K485" s="188">
        <v>44752</v>
      </c>
      <c r="L485" s="212">
        <v>0.60416666666666663</v>
      </c>
      <c r="M485" s="212">
        <v>0.625</v>
      </c>
      <c r="W485" s="63"/>
      <c r="X485" s="63"/>
      <c r="Y485" s="63"/>
    </row>
    <row r="486" spans="6:25" s="62" customFormat="1" ht="30" customHeight="1">
      <c r="F486" s="53"/>
      <c r="G486" s="83">
        <v>477</v>
      </c>
      <c r="H486" s="187" t="s">
        <v>1911</v>
      </c>
      <c r="I486" s="182" t="str">
        <f>VLOOKUP(MP_cierre[[#This Row],[OT]],MP_registro[[#All],[OT]:[PROGRAMADO]],9,FALSE)</f>
        <v>G2</v>
      </c>
      <c r="J486" s="170">
        <v>44750</v>
      </c>
      <c r="K486" s="188">
        <v>44752</v>
      </c>
      <c r="L486" s="212">
        <v>0.625</v>
      </c>
      <c r="M486" s="212">
        <v>0.64583333333333337</v>
      </c>
      <c r="W486" s="63"/>
      <c r="X486" s="63"/>
      <c r="Y486" s="63"/>
    </row>
    <row r="487" spans="6:25" s="62" customFormat="1" ht="30" customHeight="1">
      <c r="F487" s="53"/>
      <c r="G487" s="83">
        <v>478</v>
      </c>
      <c r="H487" s="187" t="s">
        <v>1912</v>
      </c>
      <c r="I487" s="182" t="str">
        <f>VLOOKUP(MP_cierre[[#This Row],[OT]],MP_registro[[#All],[OT]:[PROGRAMADO]],9,FALSE)</f>
        <v>G2</v>
      </c>
      <c r="J487" s="170">
        <v>44750</v>
      </c>
      <c r="K487" s="188">
        <v>44752</v>
      </c>
      <c r="L487" s="212">
        <v>0.58333333333333337</v>
      </c>
      <c r="M487" s="212">
        <v>0.60416666666666663</v>
      </c>
      <c r="W487" s="63"/>
      <c r="X487" s="63"/>
      <c r="Y487" s="63"/>
    </row>
    <row r="488" spans="6:25" s="62" customFormat="1" ht="30" customHeight="1">
      <c r="F488" s="53"/>
      <c r="G488" s="83">
        <v>479</v>
      </c>
      <c r="H488" s="187" t="s">
        <v>1913</v>
      </c>
      <c r="I488" s="182" t="str">
        <f>VLOOKUP(MP_cierre[[#This Row],[OT]],MP_registro[[#All],[OT]:[PROGRAMADO]],9,FALSE)</f>
        <v>G2</v>
      </c>
      <c r="J488" s="170">
        <v>44750</v>
      </c>
      <c r="K488" s="188">
        <v>44751</v>
      </c>
      <c r="L488" s="212">
        <v>0.41666666666666669</v>
      </c>
      <c r="M488" s="212">
        <v>0.4375</v>
      </c>
      <c r="W488" s="63"/>
      <c r="X488" s="63"/>
      <c r="Y488" s="63"/>
    </row>
    <row r="489" spans="6:25" s="62" customFormat="1" ht="30" customHeight="1">
      <c r="F489" s="53"/>
      <c r="G489" s="83">
        <v>480</v>
      </c>
      <c r="H489" s="187" t="s">
        <v>1915</v>
      </c>
      <c r="I489" s="182" t="str">
        <f>VLOOKUP(MP_cierre[[#This Row],[OT]],MP_registro[[#All],[OT]:[PROGRAMADO]],9,FALSE)</f>
        <v>G2</v>
      </c>
      <c r="J489" s="170">
        <v>44751</v>
      </c>
      <c r="K489" s="188">
        <v>44751</v>
      </c>
      <c r="L489" s="212">
        <v>0.41666666666666669</v>
      </c>
      <c r="M489" s="212">
        <v>0.4375</v>
      </c>
      <c r="W489" s="63"/>
      <c r="X489" s="63"/>
      <c r="Y489" s="63"/>
    </row>
    <row r="490" spans="6:25" s="62" customFormat="1" ht="30" customHeight="1">
      <c r="F490" s="53"/>
      <c r="G490" s="83">
        <v>481</v>
      </c>
      <c r="H490" s="187" t="s">
        <v>1916</v>
      </c>
      <c r="I490" s="182" t="str">
        <f>VLOOKUP(MP_cierre[[#This Row],[OT]],MP_registro[[#All],[OT]:[PROGRAMADO]],9,FALSE)</f>
        <v>G2</v>
      </c>
      <c r="J490" s="170">
        <v>44751</v>
      </c>
      <c r="K490" s="188">
        <v>44755</v>
      </c>
      <c r="L490" s="212">
        <v>0.66666666666666663</v>
      </c>
      <c r="M490" s="212">
        <v>0.69791666666666663</v>
      </c>
      <c r="W490" s="63"/>
      <c r="X490" s="63"/>
      <c r="Y490" s="63"/>
    </row>
    <row r="491" spans="6:25" s="62" customFormat="1" ht="30" customHeight="1">
      <c r="F491" s="53"/>
      <c r="G491" s="83">
        <v>482</v>
      </c>
      <c r="H491" s="187" t="s">
        <v>1917</v>
      </c>
      <c r="I491" s="182" t="str">
        <f>VLOOKUP(MP_cierre[[#This Row],[OT]],MP_registro[[#All],[OT]:[PROGRAMADO]],9,FALSE)</f>
        <v>G2</v>
      </c>
      <c r="J491" s="170">
        <v>44751</v>
      </c>
      <c r="K491" s="188">
        <v>44752</v>
      </c>
      <c r="L491" s="212">
        <v>0.41666666666666669</v>
      </c>
      <c r="M491" s="212">
        <v>0.4375</v>
      </c>
      <c r="W491" s="63"/>
      <c r="X491" s="63"/>
      <c r="Y491" s="63"/>
    </row>
    <row r="492" spans="6:25" s="62" customFormat="1" ht="30" customHeight="1">
      <c r="F492" s="53"/>
      <c r="G492" s="83">
        <v>483</v>
      </c>
      <c r="H492" s="187" t="s">
        <v>1918</v>
      </c>
      <c r="I492" s="182" t="str">
        <f>VLOOKUP(MP_cierre[[#This Row],[OT]],MP_registro[[#All],[OT]:[PROGRAMADO]],9,FALSE)</f>
        <v>G2</v>
      </c>
      <c r="J492" s="170">
        <v>44751</v>
      </c>
      <c r="K492" s="188">
        <v>44752</v>
      </c>
      <c r="L492" s="212">
        <v>0.39583333333333331</v>
      </c>
      <c r="M492" s="212">
        <v>0.41666666666666669</v>
      </c>
      <c r="W492" s="63"/>
      <c r="X492" s="63"/>
      <c r="Y492" s="63"/>
    </row>
    <row r="493" spans="6:25" s="62" customFormat="1" ht="30" customHeight="1">
      <c r="F493" s="53"/>
      <c r="G493" s="83">
        <v>484</v>
      </c>
      <c r="H493" s="187" t="s">
        <v>1919</v>
      </c>
      <c r="I493" s="182" t="str">
        <f>VLOOKUP(MP_cierre[[#This Row],[OT]],MP_registro[[#All],[OT]:[PROGRAMADO]],9,FALSE)</f>
        <v>G2</v>
      </c>
      <c r="J493" s="170">
        <v>44752</v>
      </c>
      <c r="K493" s="188">
        <v>44751</v>
      </c>
      <c r="L493" s="212">
        <v>0.4375</v>
      </c>
      <c r="M493" s="212">
        <v>0.45833333333333331</v>
      </c>
      <c r="W493" s="63"/>
      <c r="X493" s="63"/>
      <c r="Y493" s="63"/>
    </row>
    <row r="494" spans="6:25" s="62" customFormat="1" ht="30" customHeight="1">
      <c r="F494" s="53"/>
      <c r="G494" s="83">
        <v>485</v>
      </c>
      <c r="H494" s="187" t="s">
        <v>1920</v>
      </c>
      <c r="I494" s="182" t="str">
        <f>VLOOKUP(MP_cierre[[#This Row],[OT]],MP_registro[[#All],[OT]:[PROGRAMADO]],9,FALSE)</f>
        <v>G4</v>
      </c>
      <c r="J494" s="170">
        <v>44752</v>
      </c>
      <c r="K494" s="188">
        <v>44753</v>
      </c>
      <c r="L494" s="212">
        <v>0.35416666666666669</v>
      </c>
      <c r="M494" s="212">
        <v>0.4236111111111111</v>
      </c>
      <c r="W494" s="63"/>
      <c r="X494" s="63"/>
      <c r="Y494" s="63"/>
    </row>
    <row r="495" spans="6:25" s="62" customFormat="1" ht="30" customHeight="1">
      <c r="F495" s="53"/>
      <c r="G495" s="83">
        <v>486</v>
      </c>
      <c r="H495" s="187" t="s">
        <v>1921</v>
      </c>
      <c r="I495" s="182" t="str">
        <f>VLOOKUP(MP_cierre[[#This Row],[OT]],MP_registro[[#All],[OT]:[PROGRAMADO]],9,FALSE)</f>
        <v>G2</v>
      </c>
      <c r="J495" s="170">
        <v>44752</v>
      </c>
      <c r="K495" s="188">
        <v>44752</v>
      </c>
      <c r="L495" s="212">
        <v>0.375</v>
      </c>
      <c r="M495" s="212">
        <v>0.39583333333333331</v>
      </c>
      <c r="W495" s="63"/>
      <c r="X495" s="63"/>
      <c r="Y495" s="63"/>
    </row>
    <row r="496" spans="6:25" s="62" customFormat="1" ht="30" customHeight="1">
      <c r="F496" s="53"/>
      <c r="G496" s="83">
        <v>487</v>
      </c>
      <c r="H496" s="189" t="s">
        <v>1922</v>
      </c>
      <c r="I496" s="184" t="str">
        <f>VLOOKUP(MP_cierre[[#This Row],[OT]],MP_registro[[#All],[OT]:[PROGRAMADO]],9,FALSE)</f>
        <v>G2</v>
      </c>
      <c r="J496" s="171">
        <v>44752</v>
      </c>
      <c r="K496" s="190">
        <v>44752</v>
      </c>
      <c r="L496" s="213">
        <v>0.4375</v>
      </c>
      <c r="M496" s="213">
        <v>0.45833333333333331</v>
      </c>
      <c r="W496" s="63"/>
      <c r="X496" s="63"/>
      <c r="Y496" s="63"/>
    </row>
    <row r="497" spans="6:25" s="62" customFormat="1" ht="30" customHeight="1">
      <c r="F497" s="53"/>
      <c r="G497" s="83">
        <v>488</v>
      </c>
      <c r="H497" s="187" t="s">
        <v>2427</v>
      </c>
      <c r="I497" s="182" t="str">
        <f>VLOOKUP(MP_cierre[[#This Row],[OT]],MP_registro[[#All],[OT]:[PROGRAMADO]],9,FALSE)</f>
        <v>G2</v>
      </c>
      <c r="J497" s="170">
        <v>44753</v>
      </c>
      <c r="K497" s="188">
        <v>44753</v>
      </c>
      <c r="L497" s="212">
        <v>0.375</v>
      </c>
      <c r="M497" s="212">
        <v>0.39583333333333331</v>
      </c>
      <c r="W497" s="63"/>
      <c r="X497" s="63"/>
      <c r="Y497" s="63"/>
    </row>
    <row r="498" spans="6:25" s="62" customFormat="1" ht="30" customHeight="1">
      <c r="F498" s="54"/>
      <c r="G498" s="83">
        <v>489</v>
      </c>
      <c r="H498" s="195" t="s">
        <v>2428</v>
      </c>
      <c r="I498" s="182" t="str">
        <f>VLOOKUP(MP_cierre[[#This Row],[OT]],MP_registro[[#All],[OT]:[PROGRAMADO]],9,FALSE)</f>
        <v>G3</v>
      </c>
      <c r="J498" s="170">
        <v>44753</v>
      </c>
      <c r="K498" s="214">
        <v>44754</v>
      </c>
      <c r="L498" s="212">
        <v>0.89583333333333337</v>
      </c>
      <c r="M498" s="212">
        <v>0.9375</v>
      </c>
      <c r="V498" s="63"/>
      <c r="W498" s="63"/>
      <c r="X498" s="63"/>
    </row>
    <row r="499" spans="6:25" s="62" customFormat="1" ht="30" customHeight="1">
      <c r="F499" s="54"/>
      <c r="G499" s="83">
        <v>490</v>
      </c>
      <c r="H499" s="195" t="s">
        <v>2429</v>
      </c>
      <c r="I499" s="182" t="str">
        <f>VLOOKUP(MP_cierre[[#This Row],[OT]],MP_registro[[#All],[OT]:[PROGRAMADO]],9,FALSE)</f>
        <v>G4</v>
      </c>
      <c r="J499" s="170">
        <v>44753</v>
      </c>
      <c r="K499" s="214">
        <v>44754</v>
      </c>
      <c r="L499" s="212">
        <v>0.5625</v>
      </c>
      <c r="M499" s="212">
        <v>0.63194444444444442</v>
      </c>
      <c r="V499" s="63"/>
      <c r="W499" s="63"/>
      <c r="X499" s="63"/>
    </row>
    <row r="500" spans="6:25" s="62" customFormat="1" ht="30" customHeight="1">
      <c r="F500" s="54"/>
      <c r="G500" s="83">
        <v>491</v>
      </c>
      <c r="H500" s="195" t="s">
        <v>2430</v>
      </c>
      <c r="I500" s="182" t="str">
        <f>VLOOKUP(MP_cierre[[#This Row],[OT]],MP_registro[[#All],[OT]:[PROGRAMADO]],9,FALSE)</f>
        <v>G4</v>
      </c>
      <c r="J500" s="170">
        <v>44753</v>
      </c>
      <c r="K500" s="214">
        <v>44754</v>
      </c>
      <c r="L500" s="212">
        <v>0.35833333333333334</v>
      </c>
      <c r="M500" s="212">
        <v>0.42777777777777781</v>
      </c>
      <c r="V500" s="63"/>
      <c r="W500" s="63"/>
      <c r="X500" s="63"/>
    </row>
    <row r="501" spans="6:25" s="62" customFormat="1" ht="30" customHeight="1">
      <c r="F501" s="54"/>
      <c r="G501" s="83">
        <v>492</v>
      </c>
      <c r="H501" s="195" t="s">
        <v>2431</v>
      </c>
      <c r="I501" s="182" t="str">
        <f>VLOOKUP(MP_cierre[[#This Row],[OT]],MP_registro[[#All],[OT]:[PROGRAMADO]],9,FALSE)</f>
        <v>G4</v>
      </c>
      <c r="J501" s="170">
        <v>44753</v>
      </c>
      <c r="K501" s="214">
        <v>44754</v>
      </c>
      <c r="L501" s="212">
        <v>0.4375</v>
      </c>
      <c r="M501" s="212">
        <v>0.50694444444444442</v>
      </c>
      <c r="V501" s="63"/>
      <c r="W501" s="63"/>
      <c r="X501" s="63"/>
    </row>
    <row r="502" spans="6:25" s="62" customFormat="1" ht="30" customHeight="1">
      <c r="F502" s="54"/>
      <c r="G502" s="83">
        <v>493</v>
      </c>
      <c r="H502" s="195" t="s">
        <v>2432</v>
      </c>
      <c r="I502" s="182" t="str">
        <f>VLOOKUP(MP_cierre[[#This Row],[OT]],MP_registro[[#All],[OT]:[PROGRAMADO]],9,FALSE)</f>
        <v>G3</v>
      </c>
      <c r="J502" s="170">
        <v>44753</v>
      </c>
      <c r="K502" s="214">
        <v>44753</v>
      </c>
      <c r="L502" s="212">
        <v>0.96527777777777779</v>
      </c>
      <c r="M502" s="212">
        <v>0.9819444444444444</v>
      </c>
      <c r="V502" s="63"/>
      <c r="W502" s="63"/>
      <c r="X502" s="63"/>
    </row>
    <row r="503" spans="6:25" s="62" customFormat="1" ht="30" customHeight="1">
      <c r="F503" s="87"/>
      <c r="G503" s="83">
        <v>494</v>
      </c>
      <c r="H503" s="195" t="s">
        <v>2433</v>
      </c>
      <c r="I503" s="182" t="str">
        <f>VLOOKUP(MP_cierre[[#This Row],[OT]],MP_registro[[#All],[OT]:[PROGRAMADO]],9,FALSE)</f>
        <v>G3</v>
      </c>
      <c r="J503" s="170">
        <v>44753</v>
      </c>
      <c r="K503" s="214">
        <v>44753</v>
      </c>
      <c r="L503" s="212">
        <v>0.89583333333333337</v>
      </c>
      <c r="M503" s="212">
        <v>0.91666666666666663</v>
      </c>
      <c r="V503" s="63"/>
      <c r="W503" s="63"/>
      <c r="X503" s="63"/>
    </row>
    <row r="504" spans="6:25" s="62" customFormat="1" ht="30" customHeight="1">
      <c r="F504" s="54"/>
      <c r="G504" s="83">
        <v>495</v>
      </c>
      <c r="H504" s="195" t="s">
        <v>2434</v>
      </c>
      <c r="I504" s="182" t="str">
        <f>VLOOKUP(MP_cierre[[#This Row],[OT]],MP_registro[[#All],[OT]:[PROGRAMADO]],9,FALSE)</f>
        <v>G3</v>
      </c>
      <c r="J504" s="170">
        <v>44753</v>
      </c>
      <c r="K504" s="214">
        <v>44753</v>
      </c>
      <c r="L504" s="212">
        <v>1.3888888888888888E-2</v>
      </c>
      <c r="M504" s="212">
        <v>3.2638888888888891E-2</v>
      </c>
      <c r="V504" s="63"/>
      <c r="W504" s="63"/>
      <c r="X504" s="63"/>
    </row>
    <row r="505" spans="6:25" s="62" customFormat="1" ht="30" customHeight="1">
      <c r="F505" s="54"/>
      <c r="G505" s="83">
        <v>496</v>
      </c>
      <c r="H505" s="195" t="s">
        <v>2435</v>
      </c>
      <c r="I505" s="182" t="str">
        <f>VLOOKUP(MP_cierre[[#This Row],[OT]],MP_registro[[#All],[OT]:[PROGRAMADO]],9,FALSE)</f>
        <v>G4</v>
      </c>
      <c r="J505" s="170">
        <v>44754</v>
      </c>
      <c r="K505" s="214">
        <v>44755</v>
      </c>
      <c r="L505" s="212">
        <v>0.3611111111111111</v>
      </c>
      <c r="M505" s="212">
        <v>0.43055555555555558</v>
      </c>
      <c r="V505" s="63"/>
      <c r="W505" s="63"/>
      <c r="X505" s="63"/>
    </row>
    <row r="506" spans="6:25" s="62" customFormat="1" ht="30" customHeight="1">
      <c r="F506" s="54"/>
      <c r="G506" s="83">
        <v>497</v>
      </c>
      <c r="H506" s="195" t="s">
        <v>2436</v>
      </c>
      <c r="I506" s="182" t="str">
        <f>VLOOKUP(MP_cierre[[#This Row],[OT]],MP_registro[[#All],[OT]:[PROGRAMADO]],9,FALSE)</f>
        <v>G4</v>
      </c>
      <c r="J506" s="170">
        <v>44754</v>
      </c>
      <c r="K506" s="214">
        <v>44755</v>
      </c>
      <c r="L506" s="212">
        <v>0.4375</v>
      </c>
      <c r="M506" s="212">
        <v>0.50694444444444442</v>
      </c>
      <c r="V506" s="63"/>
      <c r="W506" s="63"/>
      <c r="X506" s="63"/>
    </row>
    <row r="507" spans="6:25" s="62" customFormat="1" ht="30" customHeight="1">
      <c r="F507" s="54"/>
      <c r="G507" s="83">
        <v>498</v>
      </c>
      <c r="H507" s="195" t="s">
        <v>2437</v>
      </c>
      <c r="I507" s="182" t="str">
        <f>VLOOKUP(MP_cierre[[#This Row],[OT]],MP_registro[[#All],[OT]:[PROGRAMADO]],9,FALSE)</f>
        <v>G3</v>
      </c>
      <c r="J507" s="170">
        <v>44754</v>
      </c>
      <c r="K507" s="214">
        <v>44754</v>
      </c>
      <c r="L507" s="212">
        <v>5.2083333333333336E-2</v>
      </c>
      <c r="M507" s="212">
        <v>6.25E-2</v>
      </c>
      <c r="V507" s="63"/>
      <c r="W507" s="63"/>
      <c r="X507" s="63"/>
    </row>
    <row r="508" spans="6:25" s="62" customFormat="1" ht="30" customHeight="1">
      <c r="F508" s="54"/>
      <c r="G508" s="83">
        <v>499</v>
      </c>
      <c r="H508" s="195" t="s">
        <v>2438</v>
      </c>
      <c r="I508" s="182" t="str">
        <f>VLOOKUP(MP_cierre[[#This Row],[OT]],MP_registro[[#All],[OT]:[PROGRAMADO]],9,FALSE)</f>
        <v>G3</v>
      </c>
      <c r="J508" s="170">
        <v>44754</v>
      </c>
      <c r="K508" s="214">
        <v>44755</v>
      </c>
      <c r="L508" s="212">
        <v>5.5555555555555552E-2</v>
      </c>
      <c r="M508" s="212">
        <v>7.6388888888888895E-2</v>
      </c>
      <c r="V508" s="63"/>
      <c r="W508" s="63"/>
      <c r="X508" s="63"/>
    </row>
    <row r="509" spans="6:25" s="62" customFormat="1" ht="30" customHeight="1">
      <c r="F509" s="54"/>
      <c r="G509" s="83">
        <v>500</v>
      </c>
      <c r="H509" s="195" t="s">
        <v>2439</v>
      </c>
      <c r="I509" s="182" t="str">
        <f>VLOOKUP(MP_cierre[[#This Row],[OT]],MP_registro[[#All],[OT]:[PROGRAMADO]],9,FALSE)</f>
        <v>G3</v>
      </c>
      <c r="J509" s="170">
        <v>44754</v>
      </c>
      <c r="K509" s="214">
        <v>44754</v>
      </c>
      <c r="L509" s="212">
        <v>1.0416666666666666E-2</v>
      </c>
      <c r="M509" s="212">
        <v>2.0833333333333332E-2</v>
      </c>
      <c r="V509" s="63"/>
      <c r="W509" s="63"/>
      <c r="X509" s="63"/>
    </row>
    <row r="510" spans="6:25" s="62" customFormat="1" ht="30" customHeight="1">
      <c r="F510" s="54"/>
      <c r="G510" s="83">
        <v>501</v>
      </c>
      <c r="H510" s="195" t="s">
        <v>2440</v>
      </c>
      <c r="I510" s="182" t="str">
        <f>VLOOKUP(MP_cierre[[#This Row],[OT]],MP_registro[[#All],[OT]:[PROGRAMADO]],9,FALSE)</f>
        <v>G3</v>
      </c>
      <c r="J510" s="170">
        <v>44754</v>
      </c>
      <c r="K510" s="214">
        <v>44754</v>
      </c>
      <c r="L510" s="212">
        <v>7.2916666666666671E-2</v>
      </c>
      <c r="M510" s="212">
        <v>9.8611111111111108E-2</v>
      </c>
      <c r="V510" s="63"/>
      <c r="W510" s="63"/>
      <c r="X510" s="63"/>
    </row>
    <row r="511" spans="6:25" s="62" customFormat="1" ht="30" customHeight="1">
      <c r="F511" s="54"/>
      <c r="G511" s="83">
        <v>502</v>
      </c>
      <c r="H511" s="195" t="s">
        <v>2441</v>
      </c>
      <c r="I511" s="182" t="str">
        <f>VLOOKUP(MP_cierre[[#This Row],[OT]],MP_registro[[#All],[OT]:[PROGRAMADO]],9,FALSE)</f>
        <v>G2</v>
      </c>
      <c r="J511" s="170">
        <v>44755</v>
      </c>
      <c r="K511" s="214">
        <v>44755</v>
      </c>
      <c r="L511" s="212">
        <v>0.625</v>
      </c>
      <c r="M511" s="212">
        <v>0.66666666666666663</v>
      </c>
      <c r="V511" s="63"/>
      <c r="W511" s="63"/>
      <c r="X511" s="63"/>
    </row>
    <row r="512" spans="6:25" s="62" customFormat="1" ht="30" customHeight="1">
      <c r="F512" s="54"/>
      <c r="G512" s="83">
        <v>503</v>
      </c>
      <c r="H512" s="195" t="s">
        <v>2442</v>
      </c>
      <c r="I512" s="182" t="str">
        <f>VLOOKUP(MP_cierre[[#This Row],[OT]],MP_registro[[#All],[OT]:[PROGRAMADO]],9,FALSE)</f>
        <v>G3</v>
      </c>
      <c r="J512" s="170">
        <v>44755</v>
      </c>
      <c r="K512" s="214">
        <v>44754</v>
      </c>
      <c r="L512" s="212">
        <v>0.96875</v>
      </c>
      <c r="M512" s="212">
        <v>0.98611111111111116</v>
      </c>
      <c r="V512" s="63"/>
      <c r="W512" s="63"/>
      <c r="X512" s="63"/>
    </row>
    <row r="513" spans="6:24" s="62" customFormat="1" ht="30" customHeight="1">
      <c r="F513" s="54"/>
      <c r="G513" s="83">
        <v>504</v>
      </c>
      <c r="H513" s="195" t="s">
        <v>2443</v>
      </c>
      <c r="I513" s="182" t="str">
        <f>VLOOKUP(MP_cierre[[#This Row],[OT]],MP_registro[[#All],[OT]:[PROGRAMADO]],9,FALSE)</f>
        <v>G2</v>
      </c>
      <c r="J513" s="170">
        <v>44755</v>
      </c>
      <c r="K513" s="214">
        <v>44761</v>
      </c>
      <c r="L513" s="212">
        <v>0.875</v>
      </c>
      <c r="M513" s="212">
        <v>0.89583333333333337</v>
      </c>
      <c r="V513" s="63"/>
      <c r="W513" s="63"/>
      <c r="X513" s="63"/>
    </row>
    <row r="514" spans="6:24" s="62" customFormat="1" ht="30" customHeight="1">
      <c r="F514" s="54"/>
      <c r="G514" s="83">
        <v>505</v>
      </c>
      <c r="H514" s="195" t="s">
        <v>2444</v>
      </c>
      <c r="I514" s="182" t="str">
        <f>VLOOKUP(MP_cierre[[#This Row],[OT]],MP_registro[[#All],[OT]:[PROGRAMADO]],9,FALSE)</f>
        <v>G3</v>
      </c>
      <c r="J514" s="170">
        <v>44755</v>
      </c>
      <c r="K514" s="214">
        <v>44754</v>
      </c>
      <c r="L514" s="212">
        <v>0.99305555555555547</v>
      </c>
      <c r="M514" s="212">
        <v>6.9444444444444441E-3</v>
      </c>
      <c r="V514" s="63"/>
      <c r="W514" s="63"/>
      <c r="X514" s="63"/>
    </row>
    <row r="515" spans="6:24" s="62" customFormat="1" ht="30" customHeight="1">
      <c r="F515" s="54"/>
      <c r="G515" s="83">
        <v>506</v>
      </c>
      <c r="H515" s="195" t="s">
        <v>2445</v>
      </c>
      <c r="I515" s="182" t="str">
        <f>VLOOKUP(MP_cierre[[#This Row],[OT]],MP_registro[[#All],[OT]:[PROGRAMADO]],9,FALSE)</f>
        <v>G2</v>
      </c>
      <c r="J515" s="170">
        <v>44755</v>
      </c>
      <c r="K515" s="214">
        <v>44761</v>
      </c>
      <c r="L515" s="212">
        <v>0.89583333333333337</v>
      </c>
      <c r="M515" s="212">
        <v>0.91666666666666663</v>
      </c>
      <c r="V515" s="63"/>
      <c r="W515" s="63"/>
      <c r="X515" s="63"/>
    </row>
    <row r="516" spans="6:24" s="62" customFormat="1" ht="30" customHeight="1">
      <c r="F516" s="54"/>
      <c r="G516" s="83">
        <v>507</v>
      </c>
      <c r="H516" s="195" t="s">
        <v>2446</v>
      </c>
      <c r="I516" s="182" t="str">
        <f>VLOOKUP(MP_cierre[[#This Row],[OT]],MP_registro[[#All],[OT]:[PROGRAMADO]],9,FALSE)</f>
        <v>G3</v>
      </c>
      <c r="J516" s="170">
        <v>44755</v>
      </c>
      <c r="K516" s="214">
        <v>44755</v>
      </c>
      <c r="L516" s="212">
        <v>1.3888888888888888E-2</v>
      </c>
      <c r="M516" s="212">
        <v>4.1666666666666664E-2</v>
      </c>
      <c r="V516" s="63"/>
      <c r="W516" s="63"/>
      <c r="X516" s="63"/>
    </row>
    <row r="517" spans="6:24" s="62" customFormat="1" ht="30" customHeight="1">
      <c r="F517" s="54"/>
      <c r="G517" s="83">
        <v>508</v>
      </c>
      <c r="H517" s="195" t="s">
        <v>2447</v>
      </c>
      <c r="I517" s="182" t="str">
        <f>VLOOKUP(MP_cierre[[#This Row],[OT]],MP_registro[[#All],[OT]:[PROGRAMADO]],9,FALSE)</f>
        <v>G4</v>
      </c>
      <c r="J517" s="170">
        <v>44755</v>
      </c>
      <c r="K517" s="214">
        <v>44756</v>
      </c>
      <c r="L517" s="212">
        <v>0.55555555555555558</v>
      </c>
      <c r="M517" s="212">
        <v>0.625</v>
      </c>
      <c r="V517" s="63"/>
      <c r="W517" s="63"/>
      <c r="X517" s="63"/>
    </row>
    <row r="518" spans="6:24" s="62" customFormat="1" ht="30" customHeight="1">
      <c r="F518" s="54"/>
      <c r="G518" s="83">
        <v>509</v>
      </c>
      <c r="H518" s="195" t="s">
        <v>2448</v>
      </c>
      <c r="I518" s="182" t="str">
        <f>VLOOKUP(MP_cierre[[#This Row],[OT]],MP_registro[[#All],[OT]:[PROGRAMADO]],9,FALSE)</f>
        <v>G3</v>
      </c>
      <c r="J518" s="170">
        <v>44755</v>
      </c>
      <c r="K518" s="214">
        <v>44755</v>
      </c>
      <c r="L518" s="212">
        <v>0.43194444444444446</v>
      </c>
      <c r="M518" s="212">
        <v>0.44444444444444442</v>
      </c>
      <c r="V518" s="63"/>
      <c r="W518" s="63"/>
      <c r="X518" s="63"/>
    </row>
    <row r="519" spans="6:24" s="62" customFormat="1" ht="30" customHeight="1">
      <c r="F519" s="54"/>
      <c r="G519" s="83">
        <v>510</v>
      </c>
      <c r="H519" s="195" t="s">
        <v>2449</v>
      </c>
      <c r="I519" s="182" t="str">
        <f>VLOOKUP(MP_cierre[[#This Row],[OT]],MP_registro[[#All],[OT]:[PROGRAMADO]],9,FALSE)</f>
        <v>G2</v>
      </c>
      <c r="J519" s="170">
        <v>44755</v>
      </c>
      <c r="K519" s="214">
        <v>44755</v>
      </c>
      <c r="L519" s="212">
        <v>0.39583333333333331</v>
      </c>
      <c r="M519" s="212">
        <v>0.41666666666666669</v>
      </c>
      <c r="V519" s="63"/>
      <c r="W519" s="63"/>
      <c r="X519" s="63"/>
    </row>
    <row r="520" spans="6:24" s="62" customFormat="1" ht="30" customHeight="1">
      <c r="F520" s="54"/>
      <c r="G520" s="83">
        <v>511</v>
      </c>
      <c r="H520" s="195" t="s">
        <v>2450</v>
      </c>
      <c r="I520" s="182" t="str">
        <f>VLOOKUP(MP_cierre[[#This Row],[OT]],MP_registro[[#All],[OT]:[PROGRAMADO]],9,FALSE)</f>
        <v>G3</v>
      </c>
      <c r="J520" s="170">
        <v>44755</v>
      </c>
      <c r="K520" s="214">
        <v>44754</v>
      </c>
      <c r="L520" s="212">
        <v>0.10416666666666667</v>
      </c>
      <c r="M520" s="212">
        <v>0.11527777777777777</v>
      </c>
      <c r="V520" s="63"/>
      <c r="W520" s="63"/>
      <c r="X520" s="63"/>
    </row>
    <row r="521" spans="6:24" s="62" customFormat="1" ht="30" customHeight="1">
      <c r="F521" s="54"/>
      <c r="G521" s="83">
        <v>512</v>
      </c>
      <c r="H521" s="195" t="s">
        <v>2451</v>
      </c>
      <c r="I521" s="182" t="str">
        <f>VLOOKUP(MP_cierre[[#This Row],[OT]],MP_registro[[#All],[OT]:[PROGRAMADO]],9,FALSE)</f>
        <v>G2</v>
      </c>
      <c r="J521" s="170">
        <v>44755</v>
      </c>
      <c r="K521" s="214">
        <v>44755</v>
      </c>
      <c r="L521" s="212">
        <v>0.41666666666666669</v>
      </c>
      <c r="M521" s="212">
        <v>0.4375</v>
      </c>
      <c r="V521" s="63"/>
      <c r="W521" s="63"/>
      <c r="X521" s="63"/>
    </row>
    <row r="522" spans="6:24" s="62" customFormat="1" ht="30" customHeight="1">
      <c r="F522" s="54"/>
      <c r="G522" s="83">
        <v>513</v>
      </c>
      <c r="H522" s="195" t="s">
        <v>2453</v>
      </c>
      <c r="I522" s="182" t="str">
        <f>VLOOKUP(MP_cierre[[#This Row],[OT]],MP_registro[[#All],[OT]:[PROGRAMADO]],9,FALSE)</f>
        <v>G1</v>
      </c>
      <c r="J522" s="170">
        <v>44756</v>
      </c>
      <c r="K522" s="214">
        <v>44756</v>
      </c>
      <c r="L522" s="212">
        <v>0.41666666666666669</v>
      </c>
      <c r="M522" s="212">
        <v>0.45833333333333331</v>
      </c>
      <c r="V522" s="63"/>
      <c r="W522" s="63"/>
      <c r="X522" s="63"/>
    </row>
    <row r="523" spans="6:24" s="62" customFormat="1" ht="30" customHeight="1">
      <c r="F523" s="54"/>
      <c r="G523" s="83">
        <v>514</v>
      </c>
      <c r="H523" s="195" t="s">
        <v>2454</v>
      </c>
      <c r="I523" s="182" t="str">
        <f>VLOOKUP(MP_cierre[[#This Row],[OT]],MP_registro[[#All],[OT]:[PROGRAMADO]],9,FALSE)</f>
        <v>G1</v>
      </c>
      <c r="J523" s="170">
        <v>44756</v>
      </c>
      <c r="K523" s="214">
        <v>44757</v>
      </c>
      <c r="L523" s="212">
        <v>0.67361111111111116</v>
      </c>
      <c r="M523" s="212">
        <v>0.70486111111111116</v>
      </c>
      <c r="V523" s="63"/>
      <c r="W523" s="63"/>
      <c r="X523" s="63"/>
    </row>
    <row r="524" spans="6:24" s="62" customFormat="1" ht="30" customHeight="1">
      <c r="F524" s="54"/>
      <c r="G524" s="83">
        <v>515</v>
      </c>
      <c r="H524" s="195" t="s">
        <v>2455</v>
      </c>
      <c r="I524" s="182" t="str">
        <f>VLOOKUP(MP_cierre[[#This Row],[OT]],MP_registro[[#All],[OT]:[PROGRAMADO]],9,FALSE)</f>
        <v>G4</v>
      </c>
      <c r="J524" s="170">
        <v>44756</v>
      </c>
      <c r="K524" s="214">
        <v>44756</v>
      </c>
      <c r="L524" s="212">
        <v>0.3611111111111111</v>
      </c>
      <c r="M524" s="212">
        <v>0.43055555555555558</v>
      </c>
      <c r="V524" s="63"/>
      <c r="W524" s="63"/>
      <c r="X524" s="63"/>
    </row>
    <row r="525" spans="6:24" s="62" customFormat="1" ht="30" customHeight="1">
      <c r="F525" s="54"/>
      <c r="G525" s="83">
        <v>516</v>
      </c>
      <c r="H525" s="195" t="s">
        <v>2456</v>
      </c>
      <c r="I525" s="182" t="str">
        <f>VLOOKUP(MP_cierre[[#This Row],[OT]],MP_registro[[#All],[OT]:[PROGRAMADO]],9,FALSE)</f>
        <v>G4</v>
      </c>
      <c r="J525" s="170">
        <v>44756</v>
      </c>
      <c r="K525" s="214">
        <v>44757</v>
      </c>
      <c r="L525" s="212">
        <v>0.375</v>
      </c>
      <c r="M525" s="212">
        <v>0.44444444444444442</v>
      </c>
      <c r="V525" s="63"/>
      <c r="W525" s="63"/>
      <c r="X525" s="63"/>
    </row>
    <row r="526" spans="6:24" s="62" customFormat="1" ht="30" customHeight="1">
      <c r="F526" s="54"/>
      <c r="G526" s="83">
        <v>517</v>
      </c>
      <c r="H526" s="195" t="s">
        <v>2457</v>
      </c>
      <c r="I526" s="182" t="str">
        <f>VLOOKUP(MP_cierre[[#This Row],[OT]],MP_registro[[#All],[OT]:[PROGRAMADO]],9,FALSE)</f>
        <v>G4</v>
      </c>
      <c r="J526" s="170">
        <v>44756</v>
      </c>
      <c r="K526" s="214">
        <v>44756</v>
      </c>
      <c r="L526" s="212">
        <v>0.4375</v>
      </c>
      <c r="M526" s="212">
        <v>0.50694444444444442</v>
      </c>
      <c r="V526" s="63"/>
      <c r="W526" s="63"/>
      <c r="X526" s="63"/>
    </row>
    <row r="527" spans="6:24" s="62" customFormat="1" ht="30" customHeight="1">
      <c r="F527" s="54"/>
      <c r="G527" s="83">
        <v>518</v>
      </c>
      <c r="H527" s="187" t="s">
        <v>2458</v>
      </c>
      <c r="I527" s="182" t="str">
        <f>VLOOKUP(MP_cierre[[#This Row],[OT]],MP_registro[[#All],[OT]:[PROGRAMADO]],9,FALSE)</f>
        <v>G2</v>
      </c>
      <c r="J527" s="170">
        <v>44756</v>
      </c>
      <c r="K527" s="214">
        <v>44755</v>
      </c>
      <c r="L527" s="212">
        <v>0.4375</v>
      </c>
      <c r="M527" s="212">
        <v>0.45833333333333331</v>
      </c>
      <c r="V527" s="63"/>
      <c r="W527" s="63"/>
      <c r="X527" s="63"/>
    </row>
    <row r="528" spans="6:24" s="62" customFormat="1" ht="30" customHeight="1">
      <c r="F528" s="54"/>
      <c r="G528" s="83">
        <v>519</v>
      </c>
      <c r="H528" s="187" t="s">
        <v>2459</v>
      </c>
      <c r="I528" s="182" t="str">
        <f>VLOOKUP(MP_cierre[[#This Row],[OT]],MP_registro[[#All],[OT]:[PROGRAMADO]],9,FALSE)</f>
        <v>G1</v>
      </c>
      <c r="J528" s="170">
        <v>44756</v>
      </c>
      <c r="K528" s="214">
        <v>44767</v>
      </c>
      <c r="L528" s="212">
        <v>0.10416666666666667</v>
      </c>
      <c r="M528" s="212">
        <v>0.11458333333333333</v>
      </c>
      <c r="V528" s="63"/>
      <c r="W528" s="63"/>
      <c r="X528" s="63"/>
    </row>
    <row r="529" spans="2:24" s="62" customFormat="1" ht="30" customHeight="1">
      <c r="F529" s="54"/>
      <c r="G529" s="83">
        <v>520</v>
      </c>
      <c r="H529" s="187" t="s">
        <v>2460</v>
      </c>
      <c r="I529" s="182" t="str">
        <f>VLOOKUP(MP_cierre[[#This Row],[OT]],MP_registro[[#All],[OT]:[PROGRAMADO]],9,FALSE)</f>
        <v>G2</v>
      </c>
      <c r="J529" s="170">
        <v>44756</v>
      </c>
      <c r="K529" s="214">
        <v>44755</v>
      </c>
      <c r="L529" s="212">
        <v>0.45833333333333331</v>
      </c>
      <c r="M529" s="212">
        <v>0.47916666666666669</v>
      </c>
      <c r="V529" s="63"/>
      <c r="W529" s="63"/>
      <c r="X529" s="63"/>
    </row>
    <row r="530" spans="2:24" s="62" customFormat="1" ht="30" customHeight="1">
      <c r="F530" s="54"/>
      <c r="G530" s="83">
        <v>521</v>
      </c>
      <c r="H530" s="187" t="s">
        <v>2461</v>
      </c>
      <c r="I530" s="182" t="str">
        <f>VLOOKUP(MP_cierre[[#This Row],[OT]],MP_registro[[#All],[OT]:[PROGRAMADO]],9,FALSE)</f>
        <v>G1</v>
      </c>
      <c r="J530" s="170">
        <v>44756</v>
      </c>
      <c r="K530" s="214">
        <v>44768</v>
      </c>
      <c r="L530" s="212">
        <v>0.11805555555555557</v>
      </c>
      <c r="M530" s="212">
        <v>0.13194444444444445</v>
      </c>
      <c r="V530" s="63"/>
      <c r="W530" s="63"/>
      <c r="X530" s="63"/>
    </row>
    <row r="531" spans="2:24" s="62" customFormat="1" ht="30" customHeight="1">
      <c r="F531" s="54"/>
      <c r="G531" s="83">
        <v>522</v>
      </c>
      <c r="H531" s="187" t="s">
        <v>2462</v>
      </c>
      <c r="I531" s="182" t="str">
        <f>VLOOKUP(MP_cierre[[#This Row],[OT]],MP_registro[[#All],[OT]:[PROGRAMADO]],9,FALSE)</f>
        <v>G2</v>
      </c>
      <c r="J531" s="170">
        <v>44757</v>
      </c>
      <c r="K531" s="214">
        <v>44757</v>
      </c>
      <c r="L531" s="212">
        <v>4.1666666666666664E-2</v>
      </c>
      <c r="M531" s="212">
        <v>8.3333333333333329E-2</v>
      </c>
      <c r="V531" s="63"/>
      <c r="W531" s="63"/>
      <c r="X531" s="63"/>
    </row>
    <row r="532" spans="2:24" s="62" customFormat="1" ht="30" customHeight="1">
      <c r="F532" s="54"/>
      <c r="G532" s="83">
        <v>523</v>
      </c>
      <c r="H532" s="187" t="s">
        <v>2463</v>
      </c>
      <c r="I532" s="182" t="str">
        <f>VLOOKUP(MP_cierre[[#This Row],[OT]],MP_registro[[#All],[OT]:[PROGRAMADO]],9,FALSE)</f>
        <v>G1</v>
      </c>
      <c r="J532" s="170">
        <v>44757</v>
      </c>
      <c r="K532" s="214">
        <v>44757</v>
      </c>
      <c r="L532" s="212">
        <v>0.63611111111111118</v>
      </c>
      <c r="M532" s="212">
        <v>0.66736111111111107</v>
      </c>
      <c r="V532" s="63"/>
      <c r="W532" s="63"/>
      <c r="X532" s="63"/>
    </row>
    <row r="533" spans="2:24" ht="30" customHeight="1">
      <c r="B533" s="62"/>
      <c r="C533" s="62"/>
      <c r="D533" s="62"/>
      <c r="E533" s="62"/>
      <c r="F533" s="54"/>
      <c r="G533" s="83">
        <v>524</v>
      </c>
      <c r="H533" s="187" t="s">
        <v>2464</v>
      </c>
      <c r="I533" s="182" t="str">
        <f>VLOOKUP(MP_cierre[[#This Row],[OT]],MP_registro[[#All],[OT]:[PROGRAMADO]],9,FALSE)</f>
        <v>G2</v>
      </c>
      <c r="J533" s="170">
        <v>44757</v>
      </c>
      <c r="K533" s="214">
        <v>44761</v>
      </c>
      <c r="L533" s="212">
        <v>0.91666666666666663</v>
      </c>
      <c r="M533" s="212">
        <v>0.9375</v>
      </c>
      <c r="N533" s="62"/>
      <c r="O533" s="62"/>
      <c r="P533" s="62"/>
      <c r="Q533" s="62"/>
      <c r="R533" s="62"/>
      <c r="S533" s="62"/>
      <c r="T533" s="62"/>
      <c r="U533" s="62"/>
      <c r="V533" s="63"/>
      <c r="W533" s="63"/>
      <c r="X533" s="63"/>
    </row>
    <row r="534" spans="2:24" ht="30" customHeight="1">
      <c r="B534" s="62"/>
      <c r="C534" s="62"/>
      <c r="D534" s="62"/>
      <c r="E534" s="62"/>
      <c r="F534" s="54"/>
      <c r="G534" s="83">
        <v>525</v>
      </c>
      <c r="H534" s="187" t="s">
        <v>2465</v>
      </c>
      <c r="I534" s="182" t="str">
        <f>VLOOKUP(MP_cierre[[#This Row],[OT]],MP_registro[[#All],[OT]:[PROGRAMADO]],9,FALSE)</f>
        <v>G1</v>
      </c>
      <c r="J534" s="170">
        <v>44757</v>
      </c>
      <c r="K534" s="214">
        <v>44757</v>
      </c>
      <c r="L534" s="212">
        <v>0.71180555555555547</v>
      </c>
      <c r="M534" s="212">
        <v>0.74305555555555547</v>
      </c>
      <c r="N534" s="62"/>
      <c r="O534" s="62"/>
      <c r="P534" s="62"/>
      <c r="Q534" s="62"/>
      <c r="R534" s="62"/>
      <c r="S534" s="62"/>
      <c r="T534" s="62"/>
      <c r="U534" s="62"/>
      <c r="V534" s="63"/>
      <c r="W534" s="63"/>
      <c r="X534" s="63"/>
    </row>
    <row r="535" spans="2:24" ht="30" customHeight="1">
      <c r="B535" s="62"/>
      <c r="C535" s="62"/>
      <c r="D535" s="62"/>
      <c r="E535" s="62"/>
      <c r="F535" s="54"/>
      <c r="G535" s="83">
        <v>526</v>
      </c>
      <c r="H535" s="187" t="s">
        <v>2466</v>
      </c>
      <c r="I535" s="182" t="str">
        <f>VLOOKUP(MP_cierre[[#This Row],[OT]],MP_registro[[#All],[OT]:[PROGRAMADO]],9,FALSE)</f>
        <v>G2</v>
      </c>
      <c r="J535" s="170">
        <v>44757</v>
      </c>
      <c r="K535" s="214">
        <v>44761</v>
      </c>
      <c r="L535" s="212">
        <v>0.9375</v>
      </c>
      <c r="M535" s="212">
        <v>0.95833333333333337</v>
      </c>
      <c r="N535" s="62"/>
      <c r="O535" s="62"/>
      <c r="P535" s="62"/>
      <c r="Q535" s="62"/>
      <c r="R535" s="62"/>
      <c r="S535" s="62"/>
      <c r="T535" s="62"/>
      <c r="U535" s="62"/>
      <c r="V535" s="63"/>
      <c r="W535" s="63"/>
      <c r="X535" s="63"/>
    </row>
    <row r="536" spans="2:24" ht="30" customHeight="1">
      <c r="B536" s="62"/>
      <c r="C536" s="62"/>
      <c r="D536" s="62"/>
      <c r="E536" s="62"/>
      <c r="F536" s="54"/>
      <c r="G536" s="83">
        <v>527</v>
      </c>
      <c r="H536" s="187" t="s">
        <v>2467</v>
      </c>
      <c r="I536" s="182" t="str">
        <f>VLOOKUP(MP_cierre[[#This Row],[OT]],MP_registro[[#All],[OT]:[PROGRAMADO]],9,FALSE)</f>
        <v>G1</v>
      </c>
      <c r="J536" s="170">
        <v>44757</v>
      </c>
      <c r="K536" s="214">
        <v>44768</v>
      </c>
      <c r="L536" s="212">
        <v>0.14583333333333334</v>
      </c>
      <c r="M536" s="212">
        <v>0.15625</v>
      </c>
      <c r="N536" s="62"/>
      <c r="O536" s="62"/>
      <c r="P536" s="62"/>
      <c r="Q536" s="62"/>
      <c r="R536" s="62"/>
      <c r="S536" s="62"/>
      <c r="T536" s="62"/>
      <c r="U536" s="62"/>
      <c r="V536" s="63"/>
      <c r="W536" s="63"/>
      <c r="X536" s="63"/>
    </row>
    <row r="537" spans="2:24" ht="30" customHeight="1">
      <c r="B537" s="62"/>
      <c r="C537" s="62"/>
      <c r="D537" s="62"/>
      <c r="E537" s="62"/>
      <c r="F537" s="54"/>
      <c r="G537" s="83">
        <v>528</v>
      </c>
      <c r="H537" s="187" t="s">
        <v>2468</v>
      </c>
      <c r="I537" s="182" t="str">
        <f>VLOOKUP(MP_cierre[[#This Row],[OT]],MP_registro[[#All],[OT]:[PROGRAMADO]],9,FALSE)</f>
        <v>G2</v>
      </c>
      <c r="J537" s="170">
        <v>44757</v>
      </c>
      <c r="K537" s="214">
        <v>44757</v>
      </c>
      <c r="L537" s="212">
        <v>0.875</v>
      </c>
      <c r="M537" s="212">
        <v>0.89583333333333337</v>
      </c>
      <c r="N537" s="62"/>
      <c r="O537" s="62"/>
      <c r="P537" s="62"/>
      <c r="Q537" s="62"/>
      <c r="R537" s="62"/>
      <c r="S537" s="62"/>
      <c r="T537" s="62"/>
      <c r="U537" s="62"/>
      <c r="V537" s="63"/>
      <c r="W537" s="63"/>
      <c r="X537" s="63"/>
    </row>
    <row r="538" spans="2:24" ht="30" customHeight="1">
      <c r="B538" s="62"/>
      <c r="C538" s="62"/>
      <c r="D538" s="62"/>
      <c r="E538" s="62"/>
      <c r="F538" s="54"/>
      <c r="G538" s="83">
        <v>529</v>
      </c>
      <c r="H538" s="187" t="s">
        <v>2469</v>
      </c>
      <c r="I538" s="182" t="str">
        <f>VLOOKUP(MP_cierre[[#This Row],[OT]],MP_registro[[#All],[OT]:[PROGRAMADO]],9,FALSE)</f>
        <v>G1</v>
      </c>
      <c r="J538" s="170">
        <v>44757</v>
      </c>
      <c r="K538" s="214">
        <v>44768</v>
      </c>
      <c r="L538" s="212">
        <v>0.13541666666666666</v>
      </c>
      <c r="M538" s="212">
        <v>0.14583333333333334</v>
      </c>
      <c r="N538" s="62"/>
      <c r="O538" s="62"/>
      <c r="P538" s="62"/>
      <c r="Q538" s="62"/>
      <c r="R538" s="62"/>
      <c r="S538" s="62"/>
      <c r="T538" s="62"/>
      <c r="U538" s="62"/>
      <c r="V538" s="63"/>
      <c r="W538" s="63"/>
      <c r="X538" s="63"/>
    </row>
    <row r="539" spans="2:24" ht="30" customHeight="1">
      <c r="B539" s="62"/>
      <c r="C539" s="62"/>
      <c r="D539" s="62"/>
      <c r="E539" s="62"/>
      <c r="F539" s="54"/>
      <c r="G539" s="83">
        <v>530</v>
      </c>
      <c r="H539" s="187" t="s">
        <v>2470</v>
      </c>
      <c r="I539" s="182" t="str">
        <f>VLOOKUP(MP_cierre[[#This Row],[OT]],MP_registro[[#All],[OT]:[PROGRAMADO]],9,FALSE)</f>
        <v>G2</v>
      </c>
      <c r="J539" s="170">
        <v>44757</v>
      </c>
      <c r="K539" s="214">
        <v>44760</v>
      </c>
      <c r="L539" s="212">
        <v>0.10416666666666667</v>
      </c>
      <c r="M539" s="212">
        <v>0.125</v>
      </c>
      <c r="N539" s="62"/>
      <c r="O539" s="62"/>
      <c r="P539" s="62"/>
      <c r="Q539" s="62"/>
      <c r="R539" s="62"/>
      <c r="S539" s="62"/>
      <c r="T539" s="62"/>
      <c r="U539" s="62"/>
      <c r="V539" s="63"/>
      <c r="W539" s="63"/>
      <c r="X539" s="63"/>
    </row>
    <row r="540" spans="2:24" ht="30" customHeight="1">
      <c r="B540" s="62"/>
      <c r="C540" s="62"/>
      <c r="D540" s="62"/>
      <c r="E540" s="62"/>
      <c r="F540" s="54"/>
      <c r="G540" s="83">
        <v>531</v>
      </c>
      <c r="H540" s="187" t="s">
        <v>2472</v>
      </c>
      <c r="I540" s="182" t="str">
        <f>VLOOKUP(MP_cierre[[#This Row],[OT]],MP_registro[[#All],[OT]:[PROGRAMADO]],9,FALSE)</f>
        <v>G2</v>
      </c>
      <c r="J540" s="170">
        <v>44758</v>
      </c>
      <c r="K540" s="214">
        <v>44760</v>
      </c>
      <c r="L540" s="212">
        <v>0.20833333333333334</v>
      </c>
      <c r="M540" s="212">
        <v>0.22916666666666666</v>
      </c>
      <c r="N540" s="62"/>
      <c r="O540" s="62"/>
      <c r="P540" s="62"/>
      <c r="Q540" s="62"/>
      <c r="R540" s="62"/>
      <c r="S540" s="62"/>
      <c r="T540" s="62"/>
      <c r="U540" s="62"/>
      <c r="V540" s="63"/>
      <c r="W540" s="63"/>
      <c r="X540" s="63"/>
    </row>
    <row r="541" spans="2:24" ht="30" customHeight="1">
      <c r="B541" s="62"/>
      <c r="C541" s="62"/>
      <c r="D541" s="62"/>
      <c r="E541" s="62"/>
      <c r="F541" s="54"/>
      <c r="G541" s="83">
        <v>532</v>
      </c>
      <c r="H541" s="187" t="s">
        <v>2473</v>
      </c>
      <c r="I541" s="182" t="str">
        <f>VLOOKUP(MP_cierre[[#This Row],[OT]],MP_registro[[#All],[OT]:[PROGRAMADO]],9,FALSE)</f>
        <v>G1</v>
      </c>
      <c r="J541" s="170">
        <v>44758</v>
      </c>
      <c r="K541" s="214">
        <v>44768</v>
      </c>
      <c r="L541" s="212">
        <v>4.1666666666666664E-2</v>
      </c>
      <c r="M541" s="212">
        <v>6.25E-2</v>
      </c>
      <c r="N541" s="62"/>
      <c r="O541" s="62"/>
      <c r="P541" s="62"/>
      <c r="Q541" s="62"/>
      <c r="R541" s="62"/>
      <c r="S541" s="62"/>
      <c r="T541" s="62"/>
      <c r="U541" s="62"/>
      <c r="V541" s="63"/>
      <c r="W541" s="63"/>
      <c r="X541" s="63"/>
    </row>
    <row r="542" spans="2:24" ht="30" customHeight="1">
      <c r="B542" s="62"/>
      <c r="C542" s="62"/>
      <c r="D542" s="62"/>
      <c r="E542" s="62"/>
      <c r="F542" s="54"/>
      <c r="G542" s="83">
        <v>533</v>
      </c>
      <c r="H542" s="187" t="s">
        <v>2474</v>
      </c>
      <c r="I542" s="182" t="str">
        <f>VLOOKUP(MP_cierre[[#This Row],[OT]],MP_registro[[#All],[OT]:[PROGRAMADO]],9,FALSE)</f>
        <v>G2</v>
      </c>
      <c r="J542" s="170">
        <v>44759</v>
      </c>
      <c r="K542" s="214">
        <v>44758</v>
      </c>
      <c r="L542" s="212">
        <v>0.85416666666666663</v>
      </c>
      <c r="M542" s="212">
        <v>0.875</v>
      </c>
      <c r="N542" s="62"/>
      <c r="O542" s="62"/>
      <c r="P542" s="62"/>
      <c r="Q542" s="62"/>
      <c r="R542" s="62"/>
      <c r="S542" s="62"/>
      <c r="T542" s="62"/>
      <c r="U542" s="62"/>
      <c r="V542" s="63"/>
      <c r="W542" s="63"/>
      <c r="X542" s="63"/>
    </row>
    <row r="543" spans="2:24" ht="30" customHeight="1">
      <c r="B543" s="62"/>
      <c r="C543" s="62"/>
      <c r="D543" s="62"/>
      <c r="E543" s="62"/>
      <c r="F543" s="54"/>
      <c r="G543" s="83">
        <v>534</v>
      </c>
      <c r="H543" s="187" t="s">
        <v>2475</v>
      </c>
      <c r="I543" s="182" t="str">
        <f>VLOOKUP(MP_cierre[[#This Row],[OT]],MP_registro[[#All],[OT]:[PROGRAMADO]],9,FALSE)</f>
        <v>G1</v>
      </c>
      <c r="J543" s="170">
        <v>44759</v>
      </c>
      <c r="K543" s="214">
        <v>44756</v>
      </c>
      <c r="L543" s="212">
        <v>0.625</v>
      </c>
      <c r="M543" s="212">
        <v>0.66666666666666663</v>
      </c>
      <c r="N543" s="62"/>
      <c r="O543" s="62"/>
      <c r="P543" s="62"/>
      <c r="Q543" s="62"/>
      <c r="R543" s="62"/>
      <c r="S543" s="62"/>
      <c r="T543" s="62"/>
      <c r="U543" s="62"/>
      <c r="V543" s="63"/>
      <c r="W543" s="63"/>
      <c r="X543" s="63"/>
    </row>
    <row r="544" spans="2:24" ht="30" customHeight="1">
      <c r="B544" s="62"/>
      <c r="C544" s="62"/>
      <c r="D544" s="62"/>
      <c r="E544" s="62"/>
      <c r="F544" s="54"/>
      <c r="G544" s="83">
        <v>535</v>
      </c>
      <c r="H544" s="187" t="s">
        <v>2476</v>
      </c>
      <c r="I544" s="182" t="str">
        <f>VLOOKUP(MP_cierre[[#This Row],[OT]],MP_registro[[#All],[OT]:[PROGRAMADO]],9,FALSE)</f>
        <v>G2</v>
      </c>
      <c r="J544" s="170">
        <v>44759</v>
      </c>
      <c r="K544" s="214">
        <v>44758</v>
      </c>
      <c r="L544" s="212">
        <v>0.83333333333333337</v>
      </c>
      <c r="M544" s="212">
        <v>0.85416666666666663</v>
      </c>
      <c r="N544" s="62"/>
      <c r="O544" s="62"/>
      <c r="P544" s="62"/>
      <c r="Q544" s="62"/>
      <c r="R544" s="62"/>
      <c r="S544" s="62"/>
      <c r="T544" s="62"/>
      <c r="U544" s="62"/>
      <c r="V544" s="63"/>
      <c r="W544" s="63"/>
      <c r="X544" s="63"/>
    </row>
    <row r="545" spans="2:24" ht="30" customHeight="1">
      <c r="B545" s="62"/>
      <c r="C545" s="62"/>
      <c r="D545" s="62"/>
      <c r="E545" s="62"/>
      <c r="F545" s="53"/>
      <c r="G545" s="83">
        <v>536</v>
      </c>
      <c r="H545" s="195" t="s">
        <v>2477</v>
      </c>
      <c r="I545" s="182" t="str">
        <f>VLOOKUP(MP_cierre[[#This Row],[OT]],MP_registro[[#All],[OT]:[PROGRAMADO]],9,FALSE)</f>
        <v>G1</v>
      </c>
      <c r="J545" s="170">
        <v>44759</v>
      </c>
      <c r="K545" s="214">
        <v>44756</v>
      </c>
      <c r="L545" s="212">
        <v>0.5</v>
      </c>
      <c r="M545" s="212">
        <v>0.54166666666666663</v>
      </c>
      <c r="N545" s="62"/>
      <c r="O545" s="62"/>
      <c r="P545" s="62"/>
      <c r="Q545" s="62"/>
      <c r="R545" s="62"/>
      <c r="S545" s="62"/>
      <c r="T545" s="62"/>
      <c r="U545" s="62"/>
      <c r="V545" s="63"/>
      <c r="W545" s="63"/>
      <c r="X545" s="63"/>
    </row>
    <row r="546" spans="2:24" ht="30" customHeight="1">
      <c r="B546" s="62"/>
      <c r="C546" s="62"/>
      <c r="D546" s="62"/>
      <c r="E546" s="62"/>
      <c r="F546" s="54"/>
      <c r="G546" s="83">
        <v>537</v>
      </c>
      <c r="H546" s="195" t="s">
        <v>2478</v>
      </c>
      <c r="I546" s="182" t="str">
        <f>VLOOKUP(MP_cierre[[#This Row],[OT]],MP_registro[[#All],[OT]:[PROGRAMADO]],9,FALSE)</f>
        <v>G1</v>
      </c>
      <c r="J546" s="170">
        <v>44759</v>
      </c>
      <c r="K546" s="214">
        <v>44767</v>
      </c>
      <c r="L546" s="212">
        <v>4.1666666666666664E-2</v>
      </c>
      <c r="M546" s="212">
        <v>6.25E-2</v>
      </c>
      <c r="N546" s="62"/>
      <c r="O546" s="62"/>
      <c r="P546" s="62"/>
      <c r="Q546" s="62"/>
      <c r="R546" s="62"/>
      <c r="S546" s="62"/>
      <c r="T546" s="62"/>
      <c r="U546" s="62"/>
      <c r="V546" s="63"/>
      <c r="W546" s="63"/>
      <c r="X546" s="63"/>
    </row>
    <row r="547" spans="2:24" ht="30" customHeight="1">
      <c r="B547" s="62"/>
      <c r="C547" s="62"/>
      <c r="D547" s="62"/>
      <c r="E547" s="62"/>
      <c r="F547" s="54"/>
      <c r="G547" s="83">
        <v>538</v>
      </c>
      <c r="H547" s="196" t="s">
        <v>2479</v>
      </c>
      <c r="I547" s="184" t="str">
        <f>VLOOKUP(MP_cierre[[#This Row],[OT]],MP_registro[[#All],[OT]:[PROGRAMADO]],9,FALSE)</f>
        <v>G1</v>
      </c>
      <c r="J547" s="171">
        <v>44759</v>
      </c>
      <c r="K547" s="215">
        <v>44767</v>
      </c>
      <c r="L547" s="213">
        <v>7.2916666666666671E-2</v>
      </c>
      <c r="M547" s="213">
        <v>9.375E-2</v>
      </c>
      <c r="N547" s="62"/>
      <c r="O547" s="62"/>
      <c r="P547" s="62"/>
      <c r="Q547" s="62"/>
      <c r="R547" s="62"/>
      <c r="S547" s="62"/>
      <c r="T547" s="62"/>
      <c r="U547" s="62"/>
      <c r="V547" s="63"/>
      <c r="W547" s="63"/>
      <c r="X547" s="63"/>
    </row>
    <row r="548" spans="2:24" ht="30" customHeight="1">
      <c r="B548" s="62"/>
      <c r="C548" s="62"/>
      <c r="D548" s="62"/>
      <c r="E548" s="62"/>
      <c r="F548" s="54"/>
      <c r="G548" s="83">
        <v>539</v>
      </c>
      <c r="H548" s="195" t="s">
        <v>2483</v>
      </c>
      <c r="I548" s="182" t="str">
        <f>VLOOKUP(MP_cierre[[#This Row],[OT]],MP_registro[[#All],[OT]:[PROGRAMADO]],9,FALSE)</f>
        <v>G1</v>
      </c>
      <c r="J548" s="170">
        <v>44760</v>
      </c>
      <c r="K548" s="214">
        <v>44762</v>
      </c>
      <c r="L548" s="212">
        <v>0.65277777777777779</v>
      </c>
      <c r="M548" s="212">
        <v>0.69444444444444453</v>
      </c>
      <c r="N548" s="62"/>
      <c r="O548" s="62"/>
      <c r="P548" s="62"/>
      <c r="Q548" s="62"/>
      <c r="R548" s="62"/>
      <c r="S548" s="62"/>
      <c r="T548" s="62"/>
      <c r="U548" s="62"/>
      <c r="V548" s="63"/>
      <c r="W548" s="63"/>
      <c r="X548" s="63"/>
    </row>
    <row r="549" spans="2:24" ht="30" customHeight="1">
      <c r="B549" s="62"/>
      <c r="C549" s="62"/>
      <c r="D549" s="62"/>
      <c r="E549" s="62"/>
      <c r="F549" s="84"/>
      <c r="G549" s="83">
        <v>540</v>
      </c>
      <c r="H549" s="195" t="s">
        <v>2484</v>
      </c>
      <c r="I549" s="182" t="str">
        <f>VLOOKUP(MP_cierre[[#This Row],[OT]],MP_registro[[#All],[OT]:[PROGRAMADO]],9,FALSE)</f>
        <v>G1</v>
      </c>
      <c r="J549" s="170">
        <v>44760</v>
      </c>
      <c r="K549" s="214">
        <v>44762</v>
      </c>
      <c r="L549" s="212">
        <v>0.69444444444444453</v>
      </c>
      <c r="M549" s="212">
        <v>0.72222222222222221</v>
      </c>
      <c r="N549" s="62"/>
      <c r="O549" s="62"/>
      <c r="P549" s="62"/>
      <c r="Q549" s="62"/>
      <c r="R549" s="62"/>
      <c r="S549" s="62"/>
      <c r="T549" s="62"/>
      <c r="U549" s="62"/>
      <c r="V549" s="63"/>
      <c r="W549" s="63"/>
      <c r="X549" s="63"/>
    </row>
    <row r="550" spans="2:24" ht="30" customHeight="1">
      <c r="B550" s="62"/>
      <c r="C550" s="62"/>
      <c r="D550" s="62"/>
      <c r="E550" s="62"/>
      <c r="F550" s="84"/>
      <c r="G550" s="83">
        <v>541</v>
      </c>
      <c r="H550" s="195" t="s">
        <v>2485</v>
      </c>
      <c r="I550" s="182" t="str">
        <f>VLOOKUP(MP_cierre[[#This Row],[OT]],MP_registro[[#All],[OT]:[PROGRAMADO]],9,FALSE)</f>
        <v>G1</v>
      </c>
      <c r="J550" s="170">
        <v>44760</v>
      </c>
      <c r="K550" s="214">
        <v>44762</v>
      </c>
      <c r="L550" s="212">
        <v>0.72916666666666663</v>
      </c>
      <c r="M550" s="212">
        <v>0.75694444444444453</v>
      </c>
      <c r="N550" s="62"/>
      <c r="O550" s="62"/>
      <c r="P550" s="62"/>
      <c r="Q550" s="62"/>
      <c r="R550" s="62"/>
      <c r="S550" s="62"/>
      <c r="T550" s="62"/>
      <c r="U550" s="62"/>
      <c r="V550" s="63"/>
      <c r="W550" s="63"/>
      <c r="X550" s="63"/>
    </row>
    <row r="551" spans="2:24" ht="30" customHeight="1">
      <c r="B551" s="62"/>
      <c r="C551" s="62"/>
      <c r="D551" s="62"/>
      <c r="E551" s="62"/>
      <c r="F551" s="84"/>
      <c r="G551" s="83">
        <v>542</v>
      </c>
      <c r="H551" s="195" t="s">
        <v>2486</v>
      </c>
      <c r="I551" s="182" t="str">
        <f>VLOOKUP(MP_cierre[[#This Row],[OT]],MP_registro[[#All],[OT]:[PROGRAMADO]],9,FALSE)</f>
        <v>G2</v>
      </c>
      <c r="J551" s="170">
        <v>44760</v>
      </c>
      <c r="K551" s="214">
        <v>44761</v>
      </c>
      <c r="L551" s="212">
        <v>0.95833333333333337</v>
      </c>
      <c r="M551" s="212">
        <v>0.97916666666666663</v>
      </c>
      <c r="N551" s="62"/>
      <c r="O551" s="62"/>
      <c r="P551" s="62"/>
      <c r="Q551" s="62"/>
      <c r="R551" s="62"/>
      <c r="S551" s="62"/>
      <c r="T551" s="62"/>
      <c r="U551" s="62"/>
      <c r="V551" s="63"/>
      <c r="W551" s="63"/>
      <c r="X551" s="63"/>
    </row>
    <row r="552" spans="2:24" ht="30" customHeight="1">
      <c r="B552" s="62"/>
      <c r="C552" s="62"/>
      <c r="D552" s="62"/>
      <c r="E552" s="62"/>
      <c r="F552" s="84"/>
      <c r="G552" s="83">
        <v>543</v>
      </c>
      <c r="H552" s="195" t="s">
        <v>2487</v>
      </c>
      <c r="I552" s="182" t="str">
        <f>VLOOKUP(MP_cierre[[#This Row],[OT]],MP_registro[[#All],[OT]:[PROGRAMADO]],9,FALSE)</f>
        <v>G2</v>
      </c>
      <c r="J552" s="170">
        <v>44760</v>
      </c>
      <c r="K552" s="214">
        <v>44761</v>
      </c>
      <c r="L552" s="212">
        <v>0.97916666666666663</v>
      </c>
      <c r="M552" s="212">
        <v>0</v>
      </c>
      <c r="N552" s="62"/>
      <c r="O552" s="62"/>
      <c r="P552" s="62"/>
      <c r="Q552" s="62"/>
      <c r="R552" s="62"/>
      <c r="S552" s="62"/>
      <c r="T552" s="62"/>
      <c r="U552" s="62"/>
      <c r="V552" s="63"/>
      <c r="W552" s="63"/>
      <c r="X552" s="63"/>
    </row>
    <row r="553" spans="2:24" ht="30" customHeight="1">
      <c r="B553" s="62"/>
      <c r="C553" s="62"/>
      <c r="D553" s="62"/>
      <c r="E553" s="62"/>
      <c r="F553" s="84"/>
      <c r="G553" s="83">
        <v>544</v>
      </c>
      <c r="H553" s="195" t="s">
        <v>2488</v>
      </c>
      <c r="I553" s="182" t="str">
        <f>VLOOKUP(MP_cierre[[#This Row],[OT]],MP_registro[[#All],[OT]:[PROGRAMADO]],9,FALSE)</f>
        <v>G2</v>
      </c>
      <c r="J553" s="170">
        <v>44760</v>
      </c>
      <c r="K553" s="214">
        <v>44762</v>
      </c>
      <c r="L553" s="212">
        <v>0</v>
      </c>
      <c r="M553" s="212">
        <v>2.0833333333333332E-2</v>
      </c>
      <c r="N553" s="62"/>
      <c r="O553" s="62"/>
      <c r="P553" s="62"/>
      <c r="Q553" s="62"/>
      <c r="R553" s="62"/>
      <c r="S553" s="62"/>
      <c r="T553" s="62"/>
      <c r="U553" s="62"/>
      <c r="V553" s="63"/>
      <c r="W553" s="63"/>
      <c r="X553" s="63"/>
    </row>
    <row r="554" spans="2:24" ht="30" customHeight="1">
      <c r="B554" s="62"/>
      <c r="C554" s="62"/>
      <c r="D554" s="62"/>
      <c r="E554" s="62"/>
      <c r="F554" s="84"/>
      <c r="G554" s="83">
        <v>545</v>
      </c>
      <c r="H554" s="195" t="s">
        <v>2489</v>
      </c>
      <c r="I554" s="182" t="str">
        <f>VLOOKUP(MP_cierre[[#This Row],[OT]],MP_registro[[#All],[OT]:[PROGRAMADO]],9,FALSE)</f>
        <v>G2</v>
      </c>
      <c r="J554" s="170">
        <v>44760</v>
      </c>
      <c r="K554" s="214">
        <v>44760</v>
      </c>
      <c r="L554" s="212">
        <v>0.25</v>
      </c>
      <c r="M554" s="212">
        <v>0.27083333333333331</v>
      </c>
      <c r="N554" s="62"/>
      <c r="O554" s="62"/>
      <c r="P554" s="62"/>
      <c r="Q554" s="62"/>
      <c r="R554" s="62"/>
      <c r="S554" s="62"/>
      <c r="T554" s="62"/>
      <c r="U554" s="62"/>
      <c r="V554" s="63"/>
      <c r="W554" s="63"/>
      <c r="X554" s="63"/>
    </row>
    <row r="555" spans="2:24" ht="30" customHeight="1">
      <c r="B555" s="62"/>
      <c r="C555" s="62"/>
      <c r="D555" s="62"/>
      <c r="E555" s="62"/>
      <c r="F555" s="84"/>
      <c r="G555" s="83">
        <v>546</v>
      </c>
      <c r="H555" s="195" t="s">
        <v>2490</v>
      </c>
      <c r="I555" s="182" t="str">
        <f>VLOOKUP(MP_cierre[[#This Row],[OT]],MP_registro[[#All],[OT]:[PROGRAMADO]],9,FALSE)</f>
        <v>G2</v>
      </c>
      <c r="J555" s="170">
        <v>44760</v>
      </c>
      <c r="K555" s="214">
        <v>44760</v>
      </c>
      <c r="L555" s="212">
        <v>0.22916666666666666</v>
      </c>
      <c r="M555" s="212">
        <v>0.25</v>
      </c>
      <c r="N555" s="62"/>
      <c r="O555" s="62"/>
      <c r="P555" s="62"/>
      <c r="Q555" s="62"/>
      <c r="R555" s="62"/>
      <c r="S555" s="62"/>
      <c r="T555" s="62"/>
      <c r="U555" s="62"/>
      <c r="V555" s="63"/>
      <c r="W555" s="63"/>
      <c r="X555" s="63"/>
    </row>
    <row r="556" spans="2:24" ht="30" customHeight="1">
      <c r="B556" s="62"/>
      <c r="C556" s="62"/>
      <c r="D556" s="62"/>
      <c r="E556" s="62"/>
      <c r="F556" s="84"/>
      <c r="G556" s="83">
        <v>547</v>
      </c>
      <c r="H556" s="195" t="s">
        <v>2491</v>
      </c>
      <c r="I556" s="182" t="str">
        <f>VLOOKUP(MP_cierre[[#This Row],[OT]],MP_registro[[#All],[OT]:[PROGRAMADO]],9,FALSE)</f>
        <v>G2</v>
      </c>
      <c r="J556" s="170">
        <v>44760</v>
      </c>
      <c r="K556" s="214">
        <v>44760</v>
      </c>
      <c r="L556" s="212">
        <v>8.3333333333333329E-2</v>
      </c>
      <c r="M556" s="212">
        <v>0.10416666666666667</v>
      </c>
      <c r="N556" s="62"/>
      <c r="O556" s="62"/>
      <c r="P556" s="62"/>
      <c r="Q556" s="62"/>
      <c r="R556" s="62"/>
      <c r="S556" s="62"/>
      <c r="T556" s="62"/>
      <c r="U556" s="62"/>
      <c r="V556" s="63"/>
      <c r="W556" s="63"/>
      <c r="X556" s="63"/>
    </row>
    <row r="557" spans="2:24" ht="30" customHeight="1">
      <c r="B557" s="62"/>
      <c r="C557" s="62"/>
      <c r="D557" s="62"/>
      <c r="E557" s="62"/>
      <c r="F557" s="84"/>
      <c r="G557" s="83">
        <v>548</v>
      </c>
      <c r="H557" s="195" t="s">
        <v>2492</v>
      </c>
      <c r="I557" s="182" t="str">
        <f>VLOOKUP(MP_cierre[[#This Row],[OT]],MP_registro[[#All],[OT]:[PROGRAMADO]],9,FALSE)</f>
        <v>G1</v>
      </c>
      <c r="J557" s="170">
        <v>44761</v>
      </c>
      <c r="K557" s="214">
        <v>44760</v>
      </c>
      <c r="L557" s="212">
        <v>0.68055555555555547</v>
      </c>
      <c r="M557" s="212">
        <v>0.72222222222222221</v>
      </c>
      <c r="N557" s="62"/>
      <c r="O557" s="62"/>
      <c r="P557" s="62"/>
      <c r="Q557" s="62"/>
      <c r="R557" s="62"/>
      <c r="S557" s="62"/>
      <c r="T557" s="62"/>
      <c r="U557" s="62"/>
      <c r="V557" s="63"/>
      <c r="W557" s="63"/>
      <c r="X557" s="63"/>
    </row>
    <row r="558" spans="2:24" ht="30" customHeight="1">
      <c r="B558" s="62"/>
      <c r="C558" s="62"/>
      <c r="D558" s="62"/>
      <c r="E558" s="62"/>
      <c r="F558" s="84"/>
      <c r="G558" s="83">
        <v>549</v>
      </c>
      <c r="H558" s="195" t="s">
        <v>2493</v>
      </c>
      <c r="I558" s="182" t="str">
        <f>VLOOKUP(MP_cierre[[#This Row],[OT]],MP_registro[[#All],[OT]:[PROGRAMADO]],9,FALSE)</f>
        <v>G1</v>
      </c>
      <c r="J558" s="170">
        <v>44761</v>
      </c>
      <c r="K558" s="214">
        <v>44760</v>
      </c>
      <c r="L558" s="212">
        <v>0.625</v>
      </c>
      <c r="M558" s="212">
        <v>0.66666666666666663</v>
      </c>
      <c r="N558" s="62"/>
      <c r="O558" s="62"/>
      <c r="P558" s="62"/>
      <c r="Q558" s="62"/>
      <c r="R558" s="62"/>
      <c r="S558" s="62"/>
      <c r="T558" s="62"/>
      <c r="U558" s="62"/>
      <c r="V558" s="63"/>
      <c r="W558" s="63"/>
      <c r="X558" s="63"/>
    </row>
    <row r="559" spans="2:24" ht="30" customHeight="1">
      <c r="B559" s="62"/>
      <c r="C559" s="62"/>
      <c r="D559" s="62"/>
      <c r="E559" s="62"/>
      <c r="F559" s="84"/>
      <c r="G559" s="83">
        <v>550</v>
      </c>
      <c r="H559" s="195" t="s">
        <v>2494</v>
      </c>
      <c r="I559" s="182" t="str">
        <f>VLOOKUP(MP_cierre[[#This Row],[OT]],MP_registro[[#All],[OT]:[PROGRAMADO]],9,FALSE)</f>
        <v>G1</v>
      </c>
      <c r="J559" s="170">
        <v>44761</v>
      </c>
      <c r="K559" s="214">
        <v>44761</v>
      </c>
      <c r="L559" s="212">
        <v>0.625</v>
      </c>
      <c r="M559" s="212">
        <v>0.63888888888888895</v>
      </c>
      <c r="N559" s="62"/>
      <c r="O559" s="62"/>
      <c r="P559" s="62"/>
      <c r="Q559" s="62"/>
      <c r="R559" s="62"/>
      <c r="S559" s="62"/>
      <c r="T559" s="62"/>
      <c r="U559" s="62"/>
      <c r="V559" s="63"/>
      <c r="W559" s="63"/>
      <c r="X559" s="63"/>
    </row>
    <row r="560" spans="2:24" ht="30" customHeight="1">
      <c r="B560" s="62"/>
      <c r="C560" s="62"/>
      <c r="D560" s="62"/>
      <c r="E560" s="62"/>
      <c r="F560" s="84"/>
      <c r="G560" s="83">
        <v>551</v>
      </c>
      <c r="H560" s="196" t="s">
        <v>2495</v>
      </c>
      <c r="I560" s="184" t="str">
        <f>VLOOKUP(MP_cierre[[#This Row],[OT]],MP_registro[[#All],[OT]:[PROGRAMADO]],9,FALSE)</f>
        <v>G2</v>
      </c>
      <c r="J560" s="171">
        <v>44761</v>
      </c>
      <c r="K560" s="215">
        <v>44761</v>
      </c>
      <c r="L560" s="213">
        <v>0.20833333333333334</v>
      </c>
      <c r="M560" s="213">
        <v>0.22916666666666666</v>
      </c>
      <c r="N560" s="62"/>
      <c r="O560" s="62"/>
      <c r="P560" s="62"/>
      <c r="Q560" s="62"/>
      <c r="R560" s="62"/>
      <c r="S560" s="62"/>
      <c r="T560" s="62"/>
      <c r="U560" s="62"/>
      <c r="V560" s="63"/>
      <c r="W560" s="63"/>
      <c r="X560" s="63"/>
    </row>
    <row r="561" spans="2:24" ht="30" customHeight="1">
      <c r="B561" s="62"/>
      <c r="C561" s="62"/>
      <c r="D561" s="62"/>
      <c r="E561" s="62"/>
      <c r="F561" s="84"/>
      <c r="G561" s="83">
        <v>552</v>
      </c>
      <c r="H561" s="195" t="s">
        <v>2497</v>
      </c>
      <c r="I561" s="182" t="str">
        <f>VLOOKUP(MP_cierre[[#This Row],[OT]],MP_registro[[#All],[OT]:[PROGRAMADO]],9,FALSE)</f>
        <v>G2</v>
      </c>
      <c r="J561" s="170">
        <v>44761</v>
      </c>
      <c r="K561" s="214">
        <v>44760</v>
      </c>
      <c r="L561" s="212">
        <v>0.125</v>
      </c>
      <c r="M561" s="212">
        <v>0.14583333333333334</v>
      </c>
      <c r="N561" s="62"/>
      <c r="O561" s="62"/>
      <c r="P561" s="62"/>
      <c r="Q561" s="62"/>
      <c r="R561" s="62"/>
      <c r="S561" s="62"/>
      <c r="T561" s="62"/>
      <c r="U561" s="62"/>
      <c r="V561" s="63"/>
      <c r="W561" s="63"/>
      <c r="X561" s="63"/>
    </row>
    <row r="562" spans="2:24" ht="30" customHeight="1">
      <c r="B562" s="62"/>
      <c r="C562" s="62"/>
      <c r="D562" s="62"/>
      <c r="E562" s="62"/>
      <c r="F562" s="84"/>
      <c r="G562" s="83">
        <v>553</v>
      </c>
      <c r="H562" s="195" t="s">
        <v>2498</v>
      </c>
      <c r="I562" s="182" t="str">
        <f>VLOOKUP(MP_cierre[[#This Row],[OT]],MP_registro[[#All],[OT]:[PROGRAMADO]],9,FALSE)</f>
        <v>G1</v>
      </c>
      <c r="J562" s="170">
        <v>44762</v>
      </c>
      <c r="K562" s="214">
        <v>44761</v>
      </c>
      <c r="L562" s="212">
        <v>0.64236111111111105</v>
      </c>
      <c r="M562" s="212">
        <v>0.65277777777777779</v>
      </c>
      <c r="N562" s="62"/>
      <c r="O562" s="62"/>
      <c r="P562" s="62"/>
      <c r="Q562" s="62"/>
      <c r="R562" s="62"/>
      <c r="S562" s="62"/>
      <c r="T562" s="62"/>
      <c r="U562" s="62"/>
      <c r="V562" s="63"/>
      <c r="W562" s="63"/>
      <c r="X562" s="63"/>
    </row>
    <row r="563" spans="2:24" ht="30" customHeight="1">
      <c r="B563" s="62"/>
      <c r="C563" s="62"/>
      <c r="D563" s="62"/>
      <c r="E563" s="62"/>
      <c r="F563" s="84"/>
      <c r="G563" s="83">
        <v>554</v>
      </c>
      <c r="H563" s="195" t="s">
        <v>2499</v>
      </c>
      <c r="I563" s="182" t="str">
        <f>VLOOKUP(MP_cierre[[#This Row],[OT]],MP_registro[[#All],[OT]:[PROGRAMADO]],9,FALSE)</f>
        <v>G2</v>
      </c>
      <c r="J563" s="170">
        <v>44762</v>
      </c>
      <c r="K563" s="214">
        <v>44760</v>
      </c>
      <c r="L563" s="212">
        <v>0.22916666666666666</v>
      </c>
      <c r="M563" s="212">
        <v>0.25</v>
      </c>
      <c r="N563" s="62"/>
      <c r="O563" s="62"/>
      <c r="P563" s="62"/>
      <c r="Q563" s="62"/>
      <c r="R563" s="62"/>
      <c r="S563" s="62"/>
      <c r="T563" s="62"/>
      <c r="U563" s="62"/>
      <c r="V563" s="63"/>
      <c r="W563" s="63"/>
      <c r="X563" s="63"/>
    </row>
    <row r="564" spans="2:24" ht="30" customHeight="1">
      <c r="B564" s="62"/>
      <c r="C564" s="62"/>
      <c r="D564" s="62"/>
      <c r="E564" s="62"/>
      <c r="F564" s="84"/>
      <c r="G564" s="83">
        <v>555</v>
      </c>
      <c r="H564" s="195" t="s">
        <v>2500</v>
      </c>
      <c r="I564" s="182" t="str">
        <f>VLOOKUP(MP_cierre[[#This Row],[OT]],MP_registro[[#All],[OT]:[PROGRAMADO]],9,FALSE)</f>
        <v>G1</v>
      </c>
      <c r="J564" s="170">
        <v>44762</v>
      </c>
      <c r="K564" s="214">
        <v>44761</v>
      </c>
      <c r="L564" s="212">
        <v>0.65972222222222221</v>
      </c>
      <c r="M564" s="212">
        <v>0.67361111111111116</v>
      </c>
      <c r="N564" s="62"/>
      <c r="O564" s="62"/>
      <c r="P564" s="62"/>
      <c r="Q564" s="62"/>
      <c r="R564" s="62"/>
      <c r="S564" s="62"/>
      <c r="T564" s="62"/>
      <c r="U564" s="62"/>
      <c r="V564" s="63"/>
      <c r="W564" s="63"/>
      <c r="X564" s="63"/>
    </row>
    <row r="565" spans="2:24" ht="30" customHeight="1">
      <c r="B565" s="62"/>
      <c r="C565" s="62"/>
      <c r="D565" s="62"/>
      <c r="E565" s="62"/>
      <c r="F565" s="84"/>
      <c r="G565" s="83">
        <v>556</v>
      </c>
      <c r="H565" s="196" t="s">
        <v>2501</v>
      </c>
      <c r="I565" s="184" t="str">
        <f>VLOOKUP(MP_cierre[[#This Row],[OT]],MP_registro[[#All],[OT]:[PROGRAMADO]],9,FALSE)</f>
        <v>G2</v>
      </c>
      <c r="J565" s="171">
        <v>44762</v>
      </c>
      <c r="K565" s="215">
        <v>44760</v>
      </c>
      <c r="L565" s="213">
        <v>0.20833333333333334</v>
      </c>
      <c r="M565" s="213">
        <v>0.22916666666666666</v>
      </c>
      <c r="N565" s="62"/>
      <c r="O565" s="62"/>
      <c r="P565" s="62"/>
      <c r="Q565" s="62"/>
      <c r="R565" s="62"/>
      <c r="S565" s="62"/>
      <c r="T565" s="62"/>
      <c r="U565" s="62"/>
      <c r="V565" s="63"/>
      <c r="W565" s="63"/>
      <c r="X565" s="63"/>
    </row>
    <row r="566" spans="2:24" ht="30" customHeight="1">
      <c r="B566" s="62"/>
      <c r="C566" s="62"/>
      <c r="D566" s="62"/>
      <c r="E566" s="62"/>
      <c r="F566" s="84"/>
      <c r="G566" s="83">
        <v>557</v>
      </c>
      <c r="H566" s="196" t="s">
        <v>2503</v>
      </c>
      <c r="I566" s="184" t="str">
        <f>VLOOKUP(MP_cierre[[#This Row],[OT]],MP_registro[[#All],[OT]:[PROGRAMADO]],9,FALSE)</f>
        <v>G3</v>
      </c>
      <c r="J566" s="171">
        <v>44763</v>
      </c>
      <c r="K566" s="215">
        <v>44765</v>
      </c>
      <c r="L566" s="213">
        <v>0.6875</v>
      </c>
      <c r="M566" s="213">
        <v>0.70972222222222225</v>
      </c>
      <c r="N566" s="62"/>
      <c r="O566" s="62"/>
      <c r="P566" s="62"/>
      <c r="Q566" s="62"/>
      <c r="R566" s="62"/>
      <c r="S566" s="62"/>
      <c r="T566" s="62"/>
      <c r="U566" s="62"/>
      <c r="V566" s="63"/>
      <c r="W566" s="63"/>
      <c r="X566" s="63"/>
    </row>
    <row r="567" spans="2:24" ht="30" customHeight="1">
      <c r="B567" s="62"/>
      <c r="C567" s="62"/>
      <c r="D567" s="62"/>
      <c r="E567" s="62"/>
      <c r="F567" s="84"/>
      <c r="G567" s="83">
        <v>558</v>
      </c>
      <c r="H567" s="195" t="s">
        <v>2504</v>
      </c>
      <c r="I567" s="182" t="str">
        <f>VLOOKUP(MP_cierre[[#This Row],[OT]],MP_registro[[#All],[OT]:[PROGRAMADO]],9,FALSE)</f>
        <v>G3</v>
      </c>
      <c r="J567" s="170">
        <v>44763</v>
      </c>
      <c r="K567" s="214">
        <v>44768</v>
      </c>
      <c r="L567" s="212">
        <v>0.58333333333333337</v>
      </c>
      <c r="M567" s="212">
        <v>0.625</v>
      </c>
      <c r="N567" s="62"/>
      <c r="O567" s="62"/>
      <c r="P567" s="62"/>
      <c r="Q567" s="62"/>
      <c r="R567" s="62"/>
      <c r="S567" s="62"/>
      <c r="T567" s="62"/>
      <c r="U567" s="62"/>
      <c r="V567" s="63"/>
      <c r="W567" s="63"/>
      <c r="X567" s="63"/>
    </row>
    <row r="568" spans="2:24" ht="30" customHeight="1">
      <c r="B568" s="62"/>
      <c r="C568" s="62"/>
      <c r="D568" s="62"/>
      <c r="E568" s="62"/>
      <c r="F568" s="84"/>
      <c r="G568" s="83">
        <v>559</v>
      </c>
      <c r="H568" s="195" t="s">
        <v>2505</v>
      </c>
      <c r="I568" s="182" t="str">
        <f>VLOOKUP(MP_cierre[[#This Row],[OT]],MP_registro[[#All],[OT]:[PROGRAMADO]],9,FALSE)</f>
        <v>G3</v>
      </c>
      <c r="J568" s="170">
        <v>44763</v>
      </c>
      <c r="K568" s="214">
        <v>44764</v>
      </c>
      <c r="L568" s="212">
        <v>0.41666666666666669</v>
      </c>
      <c r="M568" s="212">
        <v>0.4375</v>
      </c>
      <c r="N568" s="62"/>
      <c r="O568" s="62"/>
      <c r="P568" s="62"/>
      <c r="Q568" s="62"/>
      <c r="R568" s="62"/>
      <c r="S568" s="62"/>
      <c r="T568" s="62"/>
      <c r="U568" s="62"/>
      <c r="V568" s="63"/>
      <c r="W568" s="63"/>
      <c r="X568" s="63"/>
    </row>
    <row r="569" spans="2:24" ht="30" customHeight="1">
      <c r="B569" s="62"/>
      <c r="C569" s="62"/>
      <c r="D569" s="62"/>
      <c r="E569" s="62"/>
      <c r="F569" s="84"/>
      <c r="G569" s="83">
        <v>560</v>
      </c>
      <c r="H569" s="195" t="s">
        <v>2506</v>
      </c>
      <c r="I569" s="182" t="str">
        <f>VLOOKUP(MP_cierre[[#This Row],[OT]],MP_registro[[#All],[OT]:[PROGRAMADO]],9,FALSE)</f>
        <v>G3</v>
      </c>
      <c r="J569" s="170">
        <v>44763</v>
      </c>
      <c r="K569" s="214">
        <v>44764</v>
      </c>
      <c r="L569" s="212">
        <v>0.58333333333333337</v>
      </c>
      <c r="M569" s="212">
        <v>0.60555555555555551</v>
      </c>
      <c r="N569" s="62"/>
      <c r="O569" s="62"/>
      <c r="P569" s="62"/>
      <c r="Q569" s="62"/>
      <c r="R569" s="62"/>
      <c r="S569" s="62"/>
      <c r="T569" s="62"/>
      <c r="U569" s="62"/>
      <c r="V569" s="63"/>
      <c r="W569" s="63"/>
      <c r="X569" s="63"/>
    </row>
    <row r="570" spans="2:24" ht="30" customHeight="1">
      <c r="B570" s="62"/>
      <c r="C570" s="62"/>
      <c r="D570" s="62"/>
      <c r="E570" s="62"/>
      <c r="F570" s="84"/>
      <c r="G570" s="83">
        <v>561</v>
      </c>
      <c r="H570" s="195" t="s">
        <v>2507</v>
      </c>
      <c r="I570" s="182" t="str">
        <f>VLOOKUP(MP_cierre[[#This Row],[OT]],MP_registro[[#All],[OT]:[PROGRAMADO]],9,FALSE)</f>
        <v>G3</v>
      </c>
      <c r="J570" s="170">
        <v>44763</v>
      </c>
      <c r="K570" s="214">
        <v>44764</v>
      </c>
      <c r="L570" s="212">
        <v>0.61458333333333337</v>
      </c>
      <c r="M570" s="212">
        <v>0.63750000000000007</v>
      </c>
      <c r="N570" s="62"/>
      <c r="O570" s="62"/>
      <c r="P570" s="62"/>
      <c r="Q570" s="62"/>
      <c r="R570" s="62"/>
      <c r="S570" s="62"/>
      <c r="T570" s="62"/>
      <c r="U570" s="62"/>
      <c r="V570" s="63"/>
      <c r="W570" s="63"/>
      <c r="X570" s="63"/>
    </row>
    <row r="571" spans="2:24" ht="30" customHeight="1">
      <c r="B571" s="62"/>
      <c r="C571" s="62"/>
      <c r="D571" s="62"/>
      <c r="E571" s="62"/>
      <c r="F571" s="84"/>
      <c r="G571" s="83">
        <v>562</v>
      </c>
      <c r="H571" s="195" t="s">
        <v>2508</v>
      </c>
      <c r="I571" s="182" t="str">
        <f>VLOOKUP(MP_cierre[[#This Row],[OT]],MP_registro[[#All],[OT]:[PROGRAMADO]],9,FALSE)</f>
        <v>G3</v>
      </c>
      <c r="J571" s="170">
        <v>44763</v>
      </c>
      <c r="K571" s="214">
        <v>44764</v>
      </c>
      <c r="L571" s="212">
        <v>0.65625</v>
      </c>
      <c r="M571" s="212">
        <v>0.67708333333333337</v>
      </c>
      <c r="N571" s="62"/>
      <c r="O571" s="62"/>
      <c r="P571" s="62"/>
      <c r="Q571" s="62"/>
      <c r="R571" s="62"/>
      <c r="S571" s="62"/>
      <c r="T571" s="62"/>
      <c r="U571" s="62"/>
      <c r="V571" s="63"/>
      <c r="W571" s="63"/>
      <c r="X571" s="63"/>
    </row>
    <row r="572" spans="2:24" ht="30" customHeight="1">
      <c r="B572" s="62"/>
      <c r="C572" s="62"/>
      <c r="D572" s="62"/>
      <c r="E572" s="62"/>
      <c r="F572" s="84"/>
      <c r="G572" s="83">
        <v>563</v>
      </c>
      <c r="H572" s="195" t="s">
        <v>2509</v>
      </c>
      <c r="I572" s="182" t="str">
        <f>VLOOKUP(MP_cierre[[#This Row],[OT]],MP_registro[[#All],[OT]:[PROGRAMADO]],9,FALSE)</f>
        <v>G3</v>
      </c>
      <c r="J572" s="170">
        <v>44764</v>
      </c>
      <c r="K572" s="214">
        <v>44766</v>
      </c>
      <c r="L572" s="212">
        <v>0.70833333333333337</v>
      </c>
      <c r="M572" s="212">
        <v>0.74305555555555547</v>
      </c>
      <c r="N572" s="62"/>
      <c r="O572" s="62"/>
      <c r="P572" s="62"/>
      <c r="Q572" s="62"/>
      <c r="R572" s="62"/>
      <c r="S572" s="62"/>
      <c r="T572" s="62"/>
      <c r="U572" s="62"/>
      <c r="V572" s="63"/>
      <c r="W572" s="63"/>
      <c r="X572" s="63"/>
    </row>
    <row r="573" spans="2:24" ht="30" customHeight="1">
      <c r="B573" s="62"/>
      <c r="C573" s="62"/>
      <c r="D573" s="62"/>
      <c r="E573" s="62"/>
      <c r="F573" s="84"/>
      <c r="G573" s="83">
        <v>564</v>
      </c>
      <c r="H573" s="195" t="s">
        <v>2510</v>
      </c>
      <c r="I573" s="182" t="str">
        <f>VLOOKUP(MP_cierre[[#This Row],[OT]],MP_registro[[#All],[OT]:[PROGRAMADO]],9,FALSE)</f>
        <v>G1</v>
      </c>
      <c r="J573" s="170">
        <v>44764</v>
      </c>
      <c r="K573" s="214">
        <v>44767</v>
      </c>
      <c r="L573" s="212">
        <v>4.1666666666666664E-2</v>
      </c>
      <c r="M573" s="212">
        <v>6.25E-2</v>
      </c>
      <c r="N573" s="62"/>
      <c r="O573" s="62"/>
      <c r="P573" s="62"/>
      <c r="Q573" s="62"/>
      <c r="R573" s="62"/>
      <c r="S573" s="62"/>
      <c r="T573" s="62"/>
      <c r="U573" s="62"/>
      <c r="V573" s="63"/>
      <c r="W573" s="63"/>
      <c r="X573" s="63"/>
    </row>
    <row r="574" spans="2:24" ht="30" customHeight="1">
      <c r="B574" s="62"/>
      <c r="C574" s="62"/>
      <c r="D574" s="62"/>
      <c r="E574" s="62"/>
      <c r="F574" s="84"/>
      <c r="G574" s="83">
        <v>565</v>
      </c>
      <c r="H574" s="195" t="s">
        <v>2511</v>
      </c>
      <c r="I574" s="182" t="str">
        <f>VLOOKUP(MP_cierre[[#This Row],[OT]],MP_registro[[#All],[OT]:[PROGRAMADO]],9,FALSE)</f>
        <v>G3</v>
      </c>
      <c r="J574" s="170">
        <v>44764</v>
      </c>
      <c r="K574" s="214">
        <v>44766</v>
      </c>
      <c r="L574" s="212">
        <v>0.58333333333333337</v>
      </c>
      <c r="M574" s="212">
        <v>0.60069444444444442</v>
      </c>
      <c r="N574" s="62"/>
      <c r="O574" s="62"/>
      <c r="P574" s="62"/>
      <c r="Q574" s="62"/>
      <c r="R574" s="62"/>
      <c r="S574" s="62"/>
      <c r="T574" s="62"/>
      <c r="U574" s="62"/>
      <c r="V574" s="63"/>
      <c r="W574" s="63"/>
      <c r="X574" s="63"/>
    </row>
    <row r="575" spans="2:24" ht="30" customHeight="1">
      <c r="B575" s="62"/>
      <c r="C575" s="62"/>
      <c r="D575" s="62"/>
      <c r="E575" s="62"/>
      <c r="F575" s="84"/>
      <c r="G575" s="83">
        <v>566</v>
      </c>
      <c r="H575" s="195" t="s">
        <v>2512</v>
      </c>
      <c r="I575" s="182" t="str">
        <f>VLOOKUP(MP_cierre[[#This Row],[OT]],MP_registro[[#All],[OT]:[PROGRAMADO]],9,FALSE)</f>
        <v>G3</v>
      </c>
      <c r="J575" s="170">
        <v>44764</v>
      </c>
      <c r="K575" s="214">
        <v>44766</v>
      </c>
      <c r="L575" s="212">
        <v>0.62847222222222221</v>
      </c>
      <c r="M575" s="212">
        <v>0.64583333333333337</v>
      </c>
      <c r="N575" s="62"/>
      <c r="O575" s="62"/>
      <c r="P575" s="62"/>
      <c r="Q575" s="62"/>
      <c r="R575" s="62"/>
      <c r="S575" s="62"/>
      <c r="T575" s="62"/>
      <c r="U575" s="62"/>
      <c r="V575" s="63"/>
      <c r="W575" s="63"/>
      <c r="X575" s="63"/>
    </row>
    <row r="576" spans="2:24" ht="30" customHeight="1">
      <c r="B576" s="62"/>
      <c r="C576" s="62"/>
      <c r="D576" s="62"/>
      <c r="E576" s="62"/>
      <c r="F576" s="84"/>
      <c r="G576" s="83">
        <v>567</v>
      </c>
      <c r="H576" s="196" t="s">
        <v>2513</v>
      </c>
      <c r="I576" s="184" t="str">
        <f>VLOOKUP(MP_cierre[[#This Row],[OT]],MP_registro[[#All],[OT]:[PROGRAMADO]],9,FALSE)</f>
        <v>G1</v>
      </c>
      <c r="J576" s="171">
        <v>44764</v>
      </c>
      <c r="K576" s="215">
        <v>44768</v>
      </c>
      <c r="L576" s="213">
        <v>0.13541666666666666</v>
      </c>
      <c r="M576" s="213">
        <v>0.14583333333333334</v>
      </c>
      <c r="N576" s="62"/>
      <c r="O576" s="62"/>
      <c r="P576" s="62"/>
      <c r="Q576" s="62"/>
      <c r="R576" s="62"/>
      <c r="S576" s="62"/>
      <c r="T576" s="62"/>
      <c r="U576" s="62"/>
      <c r="V576" s="63"/>
      <c r="W576" s="63"/>
      <c r="X576" s="63"/>
    </row>
    <row r="577" spans="2:24" ht="30" customHeight="1">
      <c r="B577" s="62"/>
      <c r="C577" s="62"/>
      <c r="D577" s="62"/>
      <c r="E577" s="62"/>
      <c r="F577" s="84"/>
      <c r="G577" s="83">
        <v>568</v>
      </c>
      <c r="H577" s="195" t="s">
        <v>2514</v>
      </c>
      <c r="I577" s="182" t="str">
        <f>VLOOKUP(MP_cierre[[#This Row],[OT]],MP_registro[[#All],[OT]:[PROGRAMADO]],9,FALSE)</f>
        <v>G1</v>
      </c>
      <c r="J577" s="170">
        <v>44764</v>
      </c>
      <c r="K577" s="214">
        <v>44768</v>
      </c>
      <c r="L577" s="212">
        <v>9.7222222222222224E-2</v>
      </c>
      <c r="M577" s="212">
        <v>0.1111111111111111</v>
      </c>
      <c r="N577" s="62"/>
      <c r="O577" s="62"/>
      <c r="P577" s="62"/>
      <c r="Q577" s="62"/>
      <c r="R577" s="62"/>
      <c r="S577" s="62"/>
      <c r="T577" s="62"/>
      <c r="U577" s="62"/>
      <c r="V577" s="63"/>
      <c r="W577" s="63"/>
      <c r="X577" s="63"/>
    </row>
    <row r="578" spans="2:24" ht="30" customHeight="1">
      <c r="B578" s="62"/>
      <c r="C578" s="62"/>
      <c r="D578" s="62"/>
      <c r="E578" s="62"/>
      <c r="F578" s="84"/>
      <c r="G578" s="83">
        <v>569</v>
      </c>
      <c r="H578" s="195" t="s">
        <v>2516</v>
      </c>
      <c r="I578" s="182" t="str">
        <f>VLOOKUP(MP_cierre[[#This Row],[OT]],MP_registro[[#All],[OT]:[PROGRAMADO]],9,FALSE)</f>
        <v>G3</v>
      </c>
      <c r="J578" s="170">
        <v>44765</v>
      </c>
      <c r="K578" s="214">
        <v>44765</v>
      </c>
      <c r="L578" s="212">
        <v>0.61458333333333337</v>
      </c>
      <c r="M578" s="212">
        <v>0.63541666666666663</v>
      </c>
      <c r="N578" s="62"/>
      <c r="O578" s="62"/>
      <c r="P578" s="62"/>
      <c r="Q578" s="62"/>
      <c r="R578" s="62"/>
      <c r="S578" s="62"/>
      <c r="T578" s="62"/>
      <c r="U578" s="62"/>
      <c r="V578" s="63"/>
      <c r="W578" s="63"/>
      <c r="X578" s="63"/>
    </row>
    <row r="579" spans="2:24" ht="30" customHeight="1">
      <c r="B579" s="62"/>
      <c r="C579" s="62"/>
      <c r="D579" s="62"/>
      <c r="E579" s="62"/>
      <c r="F579" s="84"/>
      <c r="G579" s="83">
        <v>570</v>
      </c>
      <c r="H579" s="195" t="s">
        <v>2517</v>
      </c>
      <c r="I579" s="182" t="str">
        <f>VLOOKUP(MP_cierre[[#This Row],[OT]],MP_registro[[#All],[OT]:[PROGRAMADO]],9,FALSE)</f>
        <v>G3</v>
      </c>
      <c r="J579" s="170">
        <v>44765</v>
      </c>
      <c r="K579" s="214">
        <v>44765</v>
      </c>
      <c r="L579" s="212">
        <v>0.58333333333333337</v>
      </c>
      <c r="M579" s="212">
        <v>0.60416666666666663</v>
      </c>
      <c r="N579" s="62"/>
      <c r="O579" s="62"/>
      <c r="P579" s="62"/>
      <c r="Q579" s="62"/>
      <c r="R579" s="62"/>
      <c r="S579" s="62"/>
      <c r="T579" s="62"/>
      <c r="U579" s="62"/>
      <c r="V579" s="63"/>
      <c r="W579" s="63"/>
      <c r="X579" s="63"/>
    </row>
    <row r="580" spans="2:24" ht="30" customHeight="1">
      <c r="B580" s="62"/>
      <c r="C580" s="62"/>
      <c r="D580" s="62"/>
      <c r="E580" s="62"/>
      <c r="F580" s="84"/>
      <c r="G580" s="83">
        <v>571</v>
      </c>
      <c r="H580" s="195" t="s">
        <v>2518</v>
      </c>
      <c r="I580" s="182" t="str">
        <f>VLOOKUP(MP_cierre[[#This Row],[OT]],MP_registro[[#All],[OT]:[PROGRAMADO]],9,FALSE)</f>
        <v>G1</v>
      </c>
      <c r="J580" s="170">
        <v>44765</v>
      </c>
      <c r="K580" s="214">
        <v>44768</v>
      </c>
      <c r="L580" s="212">
        <v>7.2916666666666671E-2</v>
      </c>
      <c r="M580" s="212">
        <v>9.375E-2</v>
      </c>
      <c r="N580" s="62"/>
      <c r="O580" s="62"/>
      <c r="P580" s="62"/>
      <c r="Q580" s="62"/>
      <c r="R580" s="62"/>
      <c r="S580" s="62"/>
      <c r="T580" s="62"/>
      <c r="U580" s="62"/>
      <c r="V580" s="63"/>
      <c r="W580" s="63"/>
      <c r="X580" s="63"/>
    </row>
    <row r="581" spans="2:24" ht="30" customHeight="1">
      <c r="B581" s="62"/>
      <c r="C581" s="62"/>
      <c r="D581" s="62"/>
      <c r="E581" s="62"/>
      <c r="F581" s="84"/>
      <c r="G581" s="83">
        <v>572</v>
      </c>
      <c r="H581" s="195" t="s">
        <v>2519</v>
      </c>
      <c r="I581" s="182" t="str">
        <f>VLOOKUP(MP_cierre[[#This Row],[OT]],MP_registro[[#All],[OT]:[PROGRAMADO]],9,FALSE)</f>
        <v>G1</v>
      </c>
      <c r="J581" s="170">
        <v>44765</v>
      </c>
      <c r="K581" s="214">
        <v>44768</v>
      </c>
      <c r="L581" s="212">
        <v>4.1666666666666664E-2</v>
      </c>
      <c r="M581" s="212">
        <v>6.25E-2</v>
      </c>
      <c r="N581" s="62"/>
      <c r="O581" s="62"/>
      <c r="P581" s="62"/>
      <c r="Q581" s="62"/>
      <c r="R581" s="62"/>
      <c r="S581" s="62"/>
      <c r="T581" s="62"/>
      <c r="U581" s="62"/>
      <c r="V581" s="63"/>
      <c r="W581" s="63"/>
      <c r="X581" s="63"/>
    </row>
    <row r="582" spans="2:24" ht="30" customHeight="1">
      <c r="B582" s="62"/>
      <c r="C582" s="62"/>
      <c r="D582" s="62"/>
      <c r="E582" s="62"/>
      <c r="F582" s="84"/>
      <c r="G582" s="83">
        <v>573</v>
      </c>
      <c r="H582" s="195" t="s">
        <v>2520</v>
      </c>
      <c r="I582" s="182" t="str">
        <f>VLOOKUP(MP_cierre[[#This Row],[OT]],MP_registro[[#All],[OT]:[PROGRAMADO]],9,FALSE)</f>
        <v>G3</v>
      </c>
      <c r="J582" s="170">
        <v>44766</v>
      </c>
      <c r="K582" s="214">
        <v>44765</v>
      </c>
      <c r="L582" s="212">
        <v>0.65277777777777779</v>
      </c>
      <c r="M582" s="212">
        <v>0.67499999999999993</v>
      </c>
      <c r="N582" s="62"/>
      <c r="O582" s="62"/>
      <c r="P582" s="62"/>
      <c r="Q582" s="62"/>
      <c r="R582" s="62"/>
      <c r="S582" s="62"/>
      <c r="T582" s="62"/>
      <c r="U582" s="62"/>
      <c r="V582" s="63"/>
      <c r="W582" s="63"/>
      <c r="X582" s="63"/>
    </row>
    <row r="583" spans="2:24" ht="30" customHeight="1">
      <c r="B583" s="62"/>
      <c r="C583" s="62"/>
      <c r="D583" s="62"/>
      <c r="E583" s="62"/>
      <c r="F583" s="84"/>
      <c r="G583" s="83">
        <v>574</v>
      </c>
      <c r="H583" s="195" t="s">
        <v>2521</v>
      </c>
      <c r="I583" s="182" t="str">
        <f>VLOOKUP(MP_cierre[[#This Row],[OT]],MP_registro[[#All],[OT]:[PROGRAMADO]],9,FALSE)</f>
        <v>G1</v>
      </c>
      <c r="J583" s="170">
        <v>44766</v>
      </c>
      <c r="K583" s="214">
        <v>44763</v>
      </c>
      <c r="L583" s="212">
        <v>0.97916666666666663</v>
      </c>
      <c r="M583" s="212">
        <v>0</v>
      </c>
      <c r="N583" s="62"/>
      <c r="O583" s="62"/>
      <c r="P583" s="62"/>
      <c r="Q583" s="62"/>
      <c r="R583" s="62"/>
      <c r="S583" s="62"/>
      <c r="T583" s="62"/>
      <c r="U583" s="62"/>
      <c r="V583" s="63"/>
      <c r="W583" s="63"/>
      <c r="X583" s="63"/>
    </row>
    <row r="584" spans="2:24" ht="30" customHeight="1">
      <c r="B584" s="62"/>
      <c r="C584" s="62"/>
      <c r="D584" s="62"/>
      <c r="E584" s="62"/>
      <c r="F584" s="84"/>
      <c r="G584" s="83">
        <v>575</v>
      </c>
      <c r="H584" s="195" t="s">
        <v>2522</v>
      </c>
      <c r="I584" s="182" t="str">
        <f>VLOOKUP(MP_cierre[[#This Row],[OT]],MP_registro[[#All],[OT]:[PROGRAMADO]],9,FALSE)</f>
        <v>G4</v>
      </c>
      <c r="J584" s="170">
        <v>44766</v>
      </c>
      <c r="K584" s="214">
        <v>44767</v>
      </c>
      <c r="L584" s="212">
        <v>0.39583333333333331</v>
      </c>
      <c r="M584" s="212">
        <v>0.41666666666666669</v>
      </c>
      <c r="N584" s="62"/>
      <c r="O584" s="62"/>
      <c r="P584" s="62"/>
      <c r="Q584" s="62"/>
      <c r="R584" s="62"/>
      <c r="S584" s="62"/>
      <c r="T584" s="62"/>
      <c r="U584" s="62"/>
      <c r="V584" s="63"/>
      <c r="W584" s="63"/>
      <c r="X584" s="63"/>
    </row>
    <row r="585" spans="2:24" ht="30" customHeight="1">
      <c r="B585" s="62"/>
      <c r="C585" s="62"/>
      <c r="D585" s="62"/>
      <c r="E585" s="62"/>
      <c r="F585" s="84"/>
      <c r="G585" s="83">
        <v>576</v>
      </c>
      <c r="H585" s="196" t="s">
        <v>2523</v>
      </c>
      <c r="I585" s="184" t="str">
        <f>VLOOKUP(MP_cierre[[#This Row],[OT]],MP_registro[[#All],[OT]:[PROGRAMADO]],9,FALSE)</f>
        <v>G3</v>
      </c>
      <c r="J585" s="171">
        <v>44766</v>
      </c>
      <c r="K585" s="215">
        <v>44764</v>
      </c>
      <c r="L585" s="213">
        <v>0.45</v>
      </c>
      <c r="M585" s="213">
        <v>0.47222222222222227</v>
      </c>
      <c r="N585" s="62"/>
      <c r="O585" s="62"/>
      <c r="P585" s="62"/>
      <c r="Q585" s="62"/>
      <c r="R585" s="62"/>
      <c r="S585" s="62"/>
      <c r="T585" s="62"/>
      <c r="U585" s="62"/>
      <c r="V585" s="63"/>
      <c r="W585" s="63"/>
      <c r="X585" s="63"/>
    </row>
    <row r="586" spans="2:24" ht="30" customHeight="1">
      <c r="B586" s="62"/>
      <c r="C586" s="62"/>
      <c r="D586" s="62"/>
      <c r="E586" s="62"/>
      <c r="F586" s="84"/>
      <c r="G586" s="83">
        <v>577</v>
      </c>
      <c r="H586" s="195" t="s">
        <v>2524</v>
      </c>
      <c r="I586" s="182" t="str">
        <f>VLOOKUP(MP_cierre[[#This Row],[OT]],MP_registro[[#All],[OT]:[PROGRAMADO]],9,FALSE)</f>
        <v>G3</v>
      </c>
      <c r="J586" s="170">
        <v>44766</v>
      </c>
      <c r="K586" s="214">
        <v>44764</v>
      </c>
      <c r="L586" s="212">
        <v>0.4826388888888889</v>
      </c>
      <c r="M586" s="212">
        <v>0.5</v>
      </c>
      <c r="N586" s="62"/>
      <c r="O586" s="62"/>
      <c r="P586" s="62"/>
      <c r="Q586" s="62"/>
      <c r="R586" s="62"/>
      <c r="S586" s="62"/>
      <c r="T586" s="62"/>
      <c r="U586" s="62"/>
      <c r="V586" s="63"/>
      <c r="W586" s="63"/>
      <c r="X586" s="63"/>
    </row>
    <row r="587" spans="2:24" ht="30" customHeight="1">
      <c r="B587" s="62"/>
      <c r="C587" s="62"/>
      <c r="D587" s="62"/>
      <c r="E587" s="62"/>
      <c r="F587" s="84"/>
      <c r="G587" s="83">
        <v>578</v>
      </c>
      <c r="H587" s="195" t="s">
        <v>2526</v>
      </c>
      <c r="I587" s="182" t="str">
        <f>VLOOKUP(MP_cierre[[#This Row],[OT]],MP_registro[[#All],[OT]:[PROGRAMADO]],9,FALSE)</f>
        <v>G3</v>
      </c>
      <c r="J587" s="170">
        <v>44767</v>
      </c>
      <c r="K587" s="214">
        <v>44772</v>
      </c>
      <c r="L587" s="212">
        <v>0.9375</v>
      </c>
      <c r="M587" s="212">
        <v>0.97222222222222221</v>
      </c>
      <c r="N587" s="62"/>
      <c r="O587" s="62"/>
      <c r="P587" s="62"/>
      <c r="Q587" s="62"/>
      <c r="R587" s="62"/>
      <c r="S587" s="62"/>
      <c r="T587" s="62"/>
      <c r="U587" s="62"/>
      <c r="V587" s="63"/>
      <c r="W587" s="63"/>
      <c r="X587" s="63"/>
    </row>
    <row r="588" spans="2:24" ht="30" customHeight="1">
      <c r="B588" s="62"/>
      <c r="C588" s="62"/>
      <c r="D588" s="62"/>
      <c r="E588" s="62"/>
      <c r="F588" s="84"/>
      <c r="G588" s="83">
        <v>579</v>
      </c>
      <c r="H588" s="196" t="s">
        <v>2527</v>
      </c>
      <c r="I588" s="184" t="str">
        <f>VLOOKUP(MP_cierre[[#This Row],[OT]],MP_registro[[#All],[OT]:[PROGRAMADO]],9,FALSE)</f>
        <v>G3</v>
      </c>
      <c r="J588" s="171">
        <v>44767</v>
      </c>
      <c r="K588" s="215">
        <v>44768</v>
      </c>
      <c r="L588" s="213">
        <v>0.47916666666666669</v>
      </c>
      <c r="M588" s="213">
        <v>0.5</v>
      </c>
      <c r="N588" s="62"/>
      <c r="O588" s="62"/>
      <c r="P588" s="62"/>
      <c r="Q588" s="62"/>
      <c r="R588" s="62"/>
      <c r="S588" s="62"/>
      <c r="T588" s="62"/>
      <c r="U588" s="62"/>
      <c r="V588" s="63"/>
      <c r="W588" s="63"/>
      <c r="X588" s="63"/>
    </row>
    <row r="589" spans="2:24" ht="30" customHeight="1">
      <c r="B589" s="62"/>
      <c r="C589" s="62"/>
      <c r="D589" s="62"/>
      <c r="E589" s="62"/>
      <c r="F589" s="84"/>
      <c r="G589" s="83">
        <v>580</v>
      </c>
      <c r="H589" s="195" t="s">
        <v>2528</v>
      </c>
      <c r="I589" s="182" t="str">
        <f>VLOOKUP(MP_cierre[[#This Row],[OT]],MP_registro[[#All],[OT]:[PROGRAMADO]],9,FALSE)</f>
        <v>G3</v>
      </c>
      <c r="J589" s="170">
        <v>44767</v>
      </c>
      <c r="K589" s="214">
        <v>44768</v>
      </c>
      <c r="L589" s="212">
        <v>0.4375</v>
      </c>
      <c r="M589" s="212">
        <v>0.46180555555555558</v>
      </c>
      <c r="N589" s="62"/>
      <c r="O589" s="62"/>
      <c r="P589" s="62"/>
      <c r="Q589" s="62"/>
      <c r="R589" s="62"/>
      <c r="S589" s="62"/>
      <c r="T589" s="62"/>
      <c r="U589" s="62"/>
      <c r="V589" s="63"/>
      <c r="W589" s="63"/>
      <c r="X589" s="63"/>
    </row>
    <row r="590" spans="2:24" ht="30" customHeight="1">
      <c r="B590" s="62"/>
      <c r="C590" s="62"/>
      <c r="D590" s="62"/>
      <c r="E590" s="62"/>
      <c r="F590" s="84"/>
      <c r="G590" s="83">
        <v>581</v>
      </c>
      <c r="H590" s="196" t="s">
        <v>2529</v>
      </c>
      <c r="I590" s="184" t="str">
        <f>VLOOKUP(MP_cierre[[#This Row],[OT]],MP_registro[[#All],[OT]:[PROGRAMADO]],9,FALSE)</f>
        <v>G3</v>
      </c>
      <c r="J590" s="171">
        <v>44767</v>
      </c>
      <c r="K590" s="215">
        <v>44767</v>
      </c>
      <c r="L590" s="213">
        <v>0.59722222222222221</v>
      </c>
      <c r="M590" s="213">
        <v>0.62222222222222223</v>
      </c>
      <c r="N590" s="62"/>
      <c r="O590" s="62"/>
      <c r="P590" s="62"/>
      <c r="Q590" s="62"/>
      <c r="R590" s="62"/>
      <c r="S590" s="62"/>
      <c r="T590" s="62"/>
      <c r="U590" s="62"/>
      <c r="V590" s="63"/>
      <c r="W590" s="63"/>
      <c r="X590" s="63"/>
    </row>
    <row r="591" spans="2:24" ht="30" customHeight="1">
      <c r="B591" s="62"/>
      <c r="C591" s="62"/>
      <c r="D591" s="62"/>
      <c r="E591" s="62"/>
      <c r="F591" s="84"/>
      <c r="G591" s="83">
        <v>582</v>
      </c>
      <c r="H591" s="196" t="s">
        <v>2530</v>
      </c>
      <c r="I591" s="184" t="str">
        <f>VLOOKUP(MP_cierre[[#This Row],[OT]],MP_registro[[#All],[OT]:[PROGRAMADO]],9,FALSE)</f>
        <v>G3</v>
      </c>
      <c r="J591" s="171">
        <v>44768</v>
      </c>
      <c r="K591" s="215">
        <v>44772</v>
      </c>
      <c r="L591" s="213">
        <v>0.85416666666666663</v>
      </c>
      <c r="M591" s="213">
        <v>0.88541666666666663</v>
      </c>
      <c r="N591" s="62"/>
      <c r="O591" s="62"/>
      <c r="P591" s="62"/>
      <c r="Q591" s="62"/>
      <c r="R591" s="62"/>
      <c r="S591" s="62"/>
      <c r="T591" s="62"/>
      <c r="U591" s="62"/>
      <c r="V591" s="63"/>
      <c r="W591" s="63"/>
      <c r="X591" s="63"/>
    </row>
    <row r="592" spans="2:24" ht="30" customHeight="1">
      <c r="B592" s="62"/>
      <c r="C592" s="62"/>
      <c r="D592" s="62"/>
      <c r="E592" s="62"/>
      <c r="F592" s="84"/>
      <c r="G592" s="83">
        <v>583</v>
      </c>
      <c r="H592" s="195" t="s">
        <v>2531</v>
      </c>
      <c r="I592" s="182" t="str">
        <f>VLOOKUP(MP_cierre[[#This Row],[OT]],MP_registro[[#All],[OT]:[PROGRAMADO]],9,FALSE)</f>
        <v>G3</v>
      </c>
      <c r="J592" s="170">
        <v>44768</v>
      </c>
      <c r="K592" s="214">
        <v>44772</v>
      </c>
      <c r="L592" s="212">
        <v>0.89583333333333337</v>
      </c>
      <c r="M592" s="212">
        <v>0.92708333333333337</v>
      </c>
      <c r="N592" s="62"/>
      <c r="O592" s="62"/>
      <c r="P592" s="62"/>
      <c r="Q592" s="62"/>
      <c r="R592" s="62"/>
      <c r="S592" s="62"/>
      <c r="T592" s="62"/>
      <c r="U592" s="62"/>
      <c r="V592" s="63"/>
      <c r="W592" s="63"/>
      <c r="X592" s="63"/>
    </row>
    <row r="593" spans="2:24" ht="30" customHeight="1">
      <c r="B593" s="62"/>
      <c r="C593" s="62"/>
      <c r="D593" s="62"/>
      <c r="E593" s="62"/>
      <c r="F593" s="84"/>
      <c r="G593" s="83">
        <v>584</v>
      </c>
      <c r="H593" s="195" t="s">
        <v>2532</v>
      </c>
      <c r="I593" s="182" t="str">
        <f>VLOOKUP(MP_cierre[[#This Row],[OT]],MP_registro[[#All],[OT]:[PROGRAMADO]],9,FALSE)</f>
        <v>G3</v>
      </c>
      <c r="J593" s="170">
        <v>44768</v>
      </c>
      <c r="K593" s="214">
        <v>44773</v>
      </c>
      <c r="L593" s="212">
        <v>0.875</v>
      </c>
      <c r="M593" s="212">
        <v>0.94791666666666663</v>
      </c>
      <c r="N593" s="62"/>
      <c r="O593" s="62"/>
      <c r="P593" s="62"/>
      <c r="Q593" s="62"/>
      <c r="R593" s="62"/>
      <c r="S593" s="62"/>
      <c r="T593" s="62"/>
      <c r="U593" s="62"/>
      <c r="V593" s="63"/>
      <c r="W593" s="63"/>
      <c r="X593" s="63"/>
    </row>
    <row r="594" spans="2:24" ht="30" customHeight="1">
      <c r="B594" s="62"/>
      <c r="C594" s="62"/>
      <c r="D594" s="62"/>
      <c r="E594" s="62"/>
      <c r="F594" s="84"/>
      <c r="G594" s="83">
        <v>585</v>
      </c>
      <c r="H594" s="195" t="s">
        <v>2533</v>
      </c>
      <c r="I594" s="182" t="str">
        <f>VLOOKUP(MP_cierre[[#This Row],[OT]],MP_registro[[#All],[OT]:[PROGRAMADO]],9,FALSE)</f>
        <v>G1</v>
      </c>
      <c r="J594" s="170">
        <v>44768</v>
      </c>
      <c r="K594" s="214">
        <v>44768</v>
      </c>
      <c r="L594" s="212">
        <v>0</v>
      </c>
      <c r="M594" s="212">
        <v>2.0833333333333332E-2</v>
      </c>
      <c r="N594" s="62"/>
      <c r="O594" s="62"/>
      <c r="P594" s="62"/>
      <c r="Q594" s="62"/>
      <c r="R594" s="62"/>
      <c r="S594" s="62"/>
      <c r="T594" s="62"/>
      <c r="U594" s="62"/>
      <c r="V594" s="63"/>
      <c r="W594" s="63"/>
      <c r="X594" s="63"/>
    </row>
    <row r="595" spans="2:24" ht="30" customHeight="1">
      <c r="B595" s="62"/>
      <c r="C595" s="62"/>
      <c r="D595" s="62"/>
      <c r="E595" s="62"/>
      <c r="F595" s="84"/>
      <c r="G595" s="83">
        <v>586</v>
      </c>
      <c r="H595" s="196" t="s">
        <v>2534</v>
      </c>
      <c r="I595" s="184" t="str">
        <f>VLOOKUP(MP_cierre[[#This Row],[OT]],MP_registro[[#All],[OT]:[PROGRAMADO]],9,FALSE)</f>
        <v>G1</v>
      </c>
      <c r="J595" s="171">
        <v>44768</v>
      </c>
      <c r="K595" s="215">
        <v>44768</v>
      </c>
      <c r="L595" s="213">
        <v>9.0277777777777776E-2</v>
      </c>
      <c r="M595" s="213">
        <v>0.10416666666666667</v>
      </c>
      <c r="N595" s="62"/>
      <c r="O595" s="62"/>
      <c r="P595" s="62"/>
      <c r="Q595" s="62"/>
      <c r="R595" s="62"/>
      <c r="S595" s="62"/>
      <c r="T595" s="62"/>
      <c r="U595" s="62"/>
      <c r="V595" s="63"/>
      <c r="W595" s="63"/>
      <c r="X595" s="63"/>
    </row>
    <row r="596" spans="2:24" ht="30" customHeight="1">
      <c r="B596" s="62"/>
      <c r="C596" s="62"/>
      <c r="D596" s="62"/>
      <c r="E596" s="62"/>
      <c r="F596" s="84"/>
      <c r="G596" s="83">
        <v>587</v>
      </c>
      <c r="H596" s="195" t="s">
        <v>2536</v>
      </c>
      <c r="I596" s="182" t="str">
        <f>VLOOKUP(MP_cierre[[#This Row],[OT]],MP_registro[[#All],[OT]:[PROGRAMADO]],9,FALSE)</f>
        <v>G1</v>
      </c>
      <c r="J596" s="170">
        <v>44768</v>
      </c>
      <c r="K596" s="214">
        <v>44768</v>
      </c>
      <c r="L596" s="212">
        <v>0.1111111111111111</v>
      </c>
      <c r="M596" s="212">
        <v>0.125</v>
      </c>
      <c r="N596" s="62"/>
      <c r="O596" s="62"/>
      <c r="P596" s="62"/>
      <c r="Q596" s="62"/>
      <c r="R596" s="62"/>
      <c r="S596" s="62"/>
      <c r="T596" s="62"/>
      <c r="U596" s="62"/>
      <c r="V596" s="63"/>
      <c r="W596" s="63"/>
      <c r="X596" s="63"/>
    </row>
    <row r="597" spans="2:24" ht="30" customHeight="1">
      <c r="B597" s="62"/>
      <c r="C597" s="62"/>
      <c r="D597" s="62"/>
      <c r="E597" s="62"/>
      <c r="F597" s="84"/>
      <c r="G597" s="83">
        <v>588</v>
      </c>
      <c r="H597" s="195" t="s">
        <v>2538</v>
      </c>
      <c r="I597" s="182" t="str">
        <f>VLOOKUP(MP_cierre[[#This Row],[OT]],MP_registro[[#All],[OT]:[PROGRAMADO]],9,FALSE)</f>
        <v>G1</v>
      </c>
      <c r="J597" s="170">
        <v>44769</v>
      </c>
      <c r="K597" s="214">
        <v>44768</v>
      </c>
      <c r="L597" s="212">
        <v>2.0833333333333332E-2</v>
      </c>
      <c r="M597" s="212">
        <v>3.4722222222222224E-2</v>
      </c>
      <c r="N597" s="62"/>
      <c r="O597" s="62"/>
      <c r="P597" s="62"/>
      <c r="Q597" s="62"/>
      <c r="R597" s="62"/>
      <c r="S597" s="62"/>
      <c r="T597" s="62"/>
      <c r="U597" s="62"/>
      <c r="V597" s="63"/>
      <c r="W597" s="63"/>
      <c r="X597" s="63"/>
    </row>
    <row r="598" spans="2:24" ht="30" customHeight="1">
      <c r="B598" s="62"/>
      <c r="C598" s="62"/>
      <c r="D598" s="62"/>
      <c r="E598" s="62"/>
      <c r="F598" s="84"/>
      <c r="G598" s="83">
        <v>589</v>
      </c>
      <c r="H598" s="195" t="s">
        <v>2539</v>
      </c>
      <c r="I598" s="182" t="str">
        <f>VLOOKUP(MP_cierre[[#This Row],[OT]],MP_registro[[#All],[OT]:[PROGRAMADO]],9,FALSE)</f>
        <v>G1</v>
      </c>
      <c r="J598" s="170">
        <v>44769</v>
      </c>
      <c r="K598" s="214">
        <v>44768</v>
      </c>
      <c r="L598" s="212">
        <v>3.4722222222222224E-2</v>
      </c>
      <c r="M598" s="212">
        <v>6.25E-2</v>
      </c>
      <c r="N598" s="62"/>
      <c r="O598" s="62"/>
      <c r="P598" s="62"/>
      <c r="Q598" s="62"/>
      <c r="R598" s="62"/>
      <c r="S598" s="62"/>
      <c r="T598" s="62"/>
      <c r="U598" s="62"/>
      <c r="V598" s="63"/>
      <c r="W598" s="63"/>
      <c r="X598" s="63"/>
    </row>
    <row r="599" spans="2:24" ht="30" customHeight="1">
      <c r="B599" s="62"/>
      <c r="C599" s="62"/>
      <c r="D599" s="62"/>
      <c r="E599" s="62"/>
      <c r="F599" s="84"/>
      <c r="G599" s="83">
        <v>590</v>
      </c>
      <c r="H599" s="195" t="s">
        <v>2540</v>
      </c>
      <c r="I599" s="182" t="str">
        <f>VLOOKUP(MP_cierre[[#This Row],[OT]],MP_registro[[#All],[OT]:[PROGRAMADO]],9,FALSE)</f>
        <v>G1</v>
      </c>
      <c r="J599" s="170">
        <v>44769</v>
      </c>
      <c r="K599" s="214">
        <v>44768</v>
      </c>
      <c r="L599" s="212">
        <v>6.25E-2</v>
      </c>
      <c r="M599" s="212">
        <v>7.6388888888888895E-2</v>
      </c>
      <c r="N599" s="62"/>
      <c r="O599" s="62"/>
      <c r="P599" s="62"/>
      <c r="Q599" s="62"/>
      <c r="R599" s="62"/>
      <c r="S599" s="62"/>
      <c r="T599" s="62"/>
      <c r="U599" s="62"/>
      <c r="V599" s="63"/>
      <c r="W599" s="63"/>
      <c r="X599" s="63"/>
    </row>
    <row r="600" spans="2:24" ht="30" customHeight="1">
      <c r="B600" s="62"/>
      <c r="C600" s="62"/>
      <c r="D600" s="62"/>
      <c r="E600" s="62"/>
      <c r="F600" s="84"/>
      <c r="G600" s="83">
        <v>591</v>
      </c>
      <c r="H600" s="195" t="s">
        <v>2541</v>
      </c>
      <c r="I600" s="182" t="str">
        <f>VLOOKUP(MP_cierre[[#This Row],[OT]],MP_registro[[#All],[OT]:[PROGRAMADO]],9,FALSE)</f>
        <v>G1</v>
      </c>
      <c r="J600" s="170">
        <v>44769</v>
      </c>
      <c r="K600" s="214">
        <v>44768</v>
      </c>
      <c r="L600" s="212">
        <v>7.6388888888888895E-2</v>
      </c>
      <c r="M600" s="212">
        <v>9.0277777777777776E-2</v>
      </c>
      <c r="N600" s="62"/>
      <c r="O600" s="62"/>
      <c r="P600" s="62"/>
      <c r="Q600" s="62"/>
      <c r="R600" s="62"/>
      <c r="S600" s="62"/>
      <c r="T600" s="62"/>
      <c r="U600" s="62"/>
      <c r="V600" s="63"/>
      <c r="W600" s="63"/>
      <c r="X600" s="63"/>
    </row>
    <row r="601" spans="2:24" ht="30" customHeight="1">
      <c r="F601" s="84"/>
      <c r="G601" s="83">
        <v>592</v>
      </c>
      <c r="H601" s="196" t="s">
        <v>2543</v>
      </c>
      <c r="I601" s="184" t="str">
        <f>VLOOKUP(MP_cierre[[#This Row],[OT]],MP_registro[[#All],[OT]:[PROGRAMADO]],9,FALSE)</f>
        <v>G2</v>
      </c>
      <c r="J601" s="171">
        <v>44770</v>
      </c>
      <c r="K601" s="216">
        <v>44770</v>
      </c>
      <c r="L601" s="213">
        <v>0.41666666666666669</v>
      </c>
      <c r="M601" s="213">
        <v>0.4375</v>
      </c>
    </row>
    <row r="602" spans="2:24" ht="30" customHeight="1">
      <c r="F602" s="84"/>
      <c r="G602" s="83">
        <v>593</v>
      </c>
      <c r="H602" s="195" t="s">
        <v>2544</v>
      </c>
      <c r="I602" s="182" t="str">
        <f>VLOOKUP(MP_cierre[[#This Row],[OT]],MP_registro[[#All],[OT]:[PROGRAMADO]],9,FALSE)</f>
        <v>G4</v>
      </c>
      <c r="J602" s="170">
        <v>44770</v>
      </c>
      <c r="K602" s="217">
        <v>44769</v>
      </c>
      <c r="L602" s="212">
        <v>0.35416666666666669</v>
      </c>
      <c r="M602" s="212">
        <v>0.38541666666666669</v>
      </c>
    </row>
    <row r="603" spans="2:24" ht="30" customHeight="1">
      <c r="F603" s="89"/>
      <c r="G603" s="83">
        <v>594</v>
      </c>
      <c r="H603" s="195" t="s">
        <v>2545</v>
      </c>
      <c r="I603" s="182" t="str">
        <f>VLOOKUP(MP_cierre[[#This Row],[OT]],MP_registro[[#All],[OT]:[PROGRAMADO]],9,FALSE)</f>
        <v>G4</v>
      </c>
      <c r="J603" s="170">
        <v>44770</v>
      </c>
      <c r="K603" s="217">
        <v>44769</v>
      </c>
      <c r="L603" s="212">
        <v>0.39583333333333331</v>
      </c>
      <c r="M603" s="212">
        <v>0.42708333333333331</v>
      </c>
    </row>
    <row r="604" spans="2:24" ht="30" customHeight="1">
      <c r="F604" s="89"/>
      <c r="G604" s="83">
        <v>595</v>
      </c>
      <c r="H604" s="196" t="s">
        <v>2546</v>
      </c>
      <c r="I604" s="184" t="str">
        <f>VLOOKUP(MP_cierre[[#This Row],[OT]],MP_registro[[#All],[OT]:[PROGRAMADO]],9,FALSE)</f>
        <v>G3</v>
      </c>
      <c r="J604" s="171">
        <v>44770</v>
      </c>
      <c r="K604" s="216">
        <v>44768</v>
      </c>
      <c r="L604" s="213">
        <v>0.375</v>
      </c>
      <c r="M604" s="213">
        <v>0.39583333333333331</v>
      </c>
    </row>
    <row r="605" spans="2:24" ht="30" customHeight="1">
      <c r="F605" s="89"/>
      <c r="G605" s="83">
        <v>596</v>
      </c>
      <c r="H605" s="195" t="s">
        <v>2547</v>
      </c>
      <c r="I605" s="182" t="str">
        <f>VLOOKUP(MP_cierre[[#This Row],[OT]],MP_registro[[#All],[OT]:[PROGRAMADO]],9,FALSE)</f>
        <v>G3</v>
      </c>
      <c r="J605" s="170">
        <v>44770</v>
      </c>
      <c r="K605" s="217">
        <v>44768</v>
      </c>
      <c r="L605" s="212">
        <v>0.40625</v>
      </c>
      <c r="M605" s="212">
        <v>0.4236111111111111</v>
      </c>
    </row>
    <row r="606" spans="2:24" ht="30" customHeight="1">
      <c r="F606" s="89"/>
      <c r="G606" s="83">
        <v>597</v>
      </c>
      <c r="H606" s="195" t="s">
        <v>2548</v>
      </c>
      <c r="I606" s="182" t="str">
        <f>VLOOKUP(MP_cierre[[#This Row],[OT]],MP_registro[[#All],[OT]:[PROGRAMADO]],9,FALSE)</f>
        <v>G3</v>
      </c>
      <c r="J606" s="170">
        <v>44770</v>
      </c>
      <c r="K606" s="217">
        <v>44769</v>
      </c>
      <c r="L606" s="212">
        <v>0.4513888888888889</v>
      </c>
      <c r="M606" s="212">
        <v>0.46736111111111112</v>
      </c>
    </row>
    <row r="607" spans="2:24" ht="30" customHeight="1">
      <c r="F607" s="89"/>
      <c r="G607" s="83">
        <v>598</v>
      </c>
      <c r="H607" s="195" t="s">
        <v>2549</v>
      </c>
      <c r="I607" s="182" t="str">
        <f>VLOOKUP(MP_cierre[[#This Row],[OT]],MP_registro[[#All],[OT]:[PROGRAMADO]],9,FALSE)</f>
        <v>G3</v>
      </c>
      <c r="J607" s="170">
        <v>44770</v>
      </c>
      <c r="K607" s="217">
        <v>44769</v>
      </c>
      <c r="L607" s="212">
        <v>0.40347222222222223</v>
      </c>
      <c r="M607" s="212">
        <v>0.41666666666666669</v>
      </c>
    </row>
    <row r="608" spans="2:24" ht="30" customHeight="1">
      <c r="F608" s="89"/>
      <c r="G608" s="83">
        <v>599</v>
      </c>
      <c r="H608" s="195" t="s">
        <v>2550</v>
      </c>
      <c r="I608" s="182" t="str">
        <f>VLOOKUP(MP_cierre[[#This Row],[OT]],MP_registro[[#All],[OT]:[PROGRAMADO]],9,FALSE)</f>
        <v>G2</v>
      </c>
      <c r="J608" s="170">
        <v>44771</v>
      </c>
      <c r="K608" s="217">
        <v>44770</v>
      </c>
      <c r="L608" s="212">
        <v>0.375</v>
      </c>
      <c r="M608" s="212">
        <v>0.39583333333333331</v>
      </c>
    </row>
    <row r="609" spans="6:13" ht="30" customHeight="1">
      <c r="F609" s="89"/>
      <c r="G609" s="83">
        <v>600</v>
      </c>
      <c r="H609" s="196" t="s">
        <v>2551</v>
      </c>
      <c r="I609" s="184" t="str">
        <f>VLOOKUP(MP_cierre[[#This Row],[OT]],MP_registro[[#All],[OT]:[PROGRAMADO]],9,FALSE)</f>
        <v>G2</v>
      </c>
      <c r="J609" s="171">
        <v>44771</v>
      </c>
      <c r="K609" s="216">
        <v>44773</v>
      </c>
      <c r="L609" s="213">
        <v>0.375</v>
      </c>
      <c r="M609" s="213">
        <v>0.39583333333333331</v>
      </c>
    </row>
    <row r="610" spans="6:13" ht="30" customHeight="1">
      <c r="F610" s="89"/>
      <c r="G610" s="83">
        <v>601</v>
      </c>
      <c r="H610" s="205" t="s">
        <v>2552</v>
      </c>
      <c r="I610" s="206" t="str">
        <f>VLOOKUP(MP_cierre[[#This Row],[OT]],MP_registro[[#All],[OT]:[PROGRAMADO]],9,FALSE)</f>
        <v>G3</v>
      </c>
      <c r="J610" s="207">
        <v>44771</v>
      </c>
      <c r="K610" s="217">
        <v>44773</v>
      </c>
      <c r="L610" s="212">
        <v>0.98611111111111116</v>
      </c>
      <c r="M610" s="212">
        <v>6.9444444444444441E-3</v>
      </c>
    </row>
    <row r="611" spans="6:13" ht="30" customHeight="1">
      <c r="F611" s="89"/>
      <c r="G611" s="83">
        <v>602</v>
      </c>
      <c r="H611" s="205" t="s">
        <v>2553</v>
      </c>
      <c r="I611" s="206" t="str">
        <f>VLOOKUP(MP_cierre[[#This Row],[OT]],MP_registro[[#All],[OT]:[PROGRAMADO]],9,FALSE)</f>
        <v>G2</v>
      </c>
      <c r="J611" s="207">
        <v>44771</v>
      </c>
      <c r="K611" s="217">
        <v>44773</v>
      </c>
      <c r="L611" s="212">
        <v>0.39583333333333331</v>
      </c>
      <c r="M611" s="212">
        <v>0.41666666666666669</v>
      </c>
    </row>
    <row r="612" spans="6:13" ht="30" customHeight="1">
      <c r="F612" s="89"/>
      <c r="G612" s="83">
        <v>603</v>
      </c>
      <c r="H612" s="205" t="s">
        <v>2554</v>
      </c>
      <c r="I612" s="206" t="str">
        <f>VLOOKUP(MP_cierre[[#This Row],[OT]],MP_registro[[#All],[OT]:[PROGRAMADO]],9,FALSE)</f>
        <v>G3</v>
      </c>
      <c r="J612" s="207">
        <v>44771</v>
      </c>
      <c r="K612" s="217">
        <v>44773</v>
      </c>
      <c r="L612" s="212">
        <v>0.95833333333333337</v>
      </c>
      <c r="M612" s="212">
        <v>0.97916666666666663</v>
      </c>
    </row>
    <row r="613" spans="6:13" ht="30" customHeight="1">
      <c r="F613" s="89"/>
      <c r="G613" s="83">
        <v>604</v>
      </c>
      <c r="H613" s="205" t="s">
        <v>2555</v>
      </c>
      <c r="I613" s="206" t="str">
        <f>VLOOKUP(MP_cierre[[#This Row],[OT]],MP_registro[[#All],[OT]:[PROGRAMADO]],9,FALSE)</f>
        <v>G2</v>
      </c>
      <c r="J613" s="207">
        <v>44771</v>
      </c>
      <c r="K613" s="217">
        <v>44771</v>
      </c>
      <c r="L613" s="212">
        <v>0.39583333333333331</v>
      </c>
      <c r="M613" s="212">
        <v>0.41666666666666669</v>
      </c>
    </row>
    <row r="614" spans="6:13" ht="30" customHeight="1">
      <c r="F614" s="89"/>
      <c r="G614" s="83">
        <v>605</v>
      </c>
      <c r="H614" s="205" t="s">
        <v>2556</v>
      </c>
      <c r="I614" s="206" t="str">
        <f>VLOOKUP(MP_cierre[[#This Row],[OT]],MP_registro[[#All],[OT]:[PROGRAMADO]],9,FALSE)</f>
        <v>G2</v>
      </c>
      <c r="J614" s="207">
        <v>44771</v>
      </c>
      <c r="K614" s="217">
        <v>44771</v>
      </c>
      <c r="L614" s="212">
        <v>0.375</v>
      </c>
      <c r="M614" s="212">
        <v>0.39583333333333331</v>
      </c>
    </row>
    <row r="615" spans="6:13" ht="30" customHeight="1">
      <c r="F615" s="89"/>
      <c r="G615" s="83">
        <v>606</v>
      </c>
      <c r="H615" s="205" t="s">
        <v>2557</v>
      </c>
      <c r="I615" s="206" t="str">
        <f>VLOOKUP(MP_cierre[[#This Row],[OT]],MP_registro[[#All],[OT]:[PROGRAMADO]],9,FALSE)</f>
        <v>G2</v>
      </c>
      <c r="J615" s="207">
        <v>44771</v>
      </c>
      <c r="K615" s="217">
        <v>44771</v>
      </c>
      <c r="L615" s="212">
        <v>0.41666666666666669</v>
      </c>
      <c r="M615" s="212">
        <v>0.4375</v>
      </c>
    </row>
    <row r="616" spans="6:13" ht="30" customHeight="1">
      <c r="F616" s="89"/>
      <c r="G616" s="83">
        <v>607</v>
      </c>
      <c r="H616" s="205" t="s">
        <v>2558</v>
      </c>
      <c r="I616" s="206" t="str">
        <f>VLOOKUP(MP_cierre[[#This Row],[OT]],MP_registro[[#All],[OT]:[PROGRAMADO]],9,FALSE)</f>
        <v>G2</v>
      </c>
      <c r="J616" s="207">
        <v>44771</v>
      </c>
      <c r="K616" s="217">
        <v>44772</v>
      </c>
      <c r="L616" s="212">
        <v>0.39583333333333331</v>
      </c>
      <c r="M616" s="212">
        <v>0.4375</v>
      </c>
    </row>
    <row r="617" spans="6:13" ht="30" customHeight="1">
      <c r="F617" s="89"/>
      <c r="G617" s="83">
        <v>608</v>
      </c>
      <c r="H617" s="205" t="s">
        <v>2560</v>
      </c>
      <c r="I617" s="206" t="str">
        <f>VLOOKUP(MP_cierre[[#This Row],[OT]],MP_registro[[#All],[OT]:[PROGRAMADO]],9,FALSE)</f>
        <v>G4</v>
      </c>
      <c r="J617" s="207">
        <v>44772</v>
      </c>
      <c r="K617" s="217">
        <v>44769</v>
      </c>
      <c r="L617" s="212">
        <v>0.4375</v>
      </c>
      <c r="M617" s="212">
        <v>0.46875</v>
      </c>
    </row>
    <row r="618" spans="6:13" ht="30" customHeight="1">
      <c r="F618" s="89"/>
      <c r="G618" s="83">
        <v>609</v>
      </c>
      <c r="H618" s="205" t="s">
        <v>2561</v>
      </c>
      <c r="I618" s="206" t="str">
        <f>VLOOKUP(MP_cierre[[#This Row],[OT]],MP_registro[[#All],[OT]:[PROGRAMADO]],9,FALSE)</f>
        <v>G3</v>
      </c>
      <c r="J618" s="207">
        <v>44772</v>
      </c>
      <c r="K618" s="217">
        <v>44769</v>
      </c>
      <c r="L618" s="212">
        <v>0.4291666666666667</v>
      </c>
      <c r="M618" s="212">
        <v>0.44444444444444442</v>
      </c>
    </row>
    <row r="619" spans="6:13" ht="30" customHeight="1">
      <c r="F619" s="89"/>
      <c r="G619" s="83">
        <v>610</v>
      </c>
      <c r="H619" s="205" t="s">
        <v>2562</v>
      </c>
      <c r="I619" s="206" t="str">
        <f>VLOOKUP(MP_cierre[[#This Row],[OT]],MP_registro[[#All],[OT]:[PROGRAMADO]],9,FALSE)</f>
        <v>G3</v>
      </c>
      <c r="J619" s="207">
        <v>44772</v>
      </c>
      <c r="K619" s="217">
        <v>44764</v>
      </c>
      <c r="L619" s="212">
        <v>0.63194444444444442</v>
      </c>
      <c r="M619" s="212">
        <v>0.64583333333333337</v>
      </c>
    </row>
    <row r="620" spans="6:13" ht="30" customHeight="1">
      <c r="F620" s="89"/>
      <c r="G620" s="83">
        <v>611</v>
      </c>
      <c r="H620" s="205" t="s">
        <v>2563</v>
      </c>
      <c r="I620" s="206" t="str">
        <f>VLOOKUP(MP_cierre[[#This Row],[OT]],MP_registro[[#All],[OT]:[PROGRAMADO]],9,FALSE)</f>
        <v>G3</v>
      </c>
      <c r="J620" s="207">
        <v>44773</v>
      </c>
      <c r="K620" s="217">
        <v>44765</v>
      </c>
      <c r="L620" s="212">
        <v>0.46875</v>
      </c>
      <c r="M620" s="212">
        <v>0.48333333333333334</v>
      </c>
    </row>
    <row r="621" spans="6:13" ht="30" customHeight="1">
      <c r="F621" s="89"/>
      <c r="G621" s="83">
        <v>612</v>
      </c>
      <c r="H621" s="205" t="s">
        <v>2564</v>
      </c>
      <c r="I621" s="206" t="str">
        <f>VLOOKUP(MP_cierre[[#This Row],[OT]],MP_registro[[#All],[OT]:[PROGRAMADO]],9,FALSE)</f>
        <v>G3</v>
      </c>
      <c r="J621" s="207">
        <v>44773</v>
      </c>
      <c r="K621" s="217">
        <v>44765</v>
      </c>
      <c r="L621" s="212">
        <v>0.4375</v>
      </c>
      <c r="M621" s="212">
        <v>0.4548611111111111</v>
      </c>
    </row>
    <row r="622" spans="6:13" ht="30" customHeight="1">
      <c r="F622" s="89"/>
      <c r="G622" s="83">
        <v>613</v>
      </c>
      <c r="H622" s="205" t="s">
        <v>2567</v>
      </c>
      <c r="I622" s="206" t="str">
        <f>VLOOKUP(MP_cierre[[#This Row],[OT]],MP_registro[[#All],[OT]:[PROGRAMADO]],9,FALSE)</f>
        <v>G3</v>
      </c>
      <c r="J622" s="207">
        <v>44774</v>
      </c>
      <c r="K622" s="217">
        <v>44776</v>
      </c>
      <c r="L622" s="212">
        <v>0.9375</v>
      </c>
      <c r="M622" s="212">
        <v>0.95000000000000007</v>
      </c>
    </row>
    <row r="623" spans="6:13" ht="30" customHeight="1">
      <c r="F623" s="89"/>
      <c r="G623" s="83">
        <v>614</v>
      </c>
      <c r="H623" s="205" t="s">
        <v>2568</v>
      </c>
      <c r="I623" s="206" t="str">
        <f>VLOOKUP(MP_cierre[[#This Row],[OT]],MP_registro[[#All],[OT]:[PROGRAMADO]],9,FALSE)</f>
        <v>G3</v>
      </c>
      <c r="J623" s="207">
        <v>44774</v>
      </c>
      <c r="K623" s="217">
        <v>44774</v>
      </c>
      <c r="L623" s="212">
        <v>0.92569444444444438</v>
      </c>
      <c r="M623" s="212">
        <v>0.9375</v>
      </c>
    </row>
    <row r="624" spans="6:13" ht="30" customHeight="1">
      <c r="F624" s="89"/>
      <c r="G624" s="83">
        <v>615</v>
      </c>
      <c r="H624" s="205" t="s">
        <v>2569</v>
      </c>
      <c r="I624" s="206" t="str">
        <f>VLOOKUP(MP_cierre[[#This Row],[OT]],MP_registro[[#All],[OT]:[PROGRAMADO]],9,FALSE)</f>
        <v>G3</v>
      </c>
      <c r="J624" s="207">
        <v>44774</v>
      </c>
      <c r="K624" s="217">
        <v>44774</v>
      </c>
      <c r="L624" s="212">
        <v>0.89583333333333337</v>
      </c>
      <c r="M624" s="212">
        <v>0.91388888888888886</v>
      </c>
    </row>
    <row r="625" spans="6:13" ht="30" customHeight="1">
      <c r="F625" s="89"/>
      <c r="G625" s="83">
        <v>616</v>
      </c>
      <c r="H625" s="205" t="s">
        <v>2570</v>
      </c>
      <c r="I625" s="206" t="str">
        <f>VLOOKUP(MP_cierre[[#This Row],[OT]],MP_registro[[#All],[OT]:[PROGRAMADO]],9,FALSE)</f>
        <v>G3</v>
      </c>
      <c r="J625" s="207">
        <v>44775</v>
      </c>
      <c r="K625" s="217">
        <v>44775</v>
      </c>
      <c r="L625" s="212">
        <v>5.7638888888888885E-2</v>
      </c>
      <c r="M625" s="212">
        <v>7.2916666666666671E-2</v>
      </c>
    </row>
    <row r="626" spans="6:13" ht="30" customHeight="1">
      <c r="F626" s="89"/>
      <c r="G626" s="83">
        <v>617</v>
      </c>
      <c r="H626" s="205" t="s">
        <v>2571</v>
      </c>
      <c r="I626" s="206" t="str">
        <f>VLOOKUP(MP_cierre[[#This Row],[OT]],MP_registro[[#All],[OT]:[PROGRAMADO]],9,FALSE)</f>
        <v>G3</v>
      </c>
      <c r="J626" s="207">
        <v>44775</v>
      </c>
      <c r="K626" s="217">
        <v>44775</v>
      </c>
      <c r="L626" s="212">
        <v>8.3333333333333332E-3</v>
      </c>
      <c r="M626" s="212">
        <v>2.0833333333333332E-2</v>
      </c>
    </row>
    <row r="627" spans="6:13" ht="30" customHeight="1">
      <c r="F627" s="89"/>
      <c r="G627" s="83">
        <v>618</v>
      </c>
      <c r="H627" s="205" t="s">
        <v>2572</v>
      </c>
      <c r="I627" s="206" t="str">
        <f>VLOOKUP(MP_cierre[[#This Row],[OT]],MP_registro[[#All],[OT]:[PROGRAMADO]],9,FALSE)</f>
        <v>G3</v>
      </c>
      <c r="J627" s="207">
        <v>44775</v>
      </c>
      <c r="K627" s="217">
        <v>44775</v>
      </c>
      <c r="L627" s="212">
        <v>0.98263888888888884</v>
      </c>
      <c r="M627" s="212">
        <v>0.99861111111111101</v>
      </c>
    </row>
    <row r="628" spans="6:13" ht="30" customHeight="1">
      <c r="F628" s="89"/>
      <c r="G628" s="83">
        <v>619</v>
      </c>
      <c r="H628" s="205" t="s">
        <v>2573</v>
      </c>
      <c r="I628" s="206" t="str">
        <f>VLOOKUP(MP_cierre[[#This Row],[OT]],MP_registro[[#All],[OT]:[PROGRAMADO]],9,FALSE)</f>
        <v>G2</v>
      </c>
      <c r="J628" s="207">
        <v>44775</v>
      </c>
      <c r="K628" s="217">
        <v>44778</v>
      </c>
      <c r="L628" s="212">
        <v>0</v>
      </c>
      <c r="M628" s="212">
        <v>2.0833333333333332E-2</v>
      </c>
    </row>
    <row r="629" spans="6:13" ht="30" customHeight="1">
      <c r="F629" s="89"/>
      <c r="G629" s="83">
        <v>620</v>
      </c>
      <c r="H629" s="205" t="s">
        <v>2574</v>
      </c>
      <c r="I629" s="206" t="str">
        <f>VLOOKUP(MP_cierre[[#This Row],[OT]],MP_registro[[#All],[OT]:[PROGRAMADO]],9,FALSE)</f>
        <v>G3</v>
      </c>
      <c r="J629" s="207">
        <v>44775</v>
      </c>
      <c r="K629" s="217">
        <v>44776</v>
      </c>
      <c r="L629" s="212">
        <v>0.90972222222222221</v>
      </c>
      <c r="M629" s="212">
        <v>0.92569444444444438</v>
      </c>
    </row>
    <row r="630" spans="6:13" ht="30" customHeight="1">
      <c r="F630" s="62"/>
      <c r="G630" s="83">
        <v>621</v>
      </c>
      <c r="H630" s="205" t="s">
        <v>2575</v>
      </c>
      <c r="I630" s="206" t="str">
        <f>VLOOKUP(MP_cierre[[#This Row],[OT]],MP_registro[[#All],[OT]:[PROGRAMADO]],9,FALSE)</f>
        <v>G2</v>
      </c>
      <c r="J630" s="207">
        <v>44775</v>
      </c>
      <c r="K630" s="217">
        <v>44779</v>
      </c>
      <c r="L630" s="212">
        <v>6.25E-2</v>
      </c>
      <c r="M630" s="212">
        <v>8.3333333333333329E-2</v>
      </c>
    </row>
    <row r="631" spans="6:13" ht="30" customHeight="1">
      <c r="F631" s="62"/>
      <c r="G631" s="83">
        <v>622</v>
      </c>
      <c r="H631" s="205" t="s">
        <v>2576</v>
      </c>
      <c r="I631" s="206" t="str">
        <f>VLOOKUP(MP_cierre[[#This Row],[OT]],MP_registro[[#All],[OT]:[PROGRAMADO]],9,FALSE)</f>
        <v>G3</v>
      </c>
      <c r="J631" s="207">
        <v>44775</v>
      </c>
      <c r="K631" s="217">
        <v>44775</v>
      </c>
      <c r="L631" s="212">
        <v>0.96527777777777779</v>
      </c>
      <c r="M631" s="212">
        <v>0.97986111111111107</v>
      </c>
    </row>
    <row r="632" spans="6:13" ht="30" customHeight="1">
      <c r="F632" s="62"/>
      <c r="G632" s="83">
        <v>623</v>
      </c>
      <c r="H632" s="205" t="s">
        <v>2578</v>
      </c>
      <c r="I632" s="206" t="str">
        <f>VLOOKUP(MP_cierre[[#This Row],[OT]],MP_registro[[#All],[OT]:[PROGRAMADO]],9,FALSE)</f>
        <v>G2</v>
      </c>
      <c r="J632" s="207">
        <v>44776</v>
      </c>
      <c r="K632" s="217">
        <v>44779</v>
      </c>
      <c r="L632" s="212">
        <v>8.3333333333333329E-2</v>
      </c>
      <c r="M632" s="212">
        <v>0.10416666666666667</v>
      </c>
    </row>
    <row r="633" spans="6:13" ht="30" customHeight="1">
      <c r="F633" s="62"/>
      <c r="G633" s="83">
        <v>624</v>
      </c>
      <c r="H633" s="205" t="s">
        <v>2579</v>
      </c>
      <c r="I633" s="206" t="str">
        <f>VLOOKUP(MP_cierre[[#This Row],[OT]],MP_registro[[#All],[OT]:[PROGRAMADO]],9,FALSE)</f>
        <v>G3</v>
      </c>
      <c r="J633" s="207">
        <v>44776</v>
      </c>
      <c r="K633" s="217">
        <v>44776</v>
      </c>
      <c r="L633" s="212">
        <v>0.88958333333333339</v>
      </c>
      <c r="M633" s="212">
        <v>0.90277777777777779</v>
      </c>
    </row>
    <row r="634" spans="6:13" ht="30" customHeight="1">
      <c r="F634" s="62"/>
      <c r="G634" s="83">
        <v>625</v>
      </c>
      <c r="H634" s="205" t="s">
        <v>2581</v>
      </c>
      <c r="I634" s="206" t="str">
        <f>VLOOKUP(MP_cierre[[#This Row],[OT]],MP_registro[[#All],[OT]:[PROGRAMADO]],9,FALSE)</f>
        <v>G2</v>
      </c>
      <c r="J634" s="207">
        <v>44776</v>
      </c>
      <c r="K634" s="217">
        <v>44777</v>
      </c>
      <c r="L634" s="212">
        <v>0.85416666666666663</v>
      </c>
      <c r="M634" s="212">
        <v>0.875</v>
      </c>
    </row>
    <row r="635" spans="6:13" ht="30" customHeight="1">
      <c r="F635" s="62"/>
      <c r="G635" s="83">
        <v>626</v>
      </c>
      <c r="H635" s="205" t="s">
        <v>2582</v>
      </c>
      <c r="I635" s="206" t="str">
        <f>VLOOKUP(MP_cierre[[#This Row],[OT]],MP_registro[[#All],[OT]:[PROGRAMADO]],9,FALSE)</f>
        <v>G3</v>
      </c>
      <c r="J635" s="207">
        <v>44776</v>
      </c>
      <c r="K635" s="217">
        <v>44776</v>
      </c>
      <c r="L635" s="212">
        <v>9.7222222222222224E-2</v>
      </c>
      <c r="M635" s="212">
        <v>0.10416666666666667</v>
      </c>
    </row>
    <row r="636" spans="6:13" ht="30" customHeight="1">
      <c r="F636" s="62"/>
      <c r="G636" s="83">
        <v>627</v>
      </c>
      <c r="H636" s="205" t="s">
        <v>2583</v>
      </c>
      <c r="I636" s="206" t="str">
        <f>VLOOKUP(MP_cierre[[#This Row],[OT]],MP_registro[[#All],[OT]:[PROGRAMADO]],9,FALSE)</f>
        <v>G1</v>
      </c>
      <c r="J636" s="207">
        <v>44777</v>
      </c>
      <c r="K636" s="217">
        <v>44777</v>
      </c>
      <c r="L636" s="212">
        <v>0.625</v>
      </c>
      <c r="M636" s="212">
        <v>0.63888888888888895</v>
      </c>
    </row>
    <row r="637" spans="6:13" ht="30" customHeight="1">
      <c r="F637" s="62"/>
      <c r="G637" s="83">
        <v>628</v>
      </c>
      <c r="H637" s="205" t="s">
        <v>2584</v>
      </c>
      <c r="I637" s="206" t="str">
        <f>VLOOKUP(MP_cierre[[#This Row],[OT]],MP_registro[[#All],[OT]:[PROGRAMADO]],9,FALSE)</f>
        <v>G1</v>
      </c>
      <c r="J637" s="207">
        <v>44778</v>
      </c>
      <c r="K637" s="217">
        <v>44778</v>
      </c>
      <c r="L637" s="212">
        <v>0.59722222222222221</v>
      </c>
      <c r="M637" s="212">
        <v>0.60763888888888895</v>
      </c>
    </row>
    <row r="638" spans="6:13" ht="30" customHeight="1">
      <c r="F638" s="62"/>
      <c r="G638" s="83">
        <v>629</v>
      </c>
      <c r="H638" s="205" t="s">
        <v>2585</v>
      </c>
      <c r="I638" s="206" t="str">
        <f>VLOOKUP(MP_cierre[[#This Row],[OT]],MP_registro[[#All],[OT]:[PROGRAMADO]],9,FALSE)</f>
        <v>G1</v>
      </c>
      <c r="J638" s="207">
        <v>44778</v>
      </c>
      <c r="K638" s="217">
        <v>44778</v>
      </c>
      <c r="L638" s="212">
        <v>0.58333333333333337</v>
      </c>
      <c r="M638" s="212">
        <v>0.59722222222222221</v>
      </c>
    </row>
    <row r="639" spans="6:13" ht="30" customHeight="1">
      <c r="F639" s="62"/>
      <c r="G639" s="83">
        <v>630</v>
      </c>
      <c r="H639" s="205" t="s">
        <v>2586</v>
      </c>
      <c r="I639" s="206" t="str">
        <f>VLOOKUP(MP_cierre[[#This Row],[OT]],MP_registro[[#All],[OT]:[PROGRAMADO]],9,FALSE)</f>
        <v>G1</v>
      </c>
      <c r="J639" s="207">
        <v>44778</v>
      </c>
      <c r="K639" s="217">
        <v>44778</v>
      </c>
      <c r="L639" s="212">
        <v>0.64236111111111105</v>
      </c>
      <c r="M639" s="212">
        <v>0.65277777777777779</v>
      </c>
    </row>
    <row r="640" spans="6:13" ht="30" customHeight="1">
      <c r="F640" s="62"/>
      <c r="G640" s="83">
        <v>631</v>
      </c>
      <c r="H640" s="205" t="s">
        <v>2587</v>
      </c>
      <c r="I640" s="206" t="str">
        <f>VLOOKUP(MP_cierre[[#This Row],[OT]],MP_registro[[#All],[OT]:[PROGRAMADO]],9,FALSE)</f>
        <v>G1</v>
      </c>
      <c r="J640" s="207">
        <v>44778</v>
      </c>
      <c r="K640" s="217">
        <v>44778</v>
      </c>
      <c r="L640" s="212">
        <v>0.625</v>
      </c>
      <c r="M640" s="212">
        <v>0.63888888888888895</v>
      </c>
    </row>
    <row r="641" spans="6:13" ht="30" customHeight="1">
      <c r="F641" s="62"/>
      <c r="G641" s="83">
        <v>632</v>
      </c>
      <c r="H641" s="205" t="s">
        <v>2588</v>
      </c>
      <c r="I641" s="206" t="str">
        <f>VLOOKUP(MP_cierre[[#This Row],[OT]],MP_registro[[#All],[OT]:[PROGRAMADO]],9,FALSE)</f>
        <v>G1</v>
      </c>
      <c r="J641" s="207">
        <v>44778</v>
      </c>
      <c r="K641" s="217">
        <v>44778</v>
      </c>
      <c r="L641" s="212">
        <v>0.61111111111111105</v>
      </c>
      <c r="M641" s="212">
        <v>0.62152777777777779</v>
      </c>
    </row>
    <row r="642" spans="6:13" ht="30" customHeight="1">
      <c r="F642" s="62"/>
      <c r="G642" s="83">
        <v>633</v>
      </c>
      <c r="H642" s="205" t="s">
        <v>2590</v>
      </c>
      <c r="I642" s="206" t="str">
        <f>VLOOKUP(MP_cierre[[#This Row],[OT]],MP_registro[[#All],[OT]:[PROGRAMADO]],9,FALSE)</f>
        <v>G1</v>
      </c>
      <c r="J642" s="207">
        <v>44778</v>
      </c>
      <c r="K642" s="217">
        <v>44777</v>
      </c>
      <c r="L642" s="212">
        <v>0.63888888888888895</v>
      </c>
      <c r="M642" s="212">
        <v>0.65277777777777779</v>
      </c>
    </row>
    <row r="643" spans="6:13" ht="30" customHeight="1">
      <c r="F643" s="62"/>
      <c r="G643" s="83">
        <v>634</v>
      </c>
      <c r="H643" s="205" t="s">
        <v>2591</v>
      </c>
      <c r="I643" s="206" t="str">
        <f>VLOOKUP(MP_cierre[[#This Row],[OT]],MP_registro[[#All],[OT]:[PROGRAMADO]],9,FALSE)</f>
        <v>G1</v>
      </c>
      <c r="J643" s="207">
        <v>44779</v>
      </c>
      <c r="K643" s="217">
        <v>44777</v>
      </c>
      <c r="L643" s="212">
        <v>0.45833333333333331</v>
      </c>
      <c r="M643" s="212">
        <v>0.47916666666666669</v>
      </c>
    </row>
    <row r="644" spans="6:13" ht="30" customHeight="1">
      <c r="F644" s="62"/>
      <c r="G644" s="83">
        <v>635</v>
      </c>
      <c r="H644" s="205" t="s">
        <v>2592</v>
      </c>
      <c r="I644" s="206" t="str">
        <f>VLOOKUP(MP_cierre[[#This Row],[OT]],MP_registro[[#All],[OT]:[PROGRAMADO]],9,FALSE)</f>
        <v>G1</v>
      </c>
      <c r="J644" s="207">
        <v>44779</v>
      </c>
      <c r="K644" s="217">
        <v>44777</v>
      </c>
      <c r="L644" s="212">
        <v>0.41666666666666669</v>
      </c>
      <c r="M644" s="212">
        <v>0.44791666666666669</v>
      </c>
    </row>
    <row r="645" spans="6:13" ht="30" customHeight="1">
      <c r="F645" s="62"/>
      <c r="G645" s="83">
        <v>636</v>
      </c>
      <c r="H645" s="205" t="s">
        <v>2593</v>
      </c>
      <c r="I645" s="206" t="str">
        <f>VLOOKUP(MP_cierre[[#This Row],[OT]],MP_registro[[#All],[OT]:[PROGRAMADO]],9,FALSE)</f>
        <v>G1</v>
      </c>
      <c r="J645" s="207">
        <v>44779</v>
      </c>
      <c r="K645" s="217">
        <v>44777</v>
      </c>
      <c r="L645" s="212">
        <v>0.375</v>
      </c>
      <c r="M645" s="212">
        <v>0.40625</v>
      </c>
    </row>
    <row r="646" spans="6:13" ht="30" customHeight="1">
      <c r="F646" s="62"/>
      <c r="G646" s="83">
        <v>637</v>
      </c>
      <c r="H646" s="205" t="s">
        <v>2594</v>
      </c>
      <c r="I646" s="206" t="str">
        <f>VLOOKUP(MP_cierre[[#This Row],[OT]],MP_registro[[#All],[OT]:[PROGRAMADO]],9,FALSE)</f>
        <v>G2</v>
      </c>
      <c r="J646" s="207">
        <v>44779</v>
      </c>
      <c r="K646" s="217">
        <v>44780</v>
      </c>
      <c r="L646" s="212">
        <v>0.9375</v>
      </c>
      <c r="M646" s="212">
        <v>0.95833333333333337</v>
      </c>
    </row>
    <row r="647" spans="6:13" ht="30" customHeight="1">
      <c r="F647" s="62"/>
      <c r="G647" s="83">
        <v>638</v>
      </c>
      <c r="H647" s="205" t="s">
        <v>2595</v>
      </c>
      <c r="I647" s="206" t="str">
        <f>VLOOKUP(MP_cierre[[#This Row],[OT]],MP_registro[[#All],[OT]:[PROGRAMADO]],9,FALSE)</f>
        <v>G2</v>
      </c>
      <c r="J647" s="207">
        <v>44779</v>
      </c>
      <c r="K647" s="217">
        <v>44780</v>
      </c>
      <c r="L647" s="212">
        <v>0.95833333333333337</v>
      </c>
      <c r="M647" s="212">
        <v>0.97916666666666663</v>
      </c>
    </row>
    <row r="648" spans="6:13" ht="30" customHeight="1">
      <c r="F648" s="62"/>
      <c r="G648" s="83">
        <v>639</v>
      </c>
      <c r="H648" s="205" t="s">
        <v>2596</v>
      </c>
      <c r="I648" s="206" t="str">
        <f>VLOOKUP(MP_cierre[[#This Row],[OT]],MP_registro[[#All],[OT]:[PROGRAMADO]],9,FALSE)</f>
        <v>G2</v>
      </c>
      <c r="J648" s="207">
        <v>44779</v>
      </c>
      <c r="K648" s="217">
        <v>44780</v>
      </c>
      <c r="L648" s="212">
        <v>0.97916666666666663</v>
      </c>
      <c r="M648" s="212">
        <v>0</v>
      </c>
    </row>
    <row r="649" spans="6:13" ht="30" customHeight="1">
      <c r="F649" s="62"/>
      <c r="G649" s="83">
        <v>640</v>
      </c>
      <c r="H649" s="205" t="s">
        <v>2597</v>
      </c>
      <c r="I649" s="206" t="str">
        <f>VLOOKUP(MP_cierre[[#This Row],[OT]],MP_registro[[#All],[OT]:[PROGRAMADO]],9,FALSE)</f>
        <v>G2</v>
      </c>
      <c r="J649" s="207">
        <v>44779</v>
      </c>
      <c r="K649" s="217">
        <v>44779</v>
      </c>
      <c r="L649" s="212">
        <v>0.16666666666666666</v>
      </c>
      <c r="M649" s="212">
        <v>0.1875</v>
      </c>
    </row>
    <row r="650" spans="6:13" ht="30" customHeight="1">
      <c r="F650" s="62"/>
      <c r="G650" s="83">
        <v>641</v>
      </c>
      <c r="H650" s="205" t="s">
        <v>2598</v>
      </c>
      <c r="I650" s="206" t="str">
        <f>VLOOKUP(MP_cierre[[#This Row],[OT]],MP_registro[[#All],[OT]:[PROGRAMADO]],9,FALSE)</f>
        <v>G2</v>
      </c>
      <c r="J650" s="207">
        <v>44779</v>
      </c>
      <c r="K650" s="217">
        <v>44778</v>
      </c>
      <c r="L650" s="212">
        <v>2.0833333333333332E-2</v>
      </c>
      <c r="M650" s="212">
        <v>4.1666666666666664E-2</v>
      </c>
    </row>
    <row r="651" spans="6:13" ht="30" customHeight="1">
      <c r="F651" s="62"/>
      <c r="G651" s="83">
        <v>642</v>
      </c>
      <c r="H651" s="205" t="s">
        <v>2599</v>
      </c>
      <c r="I651" s="206" t="str">
        <f>VLOOKUP(MP_cierre[[#This Row],[OT]],MP_registro[[#All],[OT]:[PROGRAMADO]],9,FALSE)</f>
        <v>G2</v>
      </c>
      <c r="J651" s="207">
        <v>44779</v>
      </c>
      <c r="K651" s="217">
        <v>44778</v>
      </c>
      <c r="L651" s="212">
        <v>4.1666666666666664E-2</v>
      </c>
      <c r="M651" s="212">
        <v>6.25E-2</v>
      </c>
    </row>
    <row r="652" spans="6:13" ht="30" customHeight="1">
      <c r="F652" s="62"/>
      <c r="G652" s="83">
        <v>643</v>
      </c>
      <c r="H652" s="205" t="s">
        <v>2600</v>
      </c>
      <c r="I652" s="206" t="str">
        <f>VLOOKUP(MP_cierre[[#This Row],[OT]],MP_registro[[#All],[OT]:[PROGRAMADO]],9,FALSE)</f>
        <v>G2</v>
      </c>
      <c r="J652" s="207">
        <v>44780</v>
      </c>
      <c r="K652" s="217">
        <v>44779</v>
      </c>
      <c r="L652" s="212">
        <v>0.1875</v>
      </c>
      <c r="M652" s="212">
        <v>0.20833333333333334</v>
      </c>
    </row>
    <row r="653" spans="6:13" ht="30" customHeight="1">
      <c r="F653" s="62"/>
      <c r="G653" s="83">
        <v>644</v>
      </c>
      <c r="H653" s="205" t="s">
        <v>2601</v>
      </c>
      <c r="I653" s="206" t="str">
        <f>VLOOKUP(MP_cierre[[#This Row],[OT]],MP_registro[[#All],[OT]:[PROGRAMADO]],9,FALSE)</f>
        <v>G2</v>
      </c>
      <c r="J653" s="207">
        <v>44780</v>
      </c>
      <c r="K653" s="217">
        <v>44779</v>
      </c>
      <c r="L653" s="212">
        <v>0.20833333333333334</v>
      </c>
      <c r="M653" s="212">
        <v>0.22916666666666666</v>
      </c>
    </row>
    <row r="654" spans="6:13" ht="30" customHeight="1">
      <c r="F654" s="62"/>
      <c r="G654" s="83">
        <v>645</v>
      </c>
      <c r="H654" s="205" t="s">
        <v>2602</v>
      </c>
      <c r="I654" s="206" t="str">
        <f>VLOOKUP(MP_cierre[[#This Row],[OT]],MP_registro[[#All],[OT]:[PROGRAMADO]],9,FALSE)</f>
        <v>G1</v>
      </c>
      <c r="J654" s="207">
        <v>44780</v>
      </c>
      <c r="K654" s="217">
        <v>44778</v>
      </c>
      <c r="L654" s="212">
        <v>0.63541666666666663</v>
      </c>
      <c r="M654" s="212">
        <v>0.67708333333333337</v>
      </c>
    </row>
    <row r="655" spans="6:13" ht="30" customHeight="1">
      <c r="F655" s="62"/>
      <c r="G655" s="83">
        <v>646</v>
      </c>
      <c r="H655" s="205" t="s">
        <v>2603</v>
      </c>
      <c r="I655" s="206" t="str">
        <f>VLOOKUP(MP_cierre[[#This Row],[OT]],MP_registro[[#All],[OT]:[PROGRAMADO]],9,FALSE)</f>
        <v>G2</v>
      </c>
      <c r="J655" s="207">
        <v>44780</v>
      </c>
      <c r="K655" s="217">
        <v>44779</v>
      </c>
      <c r="L655" s="212">
        <v>2.0833333333333332E-2</v>
      </c>
      <c r="M655" s="212">
        <v>4.1666666666666664E-2</v>
      </c>
    </row>
    <row r="656" spans="6:13" ht="30" customHeight="1">
      <c r="F656" s="62"/>
      <c r="G656" s="83">
        <v>647</v>
      </c>
      <c r="H656" s="205" t="s">
        <v>2604</v>
      </c>
      <c r="I656" s="206" t="str">
        <f>VLOOKUP(MP_cierre[[#This Row],[OT]],MP_registro[[#All],[OT]:[PROGRAMADO]],9,FALSE)</f>
        <v>G2</v>
      </c>
      <c r="J656" s="207">
        <v>44780</v>
      </c>
      <c r="K656" s="217">
        <v>44779</v>
      </c>
      <c r="L656" s="212">
        <v>0</v>
      </c>
      <c r="M656" s="212">
        <v>2.0833333333333332E-2</v>
      </c>
    </row>
    <row r="657" spans="6:13" ht="30" customHeight="1">
      <c r="F657" s="62"/>
      <c r="G657" s="83">
        <v>648</v>
      </c>
      <c r="H657" s="220" t="s">
        <v>2610</v>
      </c>
      <c r="I657" s="221" t="str">
        <f>VLOOKUP(MP_cierre[[#This Row],[OT]],MP_registro[[#All],[OT]:[PROGRAMADO]],9,FALSE)</f>
        <v>G1</v>
      </c>
      <c r="J657" s="222">
        <v>44781</v>
      </c>
      <c r="K657" s="223">
        <v>44789</v>
      </c>
      <c r="L657" s="224">
        <v>0</v>
      </c>
      <c r="M657" s="224">
        <v>2.0833333333333332E-2</v>
      </c>
    </row>
    <row r="658" spans="6:13" ht="30" customHeight="1">
      <c r="F658" s="62"/>
      <c r="G658" s="83">
        <v>649</v>
      </c>
      <c r="H658" s="220" t="s">
        <v>2611</v>
      </c>
      <c r="I658" s="221" t="str">
        <f>VLOOKUP(MP_cierre[[#This Row],[OT]],MP_registro[[#All],[OT]:[PROGRAMADO]],9,FALSE)</f>
        <v>G2</v>
      </c>
      <c r="J658" s="222">
        <v>44781</v>
      </c>
      <c r="K658" s="223">
        <v>44779</v>
      </c>
      <c r="L658" s="224">
        <v>4.1666666666666664E-2</v>
      </c>
      <c r="M658" s="224">
        <v>6.25E-2</v>
      </c>
    </row>
    <row r="659" spans="6:13" ht="30" customHeight="1">
      <c r="F659" s="62"/>
      <c r="G659" s="83">
        <v>650</v>
      </c>
      <c r="H659" s="220" t="s">
        <v>2612</v>
      </c>
      <c r="I659" s="221" t="str">
        <f>VLOOKUP(MP_cierre[[#This Row],[OT]],MP_registro[[#All],[OT]:[PROGRAMADO]],9,FALSE)</f>
        <v>G2</v>
      </c>
      <c r="J659" s="222">
        <v>44781</v>
      </c>
      <c r="K659" s="223">
        <v>44777</v>
      </c>
      <c r="L659" s="224">
        <v>0.83333333333333337</v>
      </c>
      <c r="M659" s="224">
        <v>0.85416666666666663</v>
      </c>
    </row>
    <row r="660" spans="6:13" ht="30" customHeight="1">
      <c r="F660" s="62"/>
      <c r="G660" s="83">
        <v>651</v>
      </c>
      <c r="H660" s="220" t="s">
        <v>2613</v>
      </c>
      <c r="I660" s="221" t="str">
        <f>VLOOKUP(MP_cierre[[#This Row],[OT]],MP_registro[[#All],[OT]:[PROGRAMADO]],9,FALSE)</f>
        <v>G2</v>
      </c>
      <c r="J660" s="222">
        <v>44781</v>
      </c>
      <c r="K660" s="223">
        <v>44777</v>
      </c>
      <c r="L660" s="224">
        <v>0.875</v>
      </c>
      <c r="M660" s="224">
        <v>0.89583333333333337</v>
      </c>
    </row>
    <row r="661" spans="6:13" ht="30" customHeight="1">
      <c r="F661" s="62"/>
      <c r="G661" s="83">
        <v>652</v>
      </c>
      <c r="H661" s="220" t="s">
        <v>2614</v>
      </c>
      <c r="I661" s="221" t="str">
        <f>VLOOKUP(MP_cierre[[#This Row],[OT]],MP_registro[[#All],[OT]:[PROGRAMADO]],9,FALSE)</f>
        <v>G2</v>
      </c>
      <c r="J661" s="222">
        <v>44782</v>
      </c>
      <c r="K661" s="223">
        <v>44783</v>
      </c>
      <c r="L661" s="224">
        <v>0.91666666666666663</v>
      </c>
      <c r="M661" s="224">
        <v>0.9375</v>
      </c>
    </row>
    <row r="662" spans="6:13" ht="30" customHeight="1">
      <c r="F662" s="62"/>
      <c r="G662" s="83">
        <v>653</v>
      </c>
      <c r="H662" s="220" t="s">
        <v>2615</v>
      </c>
      <c r="I662" s="221" t="str">
        <f>VLOOKUP(MP_cierre[[#This Row],[OT]],MP_registro[[#All],[OT]:[PROGRAMADO]],9,FALSE)</f>
        <v>G2</v>
      </c>
      <c r="J662" s="222">
        <v>44782</v>
      </c>
      <c r="K662" s="223">
        <v>44782</v>
      </c>
      <c r="L662" s="224">
        <v>0.85416666666666663</v>
      </c>
      <c r="M662" s="224">
        <v>0.875</v>
      </c>
    </row>
    <row r="663" spans="6:13" ht="30" customHeight="1">
      <c r="F663" s="62"/>
      <c r="G663" s="83">
        <v>654</v>
      </c>
      <c r="H663" s="220" t="s">
        <v>2616</v>
      </c>
      <c r="I663" s="221" t="str">
        <f>VLOOKUP(MP_cierre[[#This Row],[OT]],MP_registro[[#All],[OT]:[PROGRAMADO]],9,FALSE)</f>
        <v>G2</v>
      </c>
      <c r="J663" s="222">
        <v>44782</v>
      </c>
      <c r="K663" s="223">
        <v>44782</v>
      </c>
      <c r="L663" s="224">
        <v>0.875</v>
      </c>
      <c r="M663" s="224">
        <v>0.89583333333333337</v>
      </c>
    </row>
    <row r="664" spans="6:13" ht="30" customHeight="1">
      <c r="F664" s="62"/>
      <c r="G664" s="83">
        <v>655</v>
      </c>
      <c r="H664" s="220" t="s">
        <v>2617</v>
      </c>
      <c r="I664" s="221" t="str">
        <f>VLOOKUP(MP_cierre[[#This Row],[OT]],MP_registro[[#All],[OT]:[PROGRAMADO]],9,FALSE)</f>
        <v>G2</v>
      </c>
      <c r="J664" s="222">
        <v>44782</v>
      </c>
      <c r="K664" s="223">
        <v>44783</v>
      </c>
      <c r="L664" s="224">
        <v>0.89583333333333337</v>
      </c>
      <c r="M664" s="224">
        <v>0.91666666666666663</v>
      </c>
    </row>
    <row r="665" spans="6:13" ht="30" customHeight="1">
      <c r="F665" s="62"/>
      <c r="G665" s="83">
        <v>656</v>
      </c>
      <c r="H665" s="220" t="s">
        <v>2618</v>
      </c>
      <c r="I665" s="221" t="str">
        <f>VLOOKUP(MP_cierre[[#This Row],[OT]],MP_registro[[#All],[OT]:[PROGRAMADO]],9,FALSE)</f>
        <v>G2</v>
      </c>
      <c r="J665" s="222">
        <v>44782</v>
      </c>
      <c r="K665" s="223">
        <v>44781</v>
      </c>
      <c r="L665" s="224">
        <v>0.85416666666666663</v>
      </c>
      <c r="M665" s="224">
        <v>0.875</v>
      </c>
    </row>
    <row r="666" spans="6:13" ht="30" customHeight="1">
      <c r="F666" s="62"/>
      <c r="G666" s="83">
        <v>657</v>
      </c>
      <c r="H666" s="220" t="s">
        <v>2619</v>
      </c>
      <c r="I666" s="221" t="str">
        <f>VLOOKUP(MP_cierre[[#This Row],[OT]],MP_registro[[#All],[OT]:[PROGRAMADO]],9,FALSE)</f>
        <v>G1</v>
      </c>
      <c r="J666" s="222">
        <v>44782</v>
      </c>
      <c r="K666" s="223">
        <v>44783</v>
      </c>
      <c r="L666" s="224">
        <v>0.4236111111111111</v>
      </c>
      <c r="M666" s="224">
        <v>0.4375</v>
      </c>
    </row>
    <row r="667" spans="6:13" ht="30" customHeight="1">
      <c r="F667" s="62"/>
      <c r="G667" s="83">
        <v>658</v>
      </c>
      <c r="H667" s="225" t="s">
        <v>2620</v>
      </c>
      <c r="I667" s="226" t="str">
        <f>VLOOKUP(MP_cierre[[#This Row],[OT]],MP_registro[[#All],[OT]:[PROGRAMADO]],9,FALSE)</f>
        <v>G2</v>
      </c>
      <c r="J667" s="227">
        <v>44782</v>
      </c>
      <c r="K667" s="228">
        <v>44781</v>
      </c>
      <c r="L667" s="229">
        <v>0.875</v>
      </c>
      <c r="M667" s="229">
        <v>0.89583333333333337</v>
      </c>
    </row>
    <row r="668" spans="6:13" ht="30" customHeight="1">
      <c r="F668" s="62"/>
      <c r="G668" s="83">
        <v>659</v>
      </c>
      <c r="H668" s="220" t="s">
        <v>2622</v>
      </c>
      <c r="I668" s="221" t="str">
        <f>VLOOKUP(MP_cierre[[#This Row],[OT]],MP_registro[[#All],[OT]:[PROGRAMADO]],9,FALSE)</f>
        <v>G1</v>
      </c>
      <c r="J668" s="222">
        <v>44783</v>
      </c>
      <c r="K668" s="223">
        <v>44782</v>
      </c>
      <c r="L668" s="224">
        <v>0.41666666666666669</v>
      </c>
      <c r="M668" s="224">
        <v>0.4375</v>
      </c>
    </row>
    <row r="669" spans="6:13" ht="30" customHeight="1">
      <c r="F669" s="62"/>
      <c r="G669" s="83">
        <v>660</v>
      </c>
      <c r="H669" s="220" t="s">
        <v>2623</v>
      </c>
      <c r="I669" s="221" t="str">
        <f>VLOOKUP(MP_cierre[[#This Row],[OT]],MP_registro[[#All],[OT]:[PROGRAMADO]],9,FALSE)</f>
        <v>G2</v>
      </c>
      <c r="J669" s="222">
        <v>44783</v>
      </c>
      <c r="K669" s="223">
        <v>44781</v>
      </c>
      <c r="L669" s="224">
        <v>0.91666666666666663</v>
      </c>
      <c r="M669" s="224">
        <v>0.95833333333333337</v>
      </c>
    </row>
    <row r="670" spans="6:13" ht="30" customHeight="1">
      <c r="F670" s="62"/>
      <c r="G670" s="83">
        <v>661</v>
      </c>
      <c r="H670" s="220" t="s">
        <v>2624</v>
      </c>
      <c r="I670" s="221" t="str">
        <f>VLOOKUP(MP_cierre[[#This Row],[OT]],MP_registro[[#All],[OT]:[PROGRAMADO]],9,FALSE)</f>
        <v>G3</v>
      </c>
      <c r="J670" s="222">
        <v>44783</v>
      </c>
      <c r="K670" s="223">
        <v>44785</v>
      </c>
      <c r="L670" s="224">
        <v>0.59722222222222221</v>
      </c>
      <c r="M670" s="224">
        <v>0.60763888888888895</v>
      </c>
    </row>
    <row r="671" spans="6:13" ht="30" customHeight="1">
      <c r="F671" s="62"/>
      <c r="G671" s="83">
        <v>662</v>
      </c>
      <c r="H671" s="225" t="s">
        <v>2625</v>
      </c>
      <c r="I671" s="226" t="str">
        <f>VLOOKUP(MP_cierre[[#This Row],[OT]],MP_registro[[#All],[OT]:[PROGRAMADO]],9,FALSE)</f>
        <v>G3</v>
      </c>
      <c r="J671" s="227">
        <v>44783</v>
      </c>
      <c r="K671" s="228">
        <v>44785</v>
      </c>
      <c r="L671" s="229">
        <v>0.45833333333333331</v>
      </c>
      <c r="M671" s="229">
        <v>0.47222222222222227</v>
      </c>
    </row>
    <row r="672" spans="6:13" ht="30" customHeight="1">
      <c r="F672" s="62"/>
      <c r="G672" s="83">
        <v>663</v>
      </c>
      <c r="H672" s="220" t="s">
        <v>2627</v>
      </c>
      <c r="I672" s="221" t="str">
        <f>VLOOKUP(MP_cierre[[#This Row],[OT]],MP_registro[[#All],[OT]:[PROGRAMADO]],9,FALSE)</f>
        <v>G1</v>
      </c>
      <c r="J672" s="222">
        <v>44783</v>
      </c>
      <c r="K672" s="223">
        <v>44781</v>
      </c>
      <c r="L672" s="224">
        <v>0.63541666666666663</v>
      </c>
      <c r="M672" s="224">
        <v>0.64583333333333337</v>
      </c>
    </row>
    <row r="673" spans="6:13" ht="30" customHeight="1">
      <c r="F673" s="62"/>
      <c r="G673" s="83">
        <v>664</v>
      </c>
      <c r="H673" s="220" t="s">
        <v>2628</v>
      </c>
      <c r="I673" s="221" t="str">
        <f>VLOOKUP(MP_cierre[[#This Row],[OT]],MP_registro[[#All],[OT]:[PROGRAMADO]],9,FALSE)</f>
        <v>G3</v>
      </c>
      <c r="J673" s="222">
        <v>44784</v>
      </c>
      <c r="K673" s="223">
        <v>44789</v>
      </c>
      <c r="L673" s="224">
        <v>0.41666666666666669</v>
      </c>
      <c r="M673" s="224">
        <v>0.4375</v>
      </c>
    </row>
    <row r="674" spans="6:13" ht="30" customHeight="1">
      <c r="F674" s="62"/>
      <c r="G674" s="83">
        <v>665</v>
      </c>
      <c r="H674" s="220" t="s">
        <v>2629</v>
      </c>
      <c r="I674" s="221" t="str">
        <f>VLOOKUP(MP_cierre[[#This Row],[OT]],MP_registro[[#All],[OT]:[PROGRAMADO]],9,FALSE)</f>
        <v>G3</v>
      </c>
      <c r="J674" s="222">
        <v>44784</v>
      </c>
      <c r="K674" s="223">
        <v>44784</v>
      </c>
      <c r="L674" s="224">
        <v>0.41666666666666669</v>
      </c>
      <c r="M674" s="224">
        <v>0.44791666666666669</v>
      </c>
    </row>
    <row r="675" spans="6:13" ht="30" customHeight="1">
      <c r="F675" s="62"/>
      <c r="G675" s="83">
        <v>666</v>
      </c>
      <c r="H675" s="220" t="s">
        <v>2630</v>
      </c>
      <c r="I675" s="221" t="str">
        <f>VLOOKUP(MP_cierre[[#This Row],[OT]],MP_registro[[#All],[OT]:[PROGRAMADO]],9,FALSE)</f>
        <v>G3</v>
      </c>
      <c r="J675" s="222">
        <v>44785</v>
      </c>
      <c r="K675" s="223">
        <v>44786</v>
      </c>
      <c r="L675" s="224">
        <v>0.43124999999999997</v>
      </c>
      <c r="M675" s="224">
        <v>0.45833333333333331</v>
      </c>
    </row>
    <row r="676" spans="6:13" ht="30" customHeight="1">
      <c r="F676" s="62"/>
      <c r="G676" s="83">
        <v>667</v>
      </c>
      <c r="H676" s="220" t="s">
        <v>2631</v>
      </c>
      <c r="I676" s="221" t="str">
        <f>VLOOKUP(MP_cierre[[#This Row],[OT]],MP_registro[[#All],[OT]:[PROGRAMADO]],9,FALSE)</f>
        <v>G3</v>
      </c>
      <c r="J676" s="222">
        <v>44785</v>
      </c>
      <c r="K676" s="223">
        <v>44785</v>
      </c>
      <c r="L676" s="224">
        <v>0.39583333333333331</v>
      </c>
      <c r="M676" s="224">
        <v>0.4375</v>
      </c>
    </row>
    <row r="677" spans="6:13" ht="30" customHeight="1">
      <c r="F677" s="62"/>
      <c r="G677" s="83">
        <v>668</v>
      </c>
      <c r="H677" s="220" t="s">
        <v>2632</v>
      </c>
      <c r="I677" s="221" t="str">
        <f>VLOOKUP(MP_cierre[[#This Row],[OT]],MP_registro[[#All],[OT]:[PROGRAMADO]],9,FALSE)</f>
        <v>G4</v>
      </c>
      <c r="J677" s="222">
        <v>44785</v>
      </c>
      <c r="K677" s="223">
        <v>44788</v>
      </c>
      <c r="L677" s="224">
        <v>0.35416666666666669</v>
      </c>
      <c r="M677" s="224">
        <v>0.4236111111111111</v>
      </c>
    </row>
    <row r="678" spans="6:13" ht="30" customHeight="1">
      <c r="F678" s="62"/>
      <c r="G678" s="83">
        <v>669</v>
      </c>
      <c r="H678" s="220" t="s">
        <v>2633</v>
      </c>
      <c r="I678" s="221" t="str">
        <f>VLOOKUP(MP_cierre[[#This Row],[OT]],MP_registro[[#All],[OT]:[PROGRAMADO]],9,FALSE)</f>
        <v>G4</v>
      </c>
      <c r="J678" s="222">
        <v>44785</v>
      </c>
      <c r="K678" s="223">
        <v>44788</v>
      </c>
      <c r="L678" s="224">
        <v>0.4375</v>
      </c>
      <c r="M678" s="224">
        <v>0.50694444444444442</v>
      </c>
    </row>
    <row r="679" spans="6:13" ht="30" customHeight="1">
      <c r="F679" s="62"/>
      <c r="G679" s="83">
        <v>670</v>
      </c>
      <c r="H679" s="220" t="s">
        <v>2634</v>
      </c>
      <c r="I679" s="221" t="str">
        <f>VLOOKUP(MP_cierre[[#This Row],[OT]],MP_registro[[#All],[OT]:[PROGRAMADO]],9,FALSE)</f>
        <v>G4</v>
      </c>
      <c r="J679" s="222">
        <v>44785</v>
      </c>
      <c r="K679" s="223">
        <v>44788</v>
      </c>
      <c r="L679" s="224">
        <v>0.5625</v>
      </c>
      <c r="M679" s="224">
        <v>0.63194444444444442</v>
      </c>
    </row>
    <row r="680" spans="6:13" ht="30" customHeight="1">
      <c r="F680" s="62"/>
      <c r="G680" s="83">
        <v>671</v>
      </c>
      <c r="H680" s="220" t="s">
        <v>2635</v>
      </c>
      <c r="I680" s="221" t="str">
        <f>VLOOKUP(MP_cierre[[#This Row],[OT]],MP_registro[[#All],[OT]:[PROGRAMADO]],9,FALSE)</f>
        <v>G4</v>
      </c>
      <c r="J680" s="222">
        <v>44785</v>
      </c>
      <c r="K680" s="223">
        <v>44788</v>
      </c>
      <c r="L680" s="224">
        <v>0.64583333333333337</v>
      </c>
      <c r="M680" s="224">
        <v>0.71527777777777779</v>
      </c>
    </row>
    <row r="681" spans="6:13" ht="30" customHeight="1">
      <c r="F681" s="62"/>
      <c r="G681" s="83">
        <v>672</v>
      </c>
      <c r="H681" s="220" t="s">
        <v>2636</v>
      </c>
      <c r="I681" s="221" t="str">
        <f>VLOOKUP(MP_cierre[[#This Row],[OT]],MP_registro[[#All],[OT]:[PROGRAMADO]],9,FALSE)</f>
        <v>G1</v>
      </c>
      <c r="J681" s="222">
        <v>44785</v>
      </c>
      <c r="K681" s="223">
        <v>44781</v>
      </c>
      <c r="L681" s="224">
        <v>0.60416666666666663</v>
      </c>
      <c r="M681" s="224">
        <v>0.61458333333333337</v>
      </c>
    </row>
    <row r="682" spans="6:13" ht="30" customHeight="1">
      <c r="F682" s="62"/>
      <c r="G682" s="83">
        <v>673</v>
      </c>
      <c r="H682" s="220" t="s">
        <v>2637</v>
      </c>
      <c r="I682" s="221" t="str">
        <f>VLOOKUP(MP_cierre[[#This Row],[OT]],MP_registro[[#All],[OT]:[PROGRAMADO]],9,FALSE)</f>
        <v>G1</v>
      </c>
      <c r="J682" s="222">
        <v>44785</v>
      </c>
      <c r="K682" s="223">
        <v>44781</v>
      </c>
      <c r="L682" s="224">
        <v>0.59027777777777779</v>
      </c>
      <c r="M682" s="224">
        <v>0.60416666666666663</v>
      </c>
    </row>
    <row r="683" spans="6:13" ht="30" customHeight="1">
      <c r="F683" s="62"/>
      <c r="G683" s="83">
        <v>674</v>
      </c>
      <c r="H683" s="220" t="s">
        <v>2638</v>
      </c>
      <c r="I683" s="221" t="str">
        <f>VLOOKUP(MP_cierre[[#This Row],[OT]],MP_registro[[#All],[OT]:[PROGRAMADO]],9,FALSE)</f>
        <v>G1</v>
      </c>
      <c r="J683" s="222">
        <v>44785</v>
      </c>
      <c r="K683" s="223">
        <v>44783</v>
      </c>
      <c r="L683" s="224">
        <v>0.46875</v>
      </c>
      <c r="M683" s="224">
        <v>0.47916666666666669</v>
      </c>
    </row>
    <row r="684" spans="6:13" ht="30" customHeight="1">
      <c r="F684" s="62"/>
      <c r="G684" s="83">
        <v>675</v>
      </c>
      <c r="H684" s="220" t="s">
        <v>2639</v>
      </c>
      <c r="I684" s="221" t="str">
        <f>VLOOKUP(MP_cierre[[#This Row],[OT]],MP_registro[[#All],[OT]:[PROGRAMADO]],9,FALSE)</f>
        <v>G1</v>
      </c>
      <c r="J684" s="222">
        <v>44785</v>
      </c>
      <c r="K684" s="223">
        <v>44781</v>
      </c>
      <c r="L684" s="224">
        <v>0.625</v>
      </c>
      <c r="M684" s="224">
        <v>0.63541666666666663</v>
      </c>
    </row>
    <row r="685" spans="6:13" ht="30" customHeight="1">
      <c r="F685" s="62"/>
      <c r="G685" s="83">
        <v>676</v>
      </c>
      <c r="H685" s="225" t="s">
        <v>2640</v>
      </c>
      <c r="I685" s="226" t="str">
        <f>VLOOKUP(MP_cierre[[#This Row],[OT]],MP_registro[[#All],[OT]:[PROGRAMADO]],9,FALSE)</f>
        <v>G1</v>
      </c>
      <c r="J685" s="227">
        <v>44785</v>
      </c>
      <c r="K685" s="228">
        <v>44781</v>
      </c>
      <c r="L685" s="229">
        <v>0.64583333333333337</v>
      </c>
      <c r="M685" s="229">
        <v>0.65625</v>
      </c>
    </row>
    <row r="686" spans="6:13" ht="30" customHeight="1">
      <c r="F686" s="62"/>
      <c r="G686" s="83">
        <v>677</v>
      </c>
      <c r="H686" s="220" t="s">
        <v>2642</v>
      </c>
      <c r="I686" s="221" t="str">
        <f>VLOOKUP(MP_cierre[[#This Row],[OT]],MP_registro[[#All],[OT]:[PROGRAMADO]],9,FALSE)</f>
        <v>G3</v>
      </c>
      <c r="J686" s="222">
        <v>44786</v>
      </c>
      <c r="K686" s="223">
        <v>44789</v>
      </c>
      <c r="L686" s="224">
        <v>0.44097222222222227</v>
      </c>
      <c r="M686" s="224">
        <v>0.47916666666666669</v>
      </c>
    </row>
    <row r="687" spans="6:13" ht="30" customHeight="1">
      <c r="F687" s="62"/>
      <c r="G687" s="83">
        <v>678</v>
      </c>
      <c r="H687" s="220" t="s">
        <v>2643</v>
      </c>
      <c r="I687" s="221" t="str">
        <f>VLOOKUP(MP_cierre[[#This Row],[OT]],MP_registro[[#All],[OT]:[PROGRAMADO]],9,FALSE)</f>
        <v>G3</v>
      </c>
      <c r="J687" s="222">
        <v>44786</v>
      </c>
      <c r="K687" s="223">
        <v>44789</v>
      </c>
      <c r="L687" s="224">
        <v>0.68055555555555547</v>
      </c>
      <c r="M687" s="224">
        <v>0.70833333333333337</v>
      </c>
    </row>
    <row r="688" spans="6:13" ht="30" customHeight="1">
      <c r="F688" s="62"/>
      <c r="G688" s="83">
        <v>679</v>
      </c>
      <c r="H688" s="220" t="s">
        <v>2644</v>
      </c>
      <c r="I688" s="221" t="str">
        <f>VLOOKUP(MP_cierre[[#This Row],[OT]],MP_registro[[#All],[OT]:[PROGRAMADO]],9,FALSE)</f>
        <v>G4</v>
      </c>
      <c r="J688" s="222">
        <v>44786</v>
      </c>
      <c r="K688" s="223">
        <v>44789</v>
      </c>
      <c r="L688" s="224">
        <v>0.35416666666666669</v>
      </c>
      <c r="M688" s="224">
        <v>0.4236111111111111</v>
      </c>
    </row>
    <row r="689" spans="6:13" ht="30" customHeight="1">
      <c r="F689" s="62"/>
      <c r="G689" s="83">
        <v>680</v>
      </c>
      <c r="H689" s="220" t="s">
        <v>2645</v>
      </c>
      <c r="I689" s="221" t="str">
        <f>VLOOKUP(MP_cierre[[#This Row],[OT]],MP_registro[[#All],[OT]:[PROGRAMADO]],9,FALSE)</f>
        <v>G4</v>
      </c>
      <c r="J689" s="222">
        <v>44786</v>
      </c>
      <c r="K689" s="223">
        <v>44789</v>
      </c>
      <c r="L689" s="224">
        <v>0.4375</v>
      </c>
      <c r="M689" s="224">
        <v>0.50694444444444442</v>
      </c>
    </row>
    <row r="690" spans="6:13" ht="30" customHeight="1">
      <c r="F690" s="62"/>
      <c r="G690" s="83">
        <v>681</v>
      </c>
      <c r="H690" s="220" t="s">
        <v>2646</v>
      </c>
      <c r="I690" s="221" t="str">
        <f>VLOOKUP(MP_cierre[[#This Row],[OT]],MP_registro[[#All],[OT]:[PROGRAMADO]],9,FALSE)</f>
        <v>G4</v>
      </c>
      <c r="J690" s="222">
        <v>44786</v>
      </c>
      <c r="K690" s="223">
        <v>44789</v>
      </c>
      <c r="L690" s="224">
        <v>0.5625</v>
      </c>
      <c r="M690" s="224">
        <v>0.63194444444444442</v>
      </c>
    </row>
    <row r="691" spans="6:13" ht="30" customHeight="1">
      <c r="F691" s="62"/>
      <c r="G691" s="83">
        <v>682</v>
      </c>
      <c r="H691" s="220" t="s">
        <v>2647</v>
      </c>
      <c r="I691" s="221" t="str">
        <f>VLOOKUP(MP_cierre[[#This Row],[OT]],MP_registro[[#All],[OT]:[PROGRAMADO]],9,FALSE)</f>
        <v>G2</v>
      </c>
      <c r="J691" s="222">
        <v>44786</v>
      </c>
      <c r="K691" s="223">
        <v>44783</v>
      </c>
      <c r="L691" s="224">
        <v>0.9375</v>
      </c>
      <c r="M691" s="224">
        <v>0.95833333333333337</v>
      </c>
    </row>
    <row r="692" spans="6:13" ht="30" customHeight="1">
      <c r="F692" s="62"/>
      <c r="G692" s="83">
        <v>683</v>
      </c>
      <c r="H692" s="220" t="s">
        <v>2648</v>
      </c>
      <c r="I692" s="221" t="str">
        <f>VLOOKUP(MP_cierre[[#This Row],[OT]],MP_registro[[#All],[OT]:[PROGRAMADO]],9,FALSE)</f>
        <v>G2</v>
      </c>
      <c r="J692" s="222">
        <v>44786</v>
      </c>
      <c r="K692" s="223">
        <v>44782</v>
      </c>
      <c r="L692" s="224">
        <v>0.83333333333333337</v>
      </c>
      <c r="M692" s="224">
        <v>0.85416666666666663</v>
      </c>
    </row>
    <row r="693" spans="6:13" ht="30" customHeight="1">
      <c r="F693" s="62"/>
      <c r="G693" s="83">
        <v>684</v>
      </c>
      <c r="H693" s="225" t="s">
        <v>2649</v>
      </c>
      <c r="I693" s="226" t="str">
        <f>VLOOKUP(MP_cierre[[#This Row],[OT]],MP_registro[[#All],[OT]:[PROGRAMADO]],9,FALSE)</f>
        <v>G1</v>
      </c>
      <c r="J693" s="227">
        <v>44787</v>
      </c>
      <c r="K693" s="228">
        <v>44782</v>
      </c>
      <c r="L693" s="229">
        <v>0.375</v>
      </c>
      <c r="M693" s="229">
        <v>0.41666666666666669</v>
      </c>
    </row>
    <row r="694" spans="6:13" ht="30" customHeight="1">
      <c r="F694" s="62"/>
      <c r="G694" s="83">
        <v>685</v>
      </c>
      <c r="H694" s="220" t="s">
        <v>2651</v>
      </c>
      <c r="I694" s="221" t="str">
        <f>VLOOKUP(MP_cierre[[#This Row],[OT]],MP_registro[[#All],[OT]:[PROGRAMADO]],9,FALSE)</f>
        <v>G3</v>
      </c>
      <c r="J694" s="222">
        <v>44787</v>
      </c>
      <c r="K694" s="223">
        <v>44789</v>
      </c>
      <c r="L694" s="224">
        <v>0.625</v>
      </c>
      <c r="M694" s="224">
        <v>0.66666666666666663</v>
      </c>
    </row>
    <row r="695" spans="6:13" ht="30" customHeight="1">
      <c r="F695" s="62"/>
      <c r="G695" s="83">
        <v>686</v>
      </c>
      <c r="H695" s="225" t="s">
        <v>2652</v>
      </c>
      <c r="I695" s="226" t="str">
        <f>VLOOKUP(MP_cierre[[#This Row],[OT]],MP_registro[[#All],[OT]:[PROGRAMADO]],9,FALSE)</f>
        <v>G1</v>
      </c>
      <c r="J695" s="227">
        <v>44787</v>
      </c>
      <c r="K695" s="228">
        <v>44789</v>
      </c>
      <c r="L695" s="229">
        <v>0.14583333333333334</v>
      </c>
      <c r="M695" s="229">
        <v>0.16666666666666666</v>
      </c>
    </row>
    <row r="696" spans="6:13" ht="30" customHeight="1">
      <c r="F696" s="62"/>
      <c r="G696" s="83">
        <v>687</v>
      </c>
      <c r="H696" s="220" t="s">
        <v>2654</v>
      </c>
      <c r="I696" s="221" t="str">
        <f>VLOOKUP(MP_cierre[[#This Row],[OT]],MP_registro[[#All],[OT]:[PROGRAMADO]],9,FALSE)</f>
        <v>G4</v>
      </c>
      <c r="J696" s="222">
        <v>44787</v>
      </c>
      <c r="K696" s="223">
        <v>44790</v>
      </c>
      <c r="L696" s="224">
        <v>0.4375</v>
      </c>
      <c r="M696" s="224">
        <v>0.50694444444444442</v>
      </c>
    </row>
    <row r="697" spans="6:13" ht="30" customHeight="1">
      <c r="F697" s="62"/>
      <c r="G697" s="83">
        <v>688</v>
      </c>
      <c r="H697" s="220" t="s">
        <v>2655</v>
      </c>
      <c r="I697" s="221" t="str">
        <f>VLOOKUP(MP_cierre[[#This Row],[OT]],MP_registro[[#All],[OT]:[PROGRAMADO]],9,FALSE)</f>
        <v>G4</v>
      </c>
      <c r="J697" s="222">
        <v>44787</v>
      </c>
      <c r="K697" s="223">
        <v>44790</v>
      </c>
      <c r="L697" s="224">
        <v>0.3611111111111111</v>
      </c>
      <c r="M697" s="224">
        <v>0.43055555555555558</v>
      </c>
    </row>
    <row r="698" spans="6:13" ht="30" customHeight="1">
      <c r="F698" s="62"/>
      <c r="G698" s="83">
        <v>689</v>
      </c>
      <c r="H698" s="220" t="s">
        <v>2656</v>
      </c>
      <c r="I698" s="221" t="str">
        <f>VLOOKUP(MP_cierre[[#This Row],[OT]],MP_registro[[#All],[OT]:[PROGRAMADO]],9,FALSE)</f>
        <v>G4</v>
      </c>
      <c r="J698" s="222">
        <v>44787</v>
      </c>
      <c r="K698" s="223">
        <v>44789</v>
      </c>
      <c r="L698" s="224">
        <v>0.64583333333333337</v>
      </c>
      <c r="M698" s="224">
        <v>0.71527777777777779</v>
      </c>
    </row>
    <row r="699" spans="6:13" ht="30" customHeight="1">
      <c r="F699" s="62"/>
      <c r="G699" s="83">
        <v>690</v>
      </c>
      <c r="H699" s="220" t="s">
        <v>2657</v>
      </c>
      <c r="I699" s="221" t="str">
        <f>VLOOKUP(MP_cierre[[#This Row],[OT]],MP_registro[[#All],[OT]:[PROGRAMADO]],9,FALSE)</f>
        <v>G4</v>
      </c>
      <c r="J699" s="222">
        <v>44787</v>
      </c>
      <c r="K699" s="223">
        <v>44790</v>
      </c>
      <c r="L699" s="224">
        <v>0.58333333333333337</v>
      </c>
      <c r="M699" s="224">
        <v>0.65277777777777779</v>
      </c>
    </row>
    <row r="700" spans="6:13" ht="30" customHeight="1">
      <c r="F700" s="62"/>
      <c r="G700" s="83">
        <v>691</v>
      </c>
      <c r="H700" s="220" t="s">
        <v>2658</v>
      </c>
      <c r="I700" s="221" t="str">
        <f>VLOOKUP(MP_cierre[[#This Row],[OT]],MP_registro[[#All],[OT]:[PROGRAMADO]],9,FALSE)</f>
        <v>G1</v>
      </c>
      <c r="J700" s="222">
        <v>44787</v>
      </c>
      <c r="K700" s="223">
        <v>44783</v>
      </c>
      <c r="L700" s="224">
        <v>0.45833333333333331</v>
      </c>
      <c r="M700" s="224">
        <v>0.47222222222222227</v>
      </c>
    </row>
    <row r="701" spans="6:13" ht="30" customHeight="1">
      <c r="F701" s="62"/>
      <c r="G701" s="83">
        <v>692</v>
      </c>
      <c r="H701" s="225" t="s">
        <v>2659</v>
      </c>
      <c r="I701" s="226" t="str">
        <f>VLOOKUP(MP_cierre[[#This Row],[OT]],MP_registro[[#All],[OT]:[PROGRAMADO]],9,FALSE)</f>
        <v>G3</v>
      </c>
      <c r="J701" s="227">
        <v>44787</v>
      </c>
      <c r="K701" s="228">
        <v>44785</v>
      </c>
      <c r="L701" s="229">
        <v>0.58333333333333337</v>
      </c>
      <c r="M701" s="229">
        <v>0.59375</v>
      </c>
    </row>
    <row r="702" spans="6:13" ht="30" customHeight="1">
      <c r="F702" s="62"/>
      <c r="G702" s="83">
        <v>693</v>
      </c>
      <c r="H702" s="220" t="s">
        <v>2746</v>
      </c>
      <c r="I702" s="221" t="str">
        <f>VLOOKUP(MP_cierre[[#This Row],[OT]],MP_registro[[#All],[OT]:[PROGRAMADO]],9,FALSE)</f>
        <v>G2</v>
      </c>
      <c r="J702" s="222">
        <v>44795</v>
      </c>
      <c r="K702" s="223">
        <v>44801</v>
      </c>
      <c r="L702" s="224">
        <v>0.10416666666666667</v>
      </c>
      <c r="M702" s="224">
        <v>0.125</v>
      </c>
    </row>
    <row r="703" spans="6:13" ht="30" customHeight="1">
      <c r="F703" s="62"/>
      <c r="G703" s="83">
        <v>694</v>
      </c>
      <c r="H703" s="220" t="s">
        <v>2747</v>
      </c>
      <c r="I703" s="221" t="str">
        <f>VLOOKUP(MP_cierre[[#This Row],[OT]],MP_registro[[#All],[OT]:[PROGRAMADO]],9,FALSE)</f>
        <v>G2</v>
      </c>
      <c r="J703" s="222">
        <v>44795</v>
      </c>
      <c r="K703" s="223">
        <v>44801</v>
      </c>
      <c r="L703" s="224">
        <v>8.3333333333333329E-2</v>
      </c>
      <c r="M703" s="224">
        <v>0.10416666666666667</v>
      </c>
    </row>
    <row r="704" spans="6:13" ht="30" customHeight="1">
      <c r="F704" s="62"/>
      <c r="G704" s="83">
        <v>695</v>
      </c>
      <c r="H704" s="220" t="s">
        <v>2748</v>
      </c>
      <c r="I704" s="221" t="str">
        <f>VLOOKUP(MP_cierre[[#This Row],[OT]],MP_registro[[#All],[OT]:[PROGRAMADO]],9,FALSE)</f>
        <v>G2</v>
      </c>
      <c r="J704" s="222">
        <v>44795</v>
      </c>
      <c r="K704" s="223">
        <v>44795</v>
      </c>
      <c r="L704" s="224">
        <v>0.375</v>
      </c>
      <c r="M704" s="224">
        <v>0.39583333333333331</v>
      </c>
    </row>
    <row r="705" spans="6:13" ht="30" customHeight="1">
      <c r="F705" s="62"/>
      <c r="G705" s="83">
        <v>696</v>
      </c>
      <c r="H705" s="220" t="s">
        <v>2749</v>
      </c>
      <c r="I705" s="221" t="str">
        <f>VLOOKUP(MP_cierre[[#This Row],[OT]],MP_registro[[#All],[OT]:[PROGRAMADO]],9,FALSE)</f>
        <v>G2</v>
      </c>
      <c r="J705" s="222">
        <v>44795</v>
      </c>
      <c r="K705" s="223">
        <v>44799</v>
      </c>
      <c r="L705" s="224">
        <v>0.83333333333333337</v>
      </c>
      <c r="M705" s="224">
        <v>0.85416666666666663</v>
      </c>
    </row>
    <row r="706" spans="6:13" ht="30" customHeight="1">
      <c r="F706" s="62"/>
      <c r="G706" s="83">
        <v>697</v>
      </c>
      <c r="H706" s="220" t="s">
        <v>2750</v>
      </c>
      <c r="I706" s="221" t="str">
        <f>VLOOKUP(MP_cierre[[#This Row],[OT]],MP_registro[[#All],[OT]:[PROGRAMADO]],9,FALSE)</f>
        <v>G2</v>
      </c>
      <c r="J706" s="222">
        <v>44795</v>
      </c>
      <c r="K706" s="223">
        <v>44798</v>
      </c>
      <c r="L706" s="224">
        <v>0.875</v>
      </c>
      <c r="M706" s="224">
        <v>0.89583333333333337</v>
      </c>
    </row>
    <row r="707" spans="6:13" ht="30" customHeight="1">
      <c r="F707" s="62"/>
      <c r="G707" s="83">
        <v>698</v>
      </c>
      <c r="H707" s="220" t="s">
        <v>2751</v>
      </c>
      <c r="I707" s="221" t="str">
        <f>VLOOKUP(MP_cierre[[#This Row],[OT]],MP_registro[[#All],[OT]:[PROGRAMADO]],9,FALSE)</f>
        <v>G2</v>
      </c>
      <c r="J707" s="222">
        <v>44796</v>
      </c>
      <c r="K707" s="223">
        <v>44796</v>
      </c>
      <c r="L707" s="224">
        <v>0.41666666666666669</v>
      </c>
      <c r="M707" s="224">
        <v>0.4375</v>
      </c>
    </row>
    <row r="708" spans="6:13" ht="30" customHeight="1">
      <c r="F708" s="62"/>
      <c r="G708" s="83">
        <v>699</v>
      </c>
      <c r="H708" s="220" t="s">
        <v>2752</v>
      </c>
      <c r="I708" s="221" t="str">
        <f>VLOOKUP(MP_cierre[[#This Row],[OT]],MP_registro[[#All],[OT]:[PROGRAMADO]],9,FALSE)</f>
        <v>G2</v>
      </c>
      <c r="J708" s="222">
        <v>44796</v>
      </c>
      <c r="K708" s="223">
        <v>44796</v>
      </c>
      <c r="L708" s="224">
        <v>0.39583333333333331</v>
      </c>
      <c r="M708" s="224">
        <v>0.41666666666666669</v>
      </c>
    </row>
    <row r="709" spans="6:13" ht="30" customHeight="1">
      <c r="F709" s="62"/>
      <c r="G709" s="83">
        <v>700</v>
      </c>
      <c r="H709" s="220" t="s">
        <v>2753</v>
      </c>
      <c r="I709" s="221" t="str">
        <f>VLOOKUP(MP_cierre[[#This Row],[OT]],MP_registro[[#All],[OT]:[PROGRAMADO]],9,FALSE)</f>
        <v>G2</v>
      </c>
      <c r="J709" s="222">
        <v>44796</v>
      </c>
      <c r="K709" s="223">
        <v>44796</v>
      </c>
      <c r="L709" s="224">
        <v>0.375</v>
      </c>
      <c r="M709" s="224">
        <v>0.39583333333333331</v>
      </c>
    </row>
    <row r="710" spans="6:13" ht="30" customHeight="1">
      <c r="F710" s="62"/>
      <c r="G710" s="83">
        <v>701</v>
      </c>
      <c r="H710" s="225" t="s">
        <v>2754</v>
      </c>
      <c r="I710" s="226" t="str">
        <f>VLOOKUP(MP_cierre[[#This Row],[OT]],MP_registro[[#All],[OT]:[PROGRAMADO]],9,FALSE)</f>
        <v>G2</v>
      </c>
      <c r="J710" s="227">
        <v>44796</v>
      </c>
      <c r="K710" s="228">
        <v>44796</v>
      </c>
      <c r="L710" s="229">
        <v>0.4375</v>
      </c>
      <c r="M710" s="229">
        <v>0.45833333333333331</v>
      </c>
    </row>
    <row r="711" spans="6:13" ht="30" customHeight="1">
      <c r="F711" s="62"/>
      <c r="G711" s="83">
        <v>702</v>
      </c>
      <c r="H711" s="220" t="s">
        <v>2762</v>
      </c>
      <c r="I711" s="221" t="str">
        <f>VLOOKUP(MP_cierre[[#This Row],[OT]],MP_registro[[#All],[OT]:[PROGRAMADO]],9,FALSE)</f>
        <v>G1</v>
      </c>
      <c r="J711" s="222">
        <v>44797</v>
      </c>
      <c r="K711" s="223">
        <v>44802</v>
      </c>
      <c r="L711" s="224">
        <v>0.34722222222222227</v>
      </c>
      <c r="M711" s="224">
        <v>0.38194444444444442</v>
      </c>
    </row>
    <row r="712" spans="6:13" ht="30" customHeight="1">
      <c r="F712" s="62"/>
      <c r="G712" s="83">
        <v>703</v>
      </c>
      <c r="H712" s="220" t="s">
        <v>2763</v>
      </c>
      <c r="I712" s="221" t="str">
        <f>VLOOKUP(MP_cierre[[#This Row],[OT]],MP_registro[[#All],[OT]:[PROGRAMADO]],9,FALSE)</f>
        <v>G1</v>
      </c>
      <c r="J712" s="222">
        <v>44798</v>
      </c>
      <c r="K712" s="223">
        <v>44802</v>
      </c>
      <c r="L712" s="224">
        <v>0.3888888888888889</v>
      </c>
      <c r="M712" s="224">
        <v>0.40972222222222227</v>
      </c>
    </row>
    <row r="713" spans="6:13" ht="30" customHeight="1">
      <c r="F713" s="62"/>
      <c r="G713" s="83">
        <v>704</v>
      </c>
      <c r="H713" s="220" t="s">
        <v>2764</v>
      </c>
      <c r="I713" s="221" t="str">
        <f>VLOOKUP(MP_cierre[[#This Row],[OT]],MP_registro[[#All],[OT]:[PROGRAMADO]],9,FALSE)</f>
        <v>G4</v>
      </c>
      <c r="J713" s="222">
        <v>44797</v>
      </c>
      <c r="K713" s="223">
        <v>44798</v>
      </c>
      <c r="L713" s="224">
        <v>0.3611111111111111</v>
      </c>
      <c r="M713" s="224">
        <v>0.43055555555555558</v>
      </c>
    </row>
    <row r="714" spans="6:13" ht="30" customHeight="1">
      <c r="F714" s="62"/>
      <c r="G714" s="83">
        <v>705</v>
      </c>
      <c r="H714" s="220" t="s">
        <v>2765</v>
      </c>
      <c r="I714" s="221" t="str">
        <f>VLOOKUP(MP_cierre[[#This Row],[OT]],MP_registro[[#All],[OT]:[PROGRAMADO]],9,FALSE)</f>
        <v>G1</v>
      </c>
      <c r="J714" s="222">
        <v>44799</v>
      </c>
      <c r="K714" s="223">
        <v>44803</v>
      </c>
      <c r="L714" s="224">
        <v>0.34722222222222227</v>
      </c>
      <c r="M714" s="224">
        <v>0.3888888888888889</v>
      </c>
    </row>
    <row r="715" spans="6:13" ht="30" customHeight="1">
      <c r="F715" s="62"/>
      <c r="G715" s="83">
        <v>706</v>
      </c>
      <c r="H715" s="225" t="s">
        <v>2766</v>
      </c>
      <c r="I715" s="226" t="str">
        <f>VLOOKUP(MP_cierre[[#This Row],[OT]],MP_registro[[#All],[OT]:[PROGRAMADO]],9,FALSE)</f>
        <v>G1</v>
      </c>
      <c r="J715" s="227">
        <v>44796</v>
      </c>
      <c r="K715" s="228">
        <v>44798</v>
      </c>
      <c r="L715" s="229">
        <v>0.47916666666666669</v>
      </c>
      <c r="M715" s="229">
        <v>0.48958333333333331</v>
      </c>
    </row>
    <row r="716" spans="6:13" ht="30" customHeight="1">
      <c r="F716" s="62"/>
      <c r="G716" s="83">
        <v>707</v>
      </c>
      <c r="H716" s="220" t="s">
        <v>2768</v>
      </c>
      <c r="I716" s="221" t="str">
        <f>VLOOKUP(MP_cierre[[#This Row],[OT]],MP_registro[[#All],[OT]:[PROGRAMADO]],9,FALSE)</f>
        <v>G1</v>
      </c>
      <c r="J716" s="222">
        <v>44796</v>
      </c>
      <c r="K716" s="223">
        <v>44798</v>
      </c>
      <c r="L716" s="224">
        <v>0.45833333333333331</v>
      </c>
      <c r="M716" s="224">
        <v>0.46527777777777773</v>
      </c>
    </row>
    <row r="717" spans="6:13" ht="30" customHeight="1">
      <c r="F717" s="62"/>
      <c r="G717" s="83">
        <v>708</v>
      </c>
      <c r="H717" s="220" t="s">
        <v>2769</v>
      </c>
      <c r="I717" s="221" t="str">
        <f>VLOOKUP(MP_cierre[[#This Row],[OT]],MP_registro[[#All],[OT]:[PROGRAMADO]],9,FALSE)</f>
        <v>G1</v>
      </c>
      <c r="J717" s="222">
        <v>44796</v>
      </c>
      <c r="K717" s="223">
        <v>44798</v>
      </c>
      <c r="L717" s="224">
        <v>0.6875</v>
      </c>
      <c r="M717" s="224">
        <v>0.70833333333333337</v>
      </c>
    </row>
    <row r="718" spans="6:13" ht="30" customHeight="1">
      <c r="F718" s="62"/>
      <c r="G718" s="83">
        <v>709</v>
      </c>
      <c r="H718" s="220" t="s">
        <v>2770</v>
      </c>
      <c r="I718" s="221" t="str">
        <f>VLOOKUP(MP_cierre[[#This Row],[OT]],MP_registro[[#All],[OT]:[PROGRAMADO]],9,FALSE)</f>
        <v>G1</v>
      </c>
      <c r="J718" s="222">
        <v>44797</v>
      </c>
      <c r="K718" s="223">
        <v>44801</v>
      </c>
      <c r="L718" s="224">
        <v>0.63194444444444442</v>
      </c>
      <c r="M718" s="224">
        <v>0.64236111111111105</v>
      </c>
    </row>
    <row r="719" spans="6:13" ht="30" customHeight="1">
      <c r="F719" s="62"/>
      <c r="G719" s="83">
        <v>710</v>
      </c>
      <c r="H719" s="225" t="s">
        <v>2771</v>
      </c>
      <c r="I719" s="226" t="str">
        <f>VLOOKUP(MP_cierre[[#This Row],[OT]],MP_registro[[#All],[OT]:[PROGRAMADO]],9,FALSE)</f>
        <v>G4</v>
      </c>
      <c r="J719" s="227">
        <v>44798</v>
      </c>
      <c r="K719" s="228">
        <v>44798</v>
      </c>
      <c r="L719" s="229">
        <v>0.4375</v>
      </c>
      <c r="M719" s="229">
        <v>0.50694444444444442</v>
      </c>
    </row>
    <row r="720" spans="6:13" ht="30" customHeight="1">
      <c r="F720" s="62"/>
      <c r="G720" s="83">
        <v>711</v>
      </c>
      <c r="H720" s="220" t="s">
        <v>2773</v>
      </c>
      <c r="I720" s="221" t="str">
        <f>VLOOKUP(MP_cierre[[#This Row],[OT]],MP_registro[[#All],[OT]:[PROGRAMADO]],9,FALSE)</f>
        <v>G1</v>
      </c>
      <c r="J720" s="222">
        <v>44797</v>
      </c>
      <c r="K720" s="223">
        <v>44798</v>
      </c>
      <c r="L720" s="224">
        <v>0.67361111111111116</v>
      </c>
      <c r="M720" s="224">
        <v>0.68402777777777779</v>
      </c>
    </row>
    <row r="721" spans="6:13" ht="30" customHeight="1">
      <c r="F721" s="62"/>
      <c r="G721" s="83">
        <v>712</v>
      </c>
      <c r="H721" s="220" t="s">
        <v>2774</v>
      </c>
      <c r="I721" s="221" t="str">
        <f>VLOOKUP(MP_cierre[[#This Row],[OT]],MP_registro[[#All],[OT]:[PROGRAMADO]],9,FALSE)</f>
        <v>G2</v>
      </c>
      <c r="J721" s="222">
        <v>44799</v>
      </c>
      <c r="K721" s="223">
        <v>44799</v>
      </c>
      <c r="L721" s="224">
        <v>0.16666666666666666</v>
      </c>
      <c r="M721" s="224">
        <v>0.20833333333333334</v>
      </c>
    </row>
    <row r="722" spans="6:13" ht="30" customHeight="1">
      <c r="F722" s="62"/>
      <c r="G722" s="83">
        <v>713</v>
      </c>
      <c r="H722" s="220" t="s">
        <v>2775</v>
      </c>
      <c r="I722" s="221" t="str">
        <f>VLOOKUP(MP_cierre[[#This Row],[OT]],MP_registro[[#All],[OT]:[PROGRAMADO]],9,FALSE)</f>
        <v>G1</v>
      </c>
      <c r="J722" s="222">
        <v>44797</v>
      </c>
      <c r="K722" s="223">
        <v>44799</v>
      </c>
      <c r="L722" s="224">
        <v>0.45833333333333331</v>
      </c>
      <c r="M722" s="224">
        <v>0.47916666666666669</v>
      </c>
    </row>
    <row r="723" spans="6:13" ht="30" customHeight="1">
      <c r="F723" s="62"/>
      <c r="G723" s="83">
        <v>714</v>
      </c>
      <c r="H723" s="220" t="s">
        <v>2776</v>
      </c>
      <c r="I723" s="221" t="str">
        <f>VLOOKUP(MP_cierre[[#This Row],[OT]],MP_registro[[#All],[OT]:[PROGRAMADO]],9,FALSE)</f>
        <v>G2</v>
      </c>
      <c r="J723" s="222">
        <v>44799</v>
      </c>
      <c r="K723" s="223">
        <v>44801</v>
      </c>
      <c r="L723" s="224">
        <v>0.97916666666666663</v>
      </c>
      <c r="M723" s="224">
        <v>0</v>
      </c>
    </row>
    <row r="724" spans="6:13" ht="30" customHeight="1">
      <c r="F724" s="62"/>
      <c r="G724" s="83">
        <v>715</v>
      </c>
      <c r="H724" s="220" t="s">
        <v>2777</v>
      </c>
      <c r="I724" s="221" t="str">
        <f>VLOOKUP(MP_cierre[[#This Row],[OT]],MP_registro[[#All],[OT]:[PROGRAMADO]],9,FALSE)</f>
        <v>G1</v>
      </c>
      <c r="J724" s="222">
        <v>44799</v>
      </c>
      <c r="K724" s="223">
        <v>44800</v>
      </c>
      <c r="L724" s="224">
        <v>0.68402777777777779</v>
      </c>
      <c r="M724" s="224">
        <v>0.69444444444444453</v>
      </c>
    </row>
    <row r="725" spans="6:13" ht="30" customHeight="1">
      <c r="F725" s="62"/>
      <c r="G725" s="83">
        <v>716</v>
      </c>
      <c r="H725" s="220" t="s">
        <v>2778</v>
      </c>
      <c r="I725" s="221" t="str">
        <f>VLOOKUP(MP_cierre[[#This Row],[OT]],MP_registro[[#All],[OT]:[PROGRAMADO]],9,FALSE)</f>
        <v>G2</v>
      </c>
      <c r="J725" s="222">
        <v>44799</v>
      </c>
      <c r="K725" s="223">
        <v>44801</v>
      </c>
      <c r="L725" s="224">
        <v>0.875</v>
      </c>
      <c r="M725" s="224">
        <v>0.89583333333333337</v>
      </c>
    </row>
    <row r="726" spans="6:13" ht="30" customHeight="1">
      <c r="F726" s="62"/>
      <c r="G726" s="83">
        <v>717</v>
      </c>
      <c r="H726" s="225" t="s">
        <v>2779</v>
      </c>
      <c r="I726" s="226" t="str">
        <f>VLOOKUP(MP_cierre[[#This Row],[OT]],MP_registro[[#All],[OT]:[PROGRAMADO]],9,FALSE)</f>
        <v>G1</v>
      </c>
      <c r="J726" s="227">
        <v>44799</v>
      </c>
      <c r="K726" s="228">
        <v>44800</v>
      </c>
      <c r="L726" s="229">
        <v>0.43055555555555558</v>
      </c>
      <c r="M726" s="229">
        <v>0.44097222222222227</v>
      </c>
    </row>
    <row r="727" spans="6:13" ht="30" customHeight="1">
      <c r="F727" s="62"/>
      <c r="G727" s="83">
        <v>718</v>
      </c>
      <c r="H727" s="220" t="s">
        <v>2781</v>
      </c>
      <c r="I727" s="221" t="str">
        <f>VLOOKUP(MP_cierre[[#This Row],[OT]],MP_registro[[#All],[OT]:[PROGRAMADO]],9,FALSE)</f>
        <v>G1</v>
      </c>
      <c r="J727" s="222">
        <v>44799</v>
      </c>
      <c r="K727" s="223">
        <v>44801</v>
      </c>
      <c r="L727" s="224">
        <v>0.6875</v>
      </c>
      <c r="M727" s="224">
        <v>0.70138888888888884</v>
      </c>
    </row>
    <row r="728" spans="6:13" ht="30" customHeight="1">
      <c r="F728" s="62"/>
      <c r="G728" s="83">
        <v>719</v>
      </c>
      <c r="H728" s="220" t="s">
        <v>2782</v>
      </c>
      <c r="I728" s="221" t="str">
        <f>VLOOKUP(MP_cierre[[#This Row],[OT]],MP_registro[[#All],[OT]:[PROGRAMADO]],9,FALSE)</f>
        <v>G4</v>
      </c>
      <c r="J728" s="222">
        <v>44800</v>
      </c>
      <c r="K728" s="223">
        <v>44802</v>
      </c>
      <c r="L728" s="224">
        <v>0.4236111111111111</v>
      </c>
      <c r="M728" s="224">
        <v>0.4861111111111111</v>
      </c>
    </row>
    <row r="729" spans="6:13" ht="30" customHeight="1">
      <c r="F729" s="62"/>
      <c r="G729" s="83">
        <v>720</v>
      </c>
      <c r="H729" s="220" t="s">
        <v>2783</v>
      </c>
      <c r="I729" s="221" t="str">
        <f>VLOOKUP(MP_cierre[[#This Row],[OT]],MP_registro[[#All],[OT]:[PROGRAMADO]],9,FALSE)</f>
        <v>G4</v>
      </c>
      <c r="J729" s="222">
        <v>44800</v>
      </c>
      <c r="K729" s="223">
        <v>44802</v>
      </c>
      <c r="L729" s="224">
        <v>0.35416666666666669</v>
      </c>
      <c r="M729" s="224">
        <v>0.41666666666666669</v>
      </c>
    </row>
    <row r="730" spans="6:13" ht="30" customHeight="1">
      <c r="F730" s="62"/>
      <c r="G730" s="83">
        <v>721</v>
      </c>
      <c r="H730" s="220" t="s">
        <v>2784</v>
      </c>
      <c r="I730" s="221" t="str">
        <f>VLOOKUP(MP_cierre[[#This Row],[OT]],MP_registro[[#All],[OT]:[PROGRAMADO]],9,FALSE)</f>
        <v>G2</v>
      </c>
      <c r="J730" s="222">
        <v>44800</v>
      </c>
      <c r="K730" s="223">
        <v>44803</v>
      </c>
      <c r="L730" s="224">
        <v>0.875</v>
      </c>
      <c r="M730" s="224">
        <v>0.89583333333333337</v>
      </c>
    </row>
    <row r="731" spans="6:13" ht="30" customHeight="1">
      <c r="F731" s="62"/>
      <c r="G731" s="83">
        <v>722</v>
      </c>
      <c r="H731" s="220" t="s">
        <v>2785</v>
      </c>
      <c r="I731" s="221" t="str">
        <f>VLOOKUP(MP_cierre[[#This Row],[OT]],MP_registro[[#All],[OT]:[PROGRAMADO]],9,FALSE)</f>
        <v>G1</v>
      </c>
      <c r="J731" s="222">
        <v>44800</v>
      </c>
      <c r="K731" s="223">
        <v>44800</v>
      </c>
      <c r="L731" s="224">
        <v>0.70138888888888884</v>
      </c>
      <c r="M731" s="224">
        <v>0.71527777777777779</v>
      </c>
    </row>
    <row r="732" spans="6:13" ht="30" customHeight="1">
      <c r="F732" s="62"/>
      <c r="G732" s="83">
        <v>723</v>
      </c>
      <c r="H732" s="220" t="s">
        <v>2786</v>
      </c>
      <c r="I732" s="221" t="str">
        <f>VLOOKUP(MP_cierre[[#This Row],[OT]],MP_registro[[#All],[OT]:[PROGRAMADO]],9,FALSE)</f>
        <v>G2</v>
      </c>
      <c r="J732" s="222">
        <v>44801</v>
      </c>
      <c r="K732" s="223">
        <v>44801</v>
      </c>
      <c r="L732" s="224">
        <v>0.89583333333333337</v>
      </c>
      <c r="M732" s="224">
        <v>0.91666666666666663</v>
      </c>
    </row>
    <row r="733" spans="6:13" ht="30" customHeight="1">
      <c r="F733" s="62"/>
      <c r="G733" s="83">
        <v>724</v>
      </c>
      <c r="H733" s="220" t="s">
        <v>2787</v>
      </c>
      <c r="I733" s="221" t="str">
        <f>VLOOKUP(MP_cierre[[#This Row],[OT]],MP_registro[[#All],[OT]:[PROGRAMADO]],9,FALSE)</f>
        <v>G1</v>
      </c>
      <c r="J733" s="222">
        <v>44801</v>
      </c>
      <c r="K733" s="223">
        <v>44800</v>
      </c>
      <c r="L733" s="224">
        <v>0.41666666666666669</v>
      </c>
      <c r="M733" s="224">
        <v>0.42708333333333331</v>
      </c>
    </row>
    <row r="734" spans="6:13" ht="30" customHeight="1">
      <c r="F734" s="62"/>
      <c r="G734" s="83">
        <v>725</v>
      </c>
      <c r="H734" s="220" t="s">
        <v>2788</v>
      </c>
      <c r="I734" s="221" t="str">
        <f>VLOOKUP(MP_cierre[[#This Row],[OT]],MP_registro[[#All],[OT]:[PROGRAMADO]],9,FALSE)</f>
        <v>G4</v>
      </c>
      <c r="J734" s="222">
        <v>44802</v>
      </c>
      <c r="K734" s="223">
        <v>44803</v>
      </c>
      <c r="L734" s="224">
        <v>0.3611111111111111</v>
      </c>
      <c r="M734" s="224">
        <v>0.43055555555555558</v>
      </c>
    </row>
    <row r="735" spans="6:13" ht="30" customHeight="1">
      <c r="F735" s="62"/>
      <c r="G735" s="83">
        <v>726</v>
      </c>
      <c r="H735" s="220" t="s">
        <v>2789</v>
      </c>
      <c r="I735" s="221" t="str">
        <f>VLOOKUP(MP_cierre[[#This Row],[OT]],MP_registro[[#All],[OT]:[PROGRAMADO]],9,FALSE)</f>
        <v>G4</v>
      </c>
      <c r="J735" s="222">
        <v>44802</v>
      </c>
      <c r="K735" s="223">
        <v>44803</v>
      </c>
      <c r="L735" s="224">
        <v>0.4375</v>
      </c>
      <c r="M735" s="224">
        <v>0.50694444444444442</v>
      </c>
    </row>
    <row r="736" spans="6:13" ht="30" customHeight="1">
      <c r="F736" s="62"/>
      <c r="G736" s="83">
        <v>727</v>
      </c>
      <c r="H736" s="220" t="s">
        <v>2790</v>
      </c>
      <c r="I736" s="221" t="str">
        <f>VLOOKUP(MP_cierre[[#This Row],[OT]],MP_registro[[#All],[OT]:[PROGRAMADO]],9,FALSE)</f>
        <v>G2</v>
      </c>
      <c r="J736" s="222">
        <v>44802</v>
      </c>
      <c r="K736" s="223">
        <v>44801</v>
      </c>
      <c r="L736" s="224">
        <v>0.91666666666666663</v>
      </c>
      <c r="M736" s="224">
        <v>0.9375</v>
      </c>
    </row>
    <row r="737" spans="6:13" ht="30" customHeight="1">
      <c r="F737" s="62"/>
      <c r="G737" s="83">
        <v>728</v>
      </c>
      <c r="H737" s="220" t="s">
        <v>2791</v>
      </c>
      <c r="I737" s="221" t="str">
        <f>VLOOKUP(MP_cierre[[#This Row],[OT]],MP_registro[[#All],[OT]:[PROGRAMADO]],9,FALSE)</f>
        <v>G1</v>
      </c>
      <c r="J737" s="222">
        <v>44802</v>
      </c>
      <c r="K737" s="223">
        <v>44799</v>
      </c>
      <c r="L737" s="224">
        <v>0.66666666666666663</v>
      </c>
      <c r="M737" s="224">
        <v>0.72916666666666663</v>
      </c>
    </row>
    <row r="738" spans="6:13" ht="30" customHeight="1">
      <c r="F738" s="62"/>
      <c r="G738" s="83">
        <v>729</v>
      </c>
      <c r="H738" s="220" t="s">
        <v>2792</v>
      </c>
      <c r="I738" s="221" t="str">
        <f>VLOOKUP(MP_cierre[[#This Row],[OT]],MP_registro[[#All],[OT]:[PROGRAMADO]],9,FALSE)</f>
        <v>G2</v>
      </c>
      <c r="J738" s="222">
        <v>44802</v>
      </c>
      <c r="K738" s="223">
        <v>44802</v>
      </c>
      <c r="L738" s="224">
        <v>0.89583333333333337</v>
      </c>
      <c r="M738" s="224">
        <v>0.91666666666666663</v>
      </c>
    </row>
    <row r="739" spans="6:13" ht="30" customHeight="1">
      <c r="F739" s="62"/>
      <c r="G739" s="83">
        <v>730</v>
      </c>
      <c r="H739" s="220" t="s">
        <v>2793</v>
      </c>
      <c r="I739" s="221" t="str">
        <f>VLOOKUP(MP_cierre[[#This Row],[OT]],MP_registro[[#All],[OT]:[PROGRAMADO]],9,FALSE)</f>
        <v>G2</v>
      </c>
      <c r="J739" s="222">
        <v>44803</v>
      </c>
      <c r="K739" s="223">
        <v>44803</v>
      </c>
      <c r="L739" s="224">
        <v>0.97916666666666663</v>
      </c>
      <c r="M739" s="224">
        <v>0</v>
      </c>
    </row>
    <row r="740" spans="6:13" ht="30" customHeight="1">
      <c r="F740" s="62"/>
      <c r="G740" s="83">
        <v>731</v>
      </c>
      <c r="H740" s="220" t="s">
        <v>2794</v>
      </c>
      <c r="I740" s="221" t="str">
        <f>VLOOKUP(MP_cierre[[#This Row],[OT]],MP_registro[[#All],[OT]:[PROGRAMADO]],9,FALSE)</f>
        <v>G2</v>
      </c>
      <c r="J740" s="222">
        <v>44803</v>
      </c>
      <c r="K740" s="223">
        <v>44803</v>
      </c>
      <c r="L740" s="224">
        <v>0.95833333333333337</v>
      </c>
      <c r="M740" s="224">
        <v>0.97916666666666663</v>
      </c>
    </row>
    <row r="741" spans="6:13" ht="30" customHeight="1">
      <c r="F741" s="62"/>
      <c r="G741" s="83">
        <v>732</v>
      </c>
      <c r="H741" s="220" t="s">
        <v>2795</v>
      </c>
      <c r="I741" s="221" t="str">
        <f>VLOOKUP(MP_cierre[[#This Row],[OT]],MP_registro[[#All],[OT]:[PROGRAMADO]],9,FALSE)</f>
        <v>G1</v>
      </c>
      <c r="J741" s="222">
        <v>44803</v>
      </c>
      <c r="K741" s="223">
        <v>44801</v>
      </c>
      <c r="L741" s="224">
        <v>0.41666666666666669</v>
      </c>
      <c r="M741" s="224">
        <v>0.4375</v>
      </c>
    </row>
    <row r="742" spans="6:13" ht="30" customHeight="1">
      <c r="F742" s="62"/>
      <c r="G742" s="83">
        <v>733</v>
      </c>
      <c r="H742" s="220" t="s">
        <v>2796</v>
      </c>
      <c r="I742" s="221" t="str">
        <f>VLOOKUP(MP_cierre[[#This Row],[OT]],MP_registro[[#All],[OT]:[PROGRAMADO]],9,FALSE)</f>
        <v>G2</v>
      </c>
      <c r="J742" s="222">
        <v>44803</v>
      </c>
      <c r="K742" s="223">
        <v>44801</v>
      </c>
      <c r="L742" s="224">
        <v>0.9375</v>
      </c>
      <c r="M742" s="224">
        <v>0.95833333333333337</v>
      </c>
    </row>
    <row r="743" spans="6:13" ht="30" customHeight="1">
      <c r="F743" s="62"/>
      <c r="G743" s="83">
        <v>734</v>
      </c>
      <c r="H743" s="220" t="s">
        <v>2797</v>
      </c>
      <c r="I743" s="221" t="str">
        <f>VLOOKUP(MP_cierre[[#This Row],[OT]],MP_registro[[#All],[OT]:[PROGRAMADO]],9,FALSE)</f>
        <v>G1</v>
      </c>
      <c r="J743" s="222">
        <v>44803</v>
      </c>
      <c r="K743" s="223">
        <v>44800</v>
      </c>
      <c r="L743" s="224">
        <v>0.67361111111111116</v>
      </c>
      <c r="M743" s="224">
        <v>0.68055555555555547</v>
      </c>
    </row>
    <row r="744" spans="6:13" ht="30" customHeight="1">
      <c r="F744" s="62"/>
      <c r="G744" s="83">
        <v>735</v>
      </c>
      <c r="H744" s="220" t="s">
        <v>2798</v>
      </c>
      <c r="I744" s="221" t="str">
        <f>VLOOKUP(MP_cierre[[#This Row],[OT]],MP_registro[[#All],[OT]:[PROGRAMADO]],9,FALSE)</f>
        <v>G2</v>
      </c>
      <c r="J744" s="222">
        <v>44803</v>
      </c>
      <c r="K744" s="223">
        <v>44801</v>
      </c>
      <c r="L744" s="224">
        <v>0.95833333333333337</v>
      </c>
      <c r="M744" s="224">
        <v>0.97916666666666663</v>
      </c>
    </row>
    <row r="745" spans="6:13" ht="30" customHeight="1">
      <c r="F745" s="62"/>
      <c r="G745" s="83">
        <v>736</v>
      </c>
      <c r="H745" s="220" t="s">
        <v>2799</v>
      </c>
      <c r="I745" s="221" t="str">
        <f>VLOOKUP(MP_cierre[[#This Row],[OT]],MP_registro[[#All],[OT]:[PROGRAMADO]],9,FALSE)</f>
        <v>G1</v>
      </c>
      <c r="J745" s="222">
        <v>44803</v>
      </c>
      <c r="K745" s="223">
        <v>44801</v>
      </c>
      <c r="L745" s="224">
        <v>0.70833333333333337</v>
      </c>
      <c r="M745" s="224">
        <v>0.72222222222222221</v>
      </c>
    </row>
    <row r="746" spans="6:13" ht="30" customHeight="1">
      <c r="F746" s="62"/>
      <c r="G746" s="83">
        <v>737</v>
      </c>
      <c r="H746" s="220" t="s">
        <v>2800</v>
      </c>
      <c r="I746" s="221" t="str">
        <f>VLOOKUP(MP_cierre[[#This Row],[OT]],MP_registro[[#All],[OT]:[PROGRAMADO]],9,FALSE)</f>
        <v>G2</v>
      </c>
      <c r="J746" s="222">
        <v>44803</v>
      </c>
      <c r="K746" s="223">
        <v>44801</v>
      </c>
      <c r="L746" s="224">
        <v>0.91666666666666663</v>
      </c>
      <c r="M746" s="224">
        <v>0.9375</v>
      </c>
    </row>
    <row r="747" spans="6:13" ht="30" customHeight="1">
      <c r="F747" s="62"/>
      <c r="G747" s="83">
        <v>738</v>
      </c>
      <c r="H747" s="225" t="s">
        <v>2801</v>
      </c>
      <c r="I747" s="226" t="str">
        <f>VLOOKUP(MP_cierre[[#This Row],[OT]],MP_registro[[#All],[OT]:[PROGRAMADO]],9,FALSE)</f>
        <v>G1</v>
      </c>
      <c r="J747" s="227">
        <v>44803</v>
      </c>
      <c r="K747" s="228">
        <v>44801</v>
      </c>
      <c r="L747" s="229">
        <v>0.64583333333333337</v>
      </c>
      <c r="M747" s="229">
        <v>0.70138888888888884</v>
      </c>
    </row>
    <row r="748" spans="6:13" ht="30" customHeight="1">
      <c r="F748" s="62"/>
      <c r="G748" s="83">
        <v>739</v>
      </c>
      <c r="H748" s="220" t="s">
        <v>2803</v>
      </c>
      <c r="I748" s="221" t="str">
        <f>VLOOKUP(MP_cierre[[#This Row],[OT]],MP_registro[[#All],[OT]:[PROGRAMADO]],9,FALSE)</f>
        <v>G2</v>
      </c>
      <c r="J748" s="222">
        <v>44804</v>
      </c>
      <c r="K748" s="223">
        <v>44802</v>
      </c>
      <c r="L748" s="224">
        <v>2.0833333333333332E-2</v>
      </c>
      <c r="M748" s="224">
        <v>4.1666666666666664E-2</v>
      </c>
    </row>
    <row r="749" spans="6:13" ht="30" customHeight="1">
      <c r="F749" s="62"/>
      <c r="G749" s="83">
        <v>740</v>
      </c>
      <c r="H749" s="225" t="s">
        <v>2804</v>
      </c>
      <c r="I749" s="226" t="str">
        <f>VLOOKUP(MP_cierre[[#This Row],[OT]],MP_registro[[#All],[OT]:[PROGRAMADO]],9,FALSE)</f>
        <v>G1</v>
      </c>
      <c r="J749" s="227">
        <v>44804</v>
      </c>
      <c r="K749" s="228">
        <v>44801</v>
      </c>
      <c r="L749" s="229">
        <v>0.35416666666666669</v>
      </c>
      <c r="M749" s="229">
        <v>0.36805555555555558</v>
      </c>
    </row>
    <row r="750" spans="6:13" ht="30" customHeight="1">
      <c r="F750" s="62"/>
      <c r="G750" s="83">
        <v>741</v>
      </c>
      <c r="H750" s="225" t="s">
        <v>2806</v>
      </c>
      <c r="I750" s="226" t="str">
        <f>VLOOKUP(MP_cierre[[#This Row],[OT]],MP_registro[[#All],[OT]:[PROGRAMADO]],9,FALSE)</f>
        <v>G2</v>
      </c>
      <c r="J750" s="227">
        <v>44804</v>
      </c>
      <c r="K750" s="228">
        <v>44802</v>
      </c>
      <c r="L750" s="229">
        <v>0.875</v>
      </c>
      <c r="M750" s="229">
        <v>0.89583333333333337</v>
      </c>
    </row>
    <row r="751" spans="6:13" ht="30" customHeight="1">
      <c r="F751" s="62"/>
      <c r="G751" s="83">
        <v>742</v>
      </c>
      <c r="H751" s="220" t="s">
        <v>2844</v>
      </c>
      <c r="I751" s="221" t="str">
        <f>VLOOKUP(MP_cierre[[#This Row],[OT]],MP_registro[[#All],[OT]:[PROGRAMADO]],9,FALSE)</f>
        <v>G2</v>
      </c>
      <c r="J751" s="222">
        <v>44805</v>
      </c>
      <c r="K751" s="223">
        <v>44812</v>
      </c>
      <c r="L751" s="224">
        <v>0.39583333333333331</v>
      </c>
      <c r="M751" s="224">
        <v>0.4375</v>
      </c>
    </row>
    <row r="752" spans="6:13" ht="30" customHeight="1">
      <c r="F752" s="62"/>
      <c r="G752" s="83">
        <v>743</v>
      </c>
      <c r="H752" s="220" t="s">
        <v>2845</v>
      </c>
      <c r="I752" s="221" t="str">
        <f>VLOOKUP(MP_cierre[[#This Row],[OT]],MP_registro[[#All],[OT]:[PROGRAMADO]],9,FALSE)</f>
        <v>G2</v>
      </c>
      <c r="J752" s="222">
        <v>44805</v>
      </c>
      <c r="K752" s="223">
        <v>44812</v>
      </c>
      <c r="L752" s="224">
        <v>0.4375</v>
      </c>
      <c r="M752" s="224">
        <v>0.45833333333333331</v>
      </c>
    </row>
    <row r="753" spans="6:13" ht="30" customHeight="1">
      <c r="F753" s="62"/>
      <c r="G753" s="83">
        <v>744</v>
      </c>
      <c r="H753" s="220" t="s">
        <v>2808</v>
      </c>
      <c r="I753" s="221" t="str">
        <f>VLOOKUP(MP_cierre[[#This Row],[OT]],MP_registro[[#All],[OT]:[PROGRAMADO]],9,FALSE)</f>
        <v>G3</v>
      </c>
      <c r="J753" s="222">
        <v>44806</v>
      </c>
      <c r="K753" s="223">
        <v>44808</v>
      </c>
      <c r="L753" s="224">
        <v>0.58680555555555558</v>
      </c>
      <c r="M753" s="224">
        <v>0.59652777777777777</v>
      </c>
    </row>
    <row r="754" spans="6:13" ht="30" customHeight="1">
      <c r="F754" s="62"/>
      <c r="G754" s="83">
        <v>745</v>
      </c>
      <c r="H754" s="220" t="s">
        <v>2809</v>
      </c>
      <c r="I754" s="221" t="str">
        <f>VLOOKUP(MP_cierre[[#This Row],[OT]],MP_registro[[#All],[OT]:[PROGRAMADO]],9,FALSE)</f>
        <v>G3</v>
      </c>
      <c r="J754" s="222">
        <v>44806</v>
      </c>
      <c r="K754" s="223">
        <v>44806</v>
      </c>
      <c r="L754" s="224">
        <v>0.39930555555555558</v>
      </c>
      <c r="M754" s="224">
        <v>0.41666666666666669</v>
      </c>
    </row>
    <row r="755" spans="6:13" ht="30" customHeight="1">
      <c r="F755" s="62"/>
      <c r="G755" s="83">
        <v>746</v>
      </c>
      <c r="H755" s="220" t="s">
        <v>2810</v>
      </c>
      <c r="I755" s="221" t="str">
        <f>VLOOKUP(MP_cierre[[#This Row],[OT]],MP_registro[[#All],[OT]:[PROGRAMADO]],9,FALSE)</f>
        <v>G3</v>
      </c>
      <c r="J755" s="222">
        <v>44806</v>
      </c>
      <c r="K755" s="223">
        <v>44806</v>
      </c>
      <c r="L755" s="224">
        <v>8.3333333333333329E-2</v>
      </c>
      <c r="M755" s="224">
        <v>9.9999999999999992E-2</v>
      </c>
    </row>
    <row r="756" spans="6:13" ht="30" customHeight="1">
      <c r="F756" s="62"/>
      <c r="G756" s="83">
        <v>747</v>
      </c>
      <c r="H756" s="220" t="s">
        <v>2811</v>
      </c>
      <c r="I756" s="221" t="str">
        <f>VLOOKUP(MP_cierre[[#This Row],[OT]],MP_registro[[#All],[OT]:[PROGRAMADO]],9,FALSE)</f>
        <v>G3</v>
      </c>
      <c r="J756" s="222">
        <v>44806</v>
      </c>
      <c r="K756" s="223">
        <v>44806</v>
      </c>
      <c r="L756" s="224">
        <v>0.375</v>
      </c>
      <c r="M756" s="224">
        <v>0.39166666666666666</v>
      </c>
    </row>
    <row r="757" spans="6:13" ht="30" customHeight="1">
      <c r="F757" s="62"/>
      <c r="G757" s="83">
        <v>748</v>
      </c>
      <c r="H757" s="220" t="s">
        <v>2812</v>
      </c>
      <c r="I757" s="221" t="str">
        <f>VLOOKUP(MP_cierre[[#This Row],[OT]],MP_registro[[#All],[OT]:[PROGRAMADO]],9,FALSE)</f>
        <v>G3</v>
      </c>
      <c r="J757" s="222">
        <v>44806</v>
      </c>
      <c r="K757" s="223">
        <v>44806</v>
      </c>
      <c r="L757" s="224">
        <v>0.4236111111111111</v>
      </c>
      <c r="M757" s="224">
        <v>0.44305555555555554</v>
      </c>
    </row>
    <row r="758" spans="6:13" ht="30" customHeight="1">
      <c r="F758" s="62"/>
      <c r="G758" s="83">
        <v>749</v>
      </c>
      <c r="H758" s="220" t="s">
        <v>2846</v>
      </c>
      <c r="I758" s="221" t="str">
        <f>VLOOKUP(MP_cierre[[#This Row],[OT]],MP_registro[[#All],[OT]:[PROGRAMADO]],9,FALSE)</f>
        <v>G2</v>
      </c>
      <c r="J758" s="222">
        <v>44806</v>
      </c>
      <c r="K758" s="223">
        <v>44812</v>
      </c>
      <c r="L758" s="224">
        <v>0.33333333333333331</v>
      </c>
      <c r="M758" s="224">
        <v>0.35416666666666669</v>
      </c>
    </row>
    <row r="759" spans="6:13" ht="30" customHeight="1">
      <c r="F759" s="62"/>
      <c r="G759" s="83">
        <v>750</v>
      </c>
      <c r="H759" s="220" t="s">
        <v>2847</v>
      </c>
      <c r="I759" s="221" t="str">
        <f>VLOOKUP(MP_cierre[[#This Row],[OT]],MP_registro[[#All],[OT]:[PROGRAMADO]],9,FALSE)</f>
        <v>G2</v>
      </c>
      <c r="J759" s="222">
        <v>44806</v>
      </c>
      <c r="K759" s="223">
        <v>44812</v>
      </c>
      <c r="L759" s="224">
        <v>0.33333333333333331</v>
      </c>
      <c r="M759" s="224">
        <v>0.35416666666666669</v>
      </c>
    </row>
    <row r="760" spans="6:13" ht="30" customHeight="1">
      <c r="F760" s="62"/>
      <c r="G760" s="83">
        <v>751</v>
      </c>
      <c r="H760" s="220" t="s">
        <v>2813</v>
      </c>
      <c r="I760" s="221" t="str">
        <f>VLOOKUP(MP_cierre[[#This Row],[OT]],MP_registro[[#All],[OT]:[PROGRAMADO]],9,FALSE)</f>
        <v>G3</v>
      </c>
      <c r="J760" s="222">
        <v>44806</v>
      </c>
      <c r="K760" s="223">
        <v>44811</v>
      </c>
      <c r="L760" s="224">
        <v>0.73125000000000007</v>
      </c>
      <c r="M760" s="224">
        <v>0.74305555555555547</v>
      </c>
    </row>
    <row r="761" spans="6:13" ht="30" customHeight="1">
      <c r="F761" s="62"/>
      <c r="G761" s="83">
        <v>752</v>
      </c>
      <c r="H761" s="220" t="s">
        <v>2848</v>
      </c>
      <c r="I761" s="221" t="str">
        <f>VLOOKUP(MP_cierre[[#This Row],[OT]],MP_registro[[#All],[OT]:[PROGRAMADO]],9,FALSE)</f>
        <v>G2</v>
      </c>
      <c r="J761" s="222">
        <v>44806</v>
      </c>
      <c r="K761" s="223">
        <v>44820</v>
      </c>
      <c r="L761" s="224">
        <v>0.83333333333333337</v>
      </c>
      <c r="M761" s="224">
        <v>0.875</v>
      </c>
    </row>
    <row r="762" spans="6:13" ht="30" customHeight="1">
      <c r="F762" s="62"/>
      <c r="G762" s="83">
        <v>753</v>
      </c>
      <c r="H762" s="220" t="s">
        <v>2814</v>
      </c>
      <c r="I762" s="221" t="str">
        <f>VLOOKUP(MP_cierre[[#This Row],[OT]],MP_registro[[#All],[OT]:[PROGRAMADO]],9,FALSE)</f>
        <v>G3</v>
      </c>
      <c r="J762" s="222">
        <v>44807</v>
      </c>
      <c r="K762" s="223">
        <v>44807</v>
      </c>
      <c r="L762" s="224">
        <v>0.43055555555555558</v>
      </c>
      <c r="M762" s="224">
        <v>0.44444444444444442</v>
      </c>
    </row>
    <row r="763" spans="6:13" ht="30" customHeight="1">
      <c r="F763" s="62"/>
      <c r="G763" s="83">
        <v>754</v>
      </c>
      <c r="H763" s="220" t="s">
        <v>2849</v>
      </c>
      <c r="I763" s="221" t="str">
        <f>VLOOKUP(MP_cierre[[#This Row],[OT]],MP_registro[[#All],[OT]:[PROGRAMADO]],9,FALSE)</f>
        <v>G2</v>
      </c>
      <c r="J763" s="222">
        <v>44807</v>
      </c>
      <c r="K763" s="223">
        <v>44813</v>
      </c>
      <c r="L763" s="224">
        <v>0.33333333333333331</v>
      </c>
      <c r="M763" s="224">
        <v>0.35416666666666669</v>
      </c>
    </row>
    <row r="764" spans="6:13" ht="30" customHeight="1">
      <c r="F764" s="62"/>
      <c r="G764" s="83">
        <v>755</v>
      </c>
      <c r="H764" s="220" t="s">
        <v>2815</v>
      </c>
      <c r="I764" s="221" t="str">
        <f>VLOOKUP(MP_cierre[[#This Row],[OT]],MP_registro[[#All],[OT]:[PROGRAMADO]],9,FALSE)</f>
        <v>G3</v>
      </c>
      <c r="J764" s="222">
        <v>44807</v>
      </c>
      <c r="K764" s="223">
        <v>44808</v>
      </c>
      <c r="L764" s="224">
        <v>0.46527777777777773</v>
      </c>
      <c r="M764" s="224">
        <v>0.47916666666666669</v>
      </c>
    </row>
    <row r="765" spans="6:13" ht="30" customHeight="1">
      <c r="F765" s="62"/>
      <c r="G765" s="83">
        <v>756</v>
      </c>
      <c r="H765" s="220" t="s">
        <v>2816</v>
      </c>
      <c r="I765" s="221" t="str">
        <f>VLOOKUP(MP_cierre[[#This Row],[OT]],MP_registro[[#All],[OT]:[PROGRAMADO]],9,FALSE)</f>
        <v>G3</v>
      </c>
      <c r="J765" s="222">
        <v>44807</v>
      </c>
      <c r="K765" s="223">
        <v>44807</v>
      </c>
      <c r="L765" s="224">
        <v>0.39374999999999999</v>
      </c>
      <c r="M765" s="224">
        <v>0.40277777777777773</v>
      </c>
    </row>
    <row r="766" spans="6:13" ht="30" customHeight="1">
      <c r="F766" s="62"/>
      <c r="G766" s="83">
        <v>757</v>
      </c>
      <c r="H766" s="220" t="s">
        <v>2817</v>
      </c>
      <c r="I766" s="221" t="str">
        <f>VLOOKUP(MP_cierre[[#This Row],[OT]],MP_registro[[#All],[OT]:[PROGRAMADO]],9,FALSE)</f>
        <v>G3</v>
      </c>
      <c r="J766" s="222">
        <v>44807</v>
      </c>
      <c r="K766" s="223">
        <v>44807</v>
      </c>
      <c r="L766" s="224">
        <v>0.40625</v>
      </c>
      <c r="M766" s="224">
        <v>0.4152777777777778</v>
      </c>
    </row>
    <row r="767" spans="6:13" ht="30" customHeight="1">
      <c r="F767" s="62"/>
      <c r="G767" s="83">
        <v>758</v>
      </c>
      <c r="H767" s="220" t="s">
        <v>2818</v>
      </c>
      <c r="I767" s="221" t="str">
        <f>VLOOKUP(MP_cierre[[#This Row],[OT]],MP_registro[[#All],[OT]:[PROGRAMADO]],9,FALSE)</f>
        <v>G3</v>
      </c>
      <c r="J767" s="222">
        <v>44808</v>
      </c>
      <c r="K767" s="223">
        <v>44808</v>
      </c>
      <c r="L767" s="224">
        <v>0.5625</v>
      </c>
      <c r="M767" s="224">
        <v>0.57222222222222219</v>
      </c>
    </row>
    <row r="768" spans="6:13" ht="30" customHeight="1">
      <c r="F768" s="62"/>
      <c r="G768" s="83">
        <v>759</v>
      </c>
      <c r="H768" s="220" t="s">
        <v>2850</v>
      </c>
      <c r="I768" s="221" t="str">
        <f>VLOOKUP(MP_cierre[[#This Row],[OT]],MP_registro[[#All],[OT]:[PROGRAMADO]],9,FALSE)</f>
        <v>G2</v>
      </c>
      <c r="J768" s="222">
        <v>44809</v>
      </c>
      <c r="K768" s="223">
        <v>44818</v>
      </c>
      <c r="L768" s="224">
        <v>0.83333333333333337</v>
      </c>
      <c r="M768" s="224">
        <v>0.91666666666666663</v>
      </c>
    </row>
    <row r="769" spans="6:13" ht="30" customHeight="1">
      <c r="F769" s="62"/>
      <c r="G769" s="83">
        <v>760</v>
      </c>
      <c r="H769" s="220" t="s">
        <v>2851</v>
      </c>
      <c r="I769" s="221" t="str">
        <f>VLOOKUP(MP_cierre[[#This Row],[OT]],MP_registro[[#All],[OT]:[PROGRAMADO]],9,FALSE)</f>
        <v>G2</v>
      </c>
      <c r="J769" s="222">
        <v>44809</v>
      </c>
      <c r="K769" s="223">
        <v>44813</v>
      </c>
      <c r="L769" s="224">
        <v>0.35416666666666669</v>
      </c>
      <c r="M769" s="224">
        <v>0.375</v>
      </c>
    </row>
    <row r="770" spans="6:13" ht="30" customHeight="1">
      <c r="F770" s="62"/>
      <c r="G770" s="83">
        <v>761</v>
      </c>
      <c r="H770" s="220" t="s">
        <v>2819</v>
      </c>
      <c r="I770" s="221" t="str">
        <f>VLOOKUP(MP_cierre[[#This Row],[OT]],MP_registro[[#All],[OT]:[PROGRAMADO]],9,FALSE)</f>
        <v>G3</v>
      </c>
      <c r="J770" s="222">
        <v>44810</v>
      </c>
      <c r="K770" s="223">
        <v>44811</v>
      </c>
      <c r="L770" s="224">
        <v>0.71388888888888891</v>
      </c>
      <c r="M770" s="224">
        <v>0.72569444444444453</v>
      </c>
    </row>
    <row r="771" spans="6:13" ht="30" customHeight="1">
      <c r="F771" s="62"/>
      <c r="G771" s="83">
        <v>762</v>
      </c>
      <c r="H771" s="220" t="s">
        <v>2820</v>
      </c>
      <c r="I771" s="221" t="str">
        <f>VLOOKUP(MP_cierre[[#This Row],[OT]],MP_registro[[#All],[OT]:[PROGRAMADO]],9,FALSE)</f>
        <v>G3</v>
      </c>
      <c r="J771" s="222">
        <v>44810</v>
      </c>
      <c r="K771" s="223">
        <v>44810</v>
      </c>
      <c r="L771" s="224">
        <v>0.67569444444444438</v>
      </c>
      <c r="M771" s="224">
        <v>0.6875</v>
      </c>
    </row>
    <row r="772" spans="6:13" ht="30" customHeight="1">
      <c r="F772" s="62"/>
      <c r="G772" s="83">
        <v>763</v>
      </c>
      <c r="H772" s="220" t="s">
        <v>2821</v>
      </c>
      <c r="I772" s="221" t="str">
        <f>VLOOKUP(MP_cierre[[#This Row],[OT]],MP_registro[[#All],[OT]:[PROGRAMADO]],9,FALSE)</f>
        <v>G3</v>
      </c>
      <c r="J772" s="222">
        <v>44810</v>
      </c>
      <c r="K772" s="223">
        <v>44810</v>
      </c>
      <c r="L772" s="224">
        <v>0.69652777777777775</v>
      </c>
      <c r="M772" s="224">
        <v>0.71527777777777779</v>
      </c>
    </row>
    <row r="773" spans="6:13" ht="30" customHeight="1">
      <c r="F773" s="62"/>
      <c r="G773" s="83">
        <v>764</v>
      </c>
      <c r="H773" s="220" t="s">
        <v>2852</v>
      </c>
      <c r="I773" s="221" t="str">
        <f>VLOOKUP(MP_cierre[[#This Row],[OT]],MP_registro[[#All],[OT]:[PROGRAMADO]],9,FALSE)</f>
        <v>G2</v>
      </c>
      <c r="J773" s="222">
        <v>44810</v>
      </c>
      <c r="K773" s="223">
        <v>44813</v>
      </c>
      <c r="L773" s="224">
        <v>0.39583333333333331</v>
      </c>
      <c r="M773" s="224">
        <v>0.41666666666666669</v>
      </c>
    </row>
    <row r="774" spans="6:13" ht="30" customHeight="1">
      <c r="F774" s="62"/>
      <c r="G774" s="83">
        <v>765</v>
      </c>
      <c r="H774" s="220" t="s">
        <v>2853</v>
      </c>
      <c r="I774" s="221" t="str">
        <f>VLOOKUP(MP_cierre[[#This Row],[OT]],MP_registro[[#All],[OT]:[PROGRAMADO]],9,FALSE)</f>
        <v>G2</v>
      </c>
      <c r="J774" s="222">
        <v>44810</v>
      </c>
      <c r="K774" s="223">
        <v>44813</v>
      </c>
      <c r="L774" s="224">
        <v>0.375</v>
      </c>
      <c r="M774" s="224">
        <v>0.39583333333333331</v>
      </c>
    </row>
    <row r="775" spans="6:13" ht="30" customHeight="1">
      <c r="F775" s="62"/>
      <c r="G775" s="83">
        <v>766</v>
      </c>
      <c r="H775" s="220" t="s">
        <v>2854</v>
      </c>
      <c r="I775" s="221" t="str">
        <f>VLOOKUP(MP_cierre[[#This Row],[OT]],MP_registro[[#All],[OT]:[PROGRAMADO]],9,FALSE)</f>
        <v>G2</v>
      </c>
      <c r="J775" s="222">
        <v>44810</v>
      </c>
      <c r="K775" s="223">
        <v>44812</v>
      </c>
      <c r="L775" s="224">
        <v>0.375</v>
      </c>
      <c r="M775" s="224">
        <v>0.39583333333333331</v>
      </c>
    </row>
    <row r="776" spans="6:13" ht="30" customHeight="1">
      <c r="F776" s="62"/>
      <c r="G776" s="83">
        <v>767</v>
      </c>
      <c r="H776" s="220" t="s">
        <v>2822</v>
      </c>
      <c r="I776" s="221" t="str">
        <f>VLOOKUP(MP_cierre[[#This Row],[OT]],MP_registro[[#All],[OT]:[PROGRAMADO]],9,FALSE)</f>
        <v>G3</v>
      </c>
      <c r="J776" s="222">
        <v>44811</v>
      </c>
      <c r="K776" s="223">
        <v>44813</v>
      </c>
      <c r="L776" s="224">
        <v>0.85416666666666663</v>
      </c>
      <c r="M776" s="224">
        <v>0.88541666666666663</v>
      </c>
    </row>
    <row r="777" spans="6:13" ht="30" customHeight="1">
      <c r="F777" s="62"/>
      <c r="G777" s="83">
        <v>768</v>
      </c>
      <c r="H777" s="220" t="s">
        <v>2855</v>
      </c>
      <c r="I777" s="221" t="str">
        <f>VLOOKUP(MP_cierre[[#This Row],[OT]],MP_registro[[#All],[OT]:[PROGRAMADO]],9,FALSE)</f>
        <v>G2</v>
      </c>
      <c r="J777" s="222">
        <v>44811</v>
      </c>
      <c r="K777" s="223">
        <v>44813</v>
      </c>
      <c r="L777" s="224">
        <v>0.41666666666666669</v>
      </c>
      <c r="M777" s="224">
        <v>0.4375</v>
      </c>
    </row>
    <row r="778" spans="6:13" ht="30" customHeight="1">
      <c r="F778" s="62"/>
      <c r="G778" s="83">
        <v>769</v>
      </c>
      <c r="H778" s="220" t="s">
        <v>2856</v>
      </c>
      <c r="I778" s="221" t="str">
        <f>VLOOKUP(MP_cierre[[#This Row],[OT]],MP_registro[[#All],[OT]:[PROGRAMADO]],9,FALSE)</f>
        <v>G2</v>
      </c>
      <c r="J778" s="222">
        <v>44811</v>
      </c>
      <c r="K778" s="223">
        <v>44813</v>
      </c>
      <c r="L778" s="224">
        <v>0.4375</v>
      </c>
      <c r="M778" s="224">
        <v>0.45833333333333331</v>
      </c>
    </row>
    <row r="779" spans="6:13" ht="30" customHeight="1">
      <c r="F779" s="62"/>
      <c r="G779" s="83">
        <v>770</v>
      </c>
      <c r="H779" s="220" t="s">
        <v>2857</v>
      </c>
      <c r="I779" s="221" t="str">
        <f>VLOOKUP(MP_cierre[[#This Row],[OT]],MP_registro[[#All],[OT]:[PROGRAMADO]],9,FALSE)</f>
        <v>G2</v>
      </c>
      <c r="J779" s="222">
        <v>44811</v>
      </c>
      <c r="K779" s="223">
        <v>44812</v>
      </c>
      <c r="L779" s="224">
        <v>0.45833333333333331</v>
      </c>
      <c r="M779" s="224">
        <v>0.47916666666666669</v>
      </c>
    </row>
    <row r="780" spans="6:13" ht="30" customHeight="1">
      <c r="F780" s="62"/>
      <c r="G780" s="83">
        <v>771</v>
      </c>
      <c r="H780" s="220" t="s">
        <v>2858</v>
      </c>
      <c r="I780" s="221" t="str">
        <f>VLOOKUP(MP_cierre[[#This Row],[OT]],MP_registro[[#All],[OT]:[PROGRAMADO]],9,FALSE)</f>
        <v>G2</v>
      </c>
      <c r="J780" s="222">
        <v>44811</v>
      </c>
      <c r="K780" s="223">
        <v>44812</v>
      </c>
      <c r="L780" s="224">
        <v>0.41666666666666669</v>
      </c>
      <c r="M780" s="224">
        <v>0.4375</v>
      </c>
    </row>
    <row r="781" spans="6:13" ht="30" customHeight="1">
      <c r="F781" s="62"/>
      <c r="G781" s="83">
        <v>772</v>
      </c>
      <c r="H781" s="220" t="s">
        <v>2823</v>
      </c>
      <c r="I781" s="221" t="str">
        <f>VLOOKUP(MP_cierre[[#This Row],[OT]],MP_registro[[#All],[OT]:[PROGRAMADO]],9,FALSE)</f>
        <v>G3</v>
      </c>
      <c r="J781" s="222">
        <v>44812</v>
      </c>
      <c r="K781" s="223">
        <v>44814</v>
      </c>
      <c r="L781" s="224">
        <v>0.90625</v>
      </c>
      <c r="M781" s="224">
        <v>0.95833333333333337</v>
      </c>
    </row>
    <row r="782" spans="6:13" ht="30" customHeight="1">
      <c r="F782" s="62"/>
      <c r="G782" s="83">
        <v>773</v>
      </c>
      <c r="H782" s="220" t="s">
        <v>2824</v>
      </c>
      <c r="I782" s="221" t="str">
        <f>VLOOKUP(MP_cierre[[#This Row],[OT]],MP_registro[[#All],[OT]:[PROGRAMADO]],9,FALSE)</f>
        <v>G3</v>
      </c>
      <c r="J782" s="222">
        <v>44812</v>
      </c>
      <c r="K782" s="223">
        <v>44818</v>
      </c>
      <c r="L782" s="224">
        <v>0.97916666666666663</v>
      </c>
      <c r="M782" s="224">
        <v>0.99097222222222225</v>
      </c>
    </row>
    <row r="783" spans="6:13" ht="30" customHeight="1">
      <c r="F783" s="62"/>
      <c r="G783" s="83">
        <v>774</v>
      </c>
      <c r="H783" s="220" t="s">
        <v>2859</v>
      </c>
      <c r="I783" s="221" t="str">
        <f>VLOOKUP(MP_cierre[[#This Row],[OT]],MP_registro[[#All],[OT]:[PROGRAMADO]],9,FALSE)</f>
        <v>G2</v>
      </c>
      <c r="J783" s="222">
        <v>44812</v>
      </c>
      <c r="K783" s="223">
        <v>44814</v>
      </c>
      <c r="L783" s="224">
        <v>0.47916666666666669</v>
      </c>
      <c r="M783" s="224">
        <v>0.5</v>
      </c>
    </row>
    <row r="784" spans="6:13" ht="30" customHeight="1">
      <c r="F784" s="62"/>
      <c r="G784" s="83">
        <v>775</v>
      </c>
      <c r="H784" s="220" t="s">
        <v>2860</v>
      </c>
      <c r="I784" s="221" t="str">
        <f>VLOOKUP(MP_cierre[[#This Row],[OT]],MP_registro[[#All],[OT]:[PROGRAMADO]],9,FALSE)</f>
        <v>G2</v>
      </c>
      <c r="J784" s="222">
        <v>44812</v>
      </c>
      <c r="K784" s="223">
        <v>44814</v>
      </c>
      <c r="L784" s="224">
        <v>6.25E-2</v>
      </c>
      <c r="M784" s="224">
        <v>8.3333333333333329E-2</v>
      </c>
    </row>
    <row r="785" spans="6:13" ht="30" customHeight="1">
      <c r="F785" s="62"/>
      <c r="G785" s="83">
        <v>776</v>
      </c>
      <c r="H785" s="220" t="s">
        <v>2825</v>
      </c>
      <c r="I785" s="221" t="str">
        <f>VLOOKUP(MP_cierre[[#This Row],[OT]],MP_registro[[#All],[OT]:[PROGRAMADO]],9,FALSE)</f>
        <v>G3</v>
      </c>
      <c r="J785" s="222">
        <v>44813</v>
      </c>
      <c r="K785" s="223">
        <v>44813</v>
      </c>
      <c r="L785" s="224">
        <v>0.92708333333333337</v>
      </c>
      <c r="M785" s="224">
        <v>0.9375</v>
      </c>
    </row>
    <row r="786" spans="6:13" ht="30" customHeight="1">
      <c r="F786" s="62"/>
      <c r="G786" s="83">
        <v>777</v>
      </c>
      <c r="H786" s="220" t="s">
        <v>2826</v>
      </c>
      <c r="I786" s="221" t="str">
        <f>VLOOKUP(MP_cierre[[#This Row],[OT]],MP_registro[[#All],[OT]:[PROGRAMADO]],9,FALSE)</f>
        <v>G3</v>
      </c>
      <c r="J786" s="222">
        <v>44813</v>
      </c>
      <c r="K786" s="223">
        <v>44813</v>
      </c>
      <c r="L786" s="224">
        <v>0.94097222222222221</v>
      </c>
      <c r="M786" s="224">
        <v>0.95138888888888884</v>
      </c>
    </row>
    <row r="787" spans="6:13" ht="30" customHeight="1">
      <c r="F787" s="62"/>
      <c r="G787" s="83">
        <v>778</v>
      </c>
      <c r="H787" s="220" t="s">
        <v>2827</v>
      </c>
      <c r="I787" s="221" t="str">
        <f>VLOOKUP(MP_cierre[[#This Row],[OT]],MP_registro[[#All],[OT]:[PROGRAMADO]],9,FALSE)</f>
        <v>G3</v>
      </c>
      <c r="J787" s="222">
        <v>44813</v>
      </c>
      <c r="K787" s="223">
        <v>44813</v>
      </c>
      <c r="L787" s="224">
        <v>0.96666666666666667</v>
      </c>
      <c r="M787" s="224">
        <v>0.97777777777777775</v>
      </c>
    </row>
    <row r="788" spans="6:13" ht="30" customHeight="1">
      <c r="F788" s="62"/>
      <c r="G788" s="83">
        <v>779</v>
      </c>
      <c r="H788" s="220" t="s">
        <v>2828</v>
      </c>
      <c r="I788" s="221" t="str">
        <f>VLOOKUP(MP_cierre[[#This Row],[OT]],MP_registro[[#All],[OT]:[PROGRAMADO]],9,FALSE)</f>
        <v>G3</v>
      </c>
      <c r="J788" s="222">
        <v>44813</v>
      </c>
      <c r="K788" s="223">
        <v>44813</v>
      </c>
      <c r="L788" s="224">
        <v>0.98263888888888884</v>
      </c>
      <c r="M788" s="224">
        <v>0.99513888888888891</v>
      </c>
    </row>
    <row r="789" spans="6:13" ht="30" customHeight="1">
      <c r="F789" s="62"/>
      <c r="G789" s="83">
        <v>780</v>
      </c>
      <c r="H789" s="220" t="s">
        <v>2829</v>
      </c>
      <c r="I789" s="221" t="str">
        <f>VLOOKUP(MP_cierre[[#This Row],[OT]],MP_registro[[#All],[OT]:[PROGRAMADO]],9,FALSE)</f>
        <v>G3</v>
      </c>
      <c r="J789" s="222">
        <v>44813</v>
      </c>
      <c r="K789" s="223">
        <v>44813</v>
      </c>
      <c r="L789" s="224">
        <v>0.87847222222222221</v>
      </c>
      <c r="M789" s="224">
        <v>0.88888888888888884</v>
      </c>
    </row>
    <row r="790" spans="6:13" ht="30" customHeight="1">
      <c r="F790" s="62"/>
      <c r="G790" s="83">
        <v>781</v>
      </c>
      <c r="H790" s="220" t="s">
        <v>2861</v>
      </c>
      <c r="I790" s="221" t="str">
        <f>VLOOKUP(MP_cierre[[#This Row],[OT]],MP_registro[[#All],[OT]:[PROGRAMADO]],9,FALSE)</f>
        <v>G2</v>
      </c>
      <c r="J790" s="222">
        <v>44813</v>
      </c>
      <c r="K790" s="223">
        <v>44814</v>
      </c>
      <c r="L790" s="224">
        <v>0.33333333333333331</v>
      </c>
      <c r="M790" s="224">
        <v>0.35416666666666669</v>
      </c>
    </row>
    <row r="791" spans="6:13" ht="30" customHeight="1">
      <c r="F791" s="62"/>
      <c r="G791" s="83">
        <v>782</v>
      </c>
      <c r="H791" s="220" t="s">
        <v>2862</v>
      </c>
      <c r="I791" s="221" t="str">
        <f>VLOOKUP(MP_cierre[[#This Row],[OT]],MP_registro[[#All],[OT]:[PROGRAMADO]],9,FALSE)</f>
        <v>G2</v>
      </c>
      <c r="J791" s="222">
        <v>44813</v>
      </c>
      <c r="K791" s="223">
        <v>44814</v>
      </c>
      <c r="L791" s="224">
        <v>0.35416666666666669</v>
      </c>
      <c r="M791" s="224">
        <v>0.375</v>
      </c>
    </row>
    <row r="792" spans="6:13" ht="30" customHeight="1">
      <c r="F792" s="62"/>
      <c r="G792" s="83">
        <v>783</v>
      </c>
      <c r="H792" s="220" t="s">
        <v>2830</v>
      </c>
      <c r="I792" s="221" t="str">
        <f>VLOOKUP(MP_cierre[[#This Row],[OT]],MP_registro[[#All],[OT]:[PROGRAMADO]],9,FALSE)</f>
        <v>G3</v>
      </c>
      <c r="J792" s="222">
        <v>44813</v>
      </c>
      <c r="K792" s="223">
        <v>44813</v>
      </c>
      <c r="L792" s="224">
        <v>0.90069444444444446</v>
      </c>
      <c r="M792" s="224">
        <v>0.91319444444444453</v>
      </c>
    </row>
    <row r="793" spans="6:13" ht="30" customHeight="1">
      <c r="F793" s="62"/>
      <c r="G793" s="83">
        <v>784</v>
      </c>
      <c r="H793" s="220" t="s">
        <v>2863</v>
      </c>
      <c r="I793" s="221" t="str">
        <f>VLOOKUP(MP_cierre[[#This Row],[OT]],MP_registro[[#All],[OT]:[PROGRAMADO]],9,FALSE)</f>
        <v>G2</v>
      </c>
      <c r="J793" s="222">
        <v>44814</v>
      </c>
      <c r="K793" s="223">
        <v>44817</v>
      </c>
      <c r="L793" s="224">
        <v>0.625</v>
      </c>
      <c r="M793" s="224">
        <v>0.64583333333333337</v>
      </c>
    </row>
    <row r="794" spans="6:13" ht="30" customHeight="1">
      <c r="F794" s="62"/>
      <c r="G794" s="83">
        <v>785</v>
      </c>
      <c r="H794" s="220" t="s">
        <v>2864</v>
      </c>
      <c r="I794" s="221" t="str">
        <f>VLOOKUP(MP_cierre[[#This Row],[OT]],MP_registro[[#All],[OT]:[PROGRAMADO]],9,FALSE)</f>
        <v>G2</v>
      </c>
      <c r="J794" s="222">
        <v>44814</v>
      </c>
      <c r="K794" s="223">
        <v>44817</v>
      </c>
      <c r="L794" s="224">
        <v>0.72916666666666663</v>
      </c>
      <c r="M794" s="224">
        <v>0.75</v>
      </c>
    </row>
    <row r="795" spans="6:13" ht="30" customHeight="1">
      <c r="F795" s="62"/>
      <c r="G795" s="83">
        <v>786</v>
      </c>
      <c r="H795" s="220" t="s">
        <v>2865</v>
      </c>
      <c r="I795" s="221" t="str">
        <f>VLOOKUP(MP_cierre[[#This Row],[OT]],MP_registro[[#All],[OT]:[PROGRAMADO]],9,FALSE)</f>
        <v>G2</v>
      </c>
      <c r="J795" s="222">
        <v>44814</v>
      </c>
      <c r="K795" s="223">
        <v>44816</v>
      </c>
      <c r="L795" s="224">
        <v>0.58333333333333337</v>
      </c>
      <c r="M795" s="224">
        <v>0.625</v>
      </c>
    </row>
    <row r="796" spans="6:13" ht="30" customHeight="1">
      <c r="F796" s="62"/>
      <c r="G796" s="83">
        <v>787</v>
      </c>
      <c r="H796" s="220" t="s">
        <v>2831</v>
      </c>
      <c r="I796" s="221" t="str">
        <f>VLOOKUP(MP_cierre[[#This Row],[OT]],MP_registro[[#All],[OT]:[PROGRAMADO]],9,FALSE)</f>
        <v>G3</v>
      </c>
      <c r="J796" s="222">
        <v>44814</v>
      </c>
      <c r="K796" s="223">
        <v>44814</v>
      </c>
      <c r="L796" s="224">
        <v>0.90277777777777779</v>
      </c>
      <c r="M796" s="224">
        <v>0.91666666666666663</v>
      </c>
    </row>
    <row r="797" spans="6:13" ht="30" customHeight="1">
      <c r="F797" s="62"/>
      <c r="G797" s="83">
        <v>788</v>
      </c>
      <c r="H797" s="220" t="s">
        <v>2866</v>
      </c>
      <c r="I797" s="221" t="str">
        <f>VLOOKUP(MP_cierre[[#This Row],[OT]],MP_registro[[#All],[OT]:[PROGRAMADO]],9,FALSE)</f>
        <v>G2</v>
      </c>
      <c r="J797" s="222">
        <v>44814</v>
      </c>
      <c r="K797" s="223">
        <v>44815</v>
      </c>
      <c r="L797" s="224">
        <v>0.33333333333333331</v>
      </c>
      <c r="M797" s="224">
        <v>0.35416666666666669</v>
      </c>
    </row>
    <row r="798" spans="6:13" ht="30" customHeight="1">
      <c r="F798" s="62"/>
      <c r="G798" s="83">
        <v>789</v>
      </c>
      <c r="H798" s="220" t="s">
        <v>2832</v>
      </c>
      <c r="I798" s="221" t="str">
        <f>VLOOKUP(MP_cierre[[#This Row],[OT]],MP_registro[[#All],[OT]:[PROGRAMADO]],9,FALSE)</f>
        <v>G3</v>
      </c>
      <c r="J798" s="222">
        <v>44814</v>
      </c>
      <c r="K798" s="223">
        <v>44814</v>
      </c>
      <c r="L798" s="224">
        <v>0.875</v>
      </c>
      <c r="M798" s="224">
        <v>0.88888888888888884</v>
      </c>
    </row>
    <row r="799" spans="6:13" ht="30" customHeight="1">
      <c r="F799" s="62"/>
      <c r="G799" s="83">
        <v>790</v>
      </c>
      <c r="H799" s="220" t="s">
        <v>2867</v>
      </c>
      <c r="I799" s="221" t="str">
        <f>VLOOKUP(MP_cierre[[#This Row],[OT]],MP_registro[[#All],[OT]:[PROGRAMADO]],9,FALSE)</f>
        <v>G2</v>
      </c>
      <c r="J799" s="222">
        <v>44815</v>
      </c>
      <c r="K799" s="223">
        <v>44817</v>
      </c>
      <c r="L799" s="224">
        <v>0.70833333333333337</v>
      </c>
      <c r="M799" s="224">
        <v>0.72916666666666663</v>
      </c>
    </row>
    <row r="800" spans="6:13" ht="30" customHeight="1">
      <c r="F800" s="62"/>
      <c r="G800" s="83">
        <v>791</v>
      </c>
      <c r="H800" s="220" t="s">
        <v>2833</v>
      </c>
      <c r="I800" s="221" t="str">
        <f>VLOOKUP(MP_cierre[[#This Row],[OT]],MP_registro[[#All],[OT]:[PROGRAMADO]],9,FALSE)</f>
        <v>G3</v>
      </c>
      <c r="J800" s="222">
        <v>44815</v>
      </c>
      <c r="K800" s="223">
        <v>44817</v>
      </c>
      <c r="L800" s="224">
        <v>0.875</v>
      </c>
      <c r="M800" s="224">
        <v>0.95138888888888884</v>
      </c>
    </row>
    <row r="801" spans="6:13" ht="30" customHeight="1">
      <c r="F801" s="62"/>
      <c r="G801" s="83">
        <v>792</v>
      </c>
      <c r="H801" s="220" t="s">
        <v>2834</v>
      </c>
      <c r="I801" s="221" t="str">
        <f>VLOOKUP(MP_cierre[[#This Row],[OT]],MP_registro[[#All],[OT]:[PROGRAMADO]],9,FALSE)</f>
        <v>G3</v>
      </c>
      <c r="J801" s="222">
        <v>44815</v>
      </c>
      <c r="K801" s="223">
        <v>44815</v>
      </c>
      <c r="L801" s="224">
        <v>0.96527777777777779</v>
      </c>
      <c r="M801" s="224">
        <v>0.9770833333333333</v>
      </c>
    </row>
    <row r="802" spans="6:13" ht="30" customHeight="1">
      <c r="F802" s="62"/>
      <c r="G802" s="83">
        <v>793</v>
      </c>
      <c r="H802" s="220" t="s">
        <v>2835</v>
      </c>
      <c r="I802" s="221" t="str">
        <f>VLOOKUP(MP_cierre[[#This Row],[OT]],MP_registro[[#All],[OT]:[PROGRAMADO]],9,FALSE)</f>
        <v>G3</v>
      </c>
      <c r="J802" s="222">
        <v>44816</v>
      </c>
      <c r="K802" s="223">
        <v>44818</v>
      </c>
      <c r="L802" s="224">
        <v>0.94097222222222221</v>
      </c>
      <c r="M802" s="224">
        <v>0.96597222222222223</v>
      </c>
    </row>
    <row r="803" spans="6:13" ht="30" customHeight="1">
      <c r="F803" s="62"/>
      <c r="G803" s="83">
        <v>794</v>
      </c>
      <c r="H803" s="220" t="s">
        <v>2868</v>
      </c>
      <c r="I803" s="221" t="str">
        <f>VLOOKUP(MP_cierre[[#This Row],[OT]],MP_registro[[#All],[OT]:[PROGRAMADO]],9,FALSE)</f>
        <v>G2</v>
      </c>
      <c r="J803" s="222">
        <v>44816</v>
      </c>
      <c r="K803" s="223">
        <v>44815</v>
      </c>
      <c r="L803" s="224">
        <v>0.375</v>
      </c>
      <c r="M803" s="224">
        <v>0.39583333333333331</v>
      </c>
    </row>
    <row r="804" spans="6:13" ht="30" customHeight="1">
      <c r="F804" s="62"/>
      <c r="G804" s="83">
        <v>795</v>
      </c>
      <c r="H804" s="220" t="s">
        <v>2869</v>
      </c>
      <c r="I804" s="221" t="str">
        <f>VLOOKUP(MP_cierre[[#This Row],[OT]],MP_registro[[#All],[OT]:[PROGRAMADO]],9,FALSE)</f>
        <v>G2</v>
      </c>
      <c r="J804" s="222">
        <v>44817</v>
      </c>
      <c r="K804" s="223">
        <v>44819</v>
      </c>
      <c r="L804" s="224">
        <v>0.64583333333333337</v>
      </c>
      <c r="M804" s="224">
        <v>0.66666666666666663</v>
      </c>
    </row>
    <row r="805" spans="6:13" ht="30" customHeight="1">
      <c r="F805" s="62"/>
      <c r="G805" s="83">
        <v>796</v>
      </c>
      <c r="H805" s="220" t="s">
        <v>2870</v>
      </c>
      <c r="I805" s="221" t="str">
        <f>VLOOKUP(MP_cierre[[#This Row],[OT]],MP_registro[[#All],[OT]:[PROGRAMADO]],9,FALSE)</f>
        <v>G2</v>
      </c>
      <c r="J805" s="222">
        <v>44817</v>
      </c>
      <c r="K805" s="223">
        <v>44817</v>
      </c>
      <c r="L805" s="224">
        <v>0.6875</v>
      </c>
      <c r="M805" s="224">
        <v>0.70833333333333337</v>
      </c>
    </row>
    <row r="806" spans="6:13" ht="30" customHeight="1">
      <c r="F806" s="62"/>
      <c r="G806" s="83">
        <v>797</v>
      </c>
      <c r="H806" s="225" t="s">
        <v>2871</v>
      </c>
      <c r="I806" s="226" t="str">
        <f>VLOOKUP(MP_cierre[[#This Row],[OT]],MP_registro[[#All],[OT]:[PROGRAMADO]],9,FALSE)</f>
        <v>G2</v>
      </c>
      <c r="J806" s="227">
        <v>44817</v>
      </c>
      <c r="K806" s="228">
        <v>44817</v>
      </c>
      <c r="L806" s="229">
        <v>0.66666666666666663</v>
      </c>
      <c r="M806" s="229">
        <v>0.6875</v>
      </c>
    </row>
    <row r="807" spans="6:13" ht="30" customHeight="1">
      <c r="F807" s="62"/>
      <c r="G807" s="83">
        <v>798</v>
      </c>
      <c r="H807" s="220" t="s">
        <v>2872</v>
      </c>
      <c r="I807" s="221" t="str">
        <f>VLOOKUP(MP_cierre[[#This Row],[OT]],MP_registro[[#All],[OT]:[PROGRAMADO]],9,FALSE)</f>
        <v>G4</v>
      </c>
      <c r="J807" s="222">
        <v>44817</v>
      </c>
      <c r="K807" s="223">
        <v>44833</v>
      </c>
      <c r="L807" s="224">
        <v>0.39930555555555558</v>
      </c>
      <c r="M807" s="224">
        <v>0.41319444444444442</v>
      </c>
    </row>
    <row r="808" spans="6:13" ht="30" customHeight="1">
      <c r="F808" s="62"/>
      <c r="G808" s="83">
        <v>799</v>
      </c>
      <c r="H808" s="220" t="s">
        <v>2836</v>
      </c>
      <c r="I808" s="221" t="str">
        <f>VLOOKUP(MP_cierre[[#This Row],[OT]],MP_registro[[#All],[OT]:[PROGRAMADO]],9,FALSE)</f>
        <v>G3</v>
      </c>
      <c r="J808" s="222">
        <v>44817</v>
      </c>
      <c r="K808" s="223">
        <v>44815</v>
      </c>
      <c r="L808" s="224">
        <v>0.94444444444444453</v>
      </c>
      <c r="M808" s="224">
        <v>0.9555555555555556</v>
      </c>
    </row>
    <row r="809" spans="6:13" ht="30" customHeight="1">
      <c r="F809" s="62"/>
      <c r="G809" s="83">
        <v>800</v>
      </c>
      <c r="H809" s="220" t="s">
        <v>2837</v>
      </c>
      <c r="I809" s="221" t="str">
        <f>VLOOKUP(MP_cierre[[#This Row],[OT]],MP_registro[[#All],[OT]:[PROGRAMADO]],9,FALSE)</f>
        <v>G3</v>
      </c>
      <c r="J809" s="222">
        <v>44817</v>
      </c>
      <c r="K809" s="223">
        <v>44815</v>
      </c>
      <c r="L809" s="224">
        <v>0.92222222222222217</v>
      </c>
      <c r="M809" s="224">
        <v>0.93402777777777779</v>
      </c>
    </row>
    <row r="810" spans="6:13" ht="30" customHeight="1">
      <c r="F810" s="62"/>
      <c r="G810" s="83">
        <v>801</v>
      </c>
      <c r="H810" s="220" t="s">
        <v>2838</v>
      </c>
      <c r="I810" s="221" t="str">
        <f>VLOOKUP(MP_cierre[[#This Row],[OT]],MP_registro[[#All],[OT]:[PROGRAMADO]],9,FALSE)</f>
        <v>G3</v>
      </c>
      <c r="J810" s="222">
        <v>44817</v>
      </c>
      <c r="K810" s="223">
        <v>44814</v>
      </c>
      <c r="L810" s="224">
        <v>0.96527777777777779</v>
      </c>
      <c r="M810" s="224">
        <v>0.97499999999999998</v>
      </c>
    </row>
    <row r="811" spans="6:13" ht="30" customHeight="1">
      <c r="F811" s="62"/>
      <c r="G811" s="83">
        <v>802</v>
      </c>
      <c r="H811" s="220" t="s">
        <v>2873</v>
      </c>
      <c r="I811" s="221" t="str">
        <f>VLOOKUP(MP_cierre[[#This Row],[OT]],MP_registro[[#All],[OT]:[PROGRAMADO]],9,FALSE)</f>
        <v>G2</v>
      </c>
      <c r="J811" s="222">
        <v>44817</v>
      </c>
      <c r="K811" s="223">
        <v>44815</v>
      </c>
      <c r="L811" s="224">
        <v>0.35416666666666669</v>
      </c>
      <c r="M811" s="224">
        <v>0.375</v>
      </c>
    </row>
    <row r="812" spans="6:13" ht="30" customHeight="1">
      <c r="F812" s="62"/>
      <c r="G812" s="83">
        <v>803</v>
      </c>
      <c r="H812" s="220" t="s">
        <v>2874</v>
      </c>
      <c r="I812" s="221" t="str">
        <f>VLOOKUP(MP_cierre[[#This Row],[OT]],MP_registro[[#All],[OT]:[PROGRAMADO]],9,FALSE)</f>
        <v>G2</v>
      </c>
      <c r="J812" s="222">
        <v>44817</v>
      </c>
      <c r="K812" s="223">
        <v>44815</v>
      </c>
      <c r="L812" s="224">
        <v>0.39583333333333331</v>
      </c>
      <c r="M812" s="224">
        <v>0.41666666666666669</v>
      </c>
    </row>
    <row r="813" spans="6:13" ht="30" customHeight="1">
      <c r="F813" s="62"/>
      <c r="G813" s="83">
        <v>804</v>
      </c>
      <c r="H813" s="220" t="s">
        <v>2875</v>
      </c>
      <c r="I813" s="221" t="str">
        <f>VLOOKUP(MP_cierre[[#This Row],[OT]],MP_registro[[#All],[OT]:[PROGRAMADO]],9,FALSE)</f>
        <v>G2</v>
      </c>
      <c r="J813" s="222">
        <v>44817</v>
      </c>
      <c r="K813" s="223">
        <v>44814</v>
      </c>
      <c r="L813" s="224">
        <v>0.375</v>
      </c>
      <c r="M813" s="224">
        <v>0.39583333333333331</v>
      </c>
    </row>
    <row r="814" spans="6:13" ht="30" customHeight="1">
      <c r="F814" s="62"/>
      <c r="G814" s="83">
        <v>805</v>
      </c>
      <c r="H814" s="220" t="s">
        <v>2839</v>
      </c>
      <c r="I814" s="221" t="str">
        <f>VLOOKUP(MP_cierre[[#This Row],[OT]],MP_registro[[#All],[OT]:[PROGRAMADO]],9,FALSE)</f>
        <v>G3</v>
      </c>
      <c r="J814" s="222">
        <v>44818</v>
      </c>
      <c r="K814" s="223">
        <v>44817</v>
      </c>
      <c r="L814" s="224">
        <v>0.85416666666666663</v>
      </c>
      <c r="M814" s="224">
        <v>0.91666666666666663</v>
      </c>
    </row>
    <row r="815" spans="6:13" ht="30" customHeight="1">
      <c r="F815" s="62"/>
      <c r="G815" s="83">
        <v>806</v>
      </c>
      <c r="H815" s="220" t="s">
        <v>2840</v>
      </c>
      <c r="I815" s="221" t="str">
        <f>VLOOKUP(MP_cierre[[#This Row],[OT]],MP_registro[[#All],[OT]:[PROGRAMADO]],9,FALSE)</f>
        <v>G3</v>
      </c>
      <c r="J815" s="222">
        <v>44818</v>
      </c>
      <c r="K815" s="223">
        <v>44817</v>
      </c>
      <c r="L815" s="224">
        <v>0.93055555555555547</v>
      </c>
      <c r="M815" s="224">
        <v>0.99305555555555547</v>
      </c>
    </row>
    <row r="816" spans="6:13" ht="30" customHeight="1">
      <c r="F816" s="62"/>
      <c r="G816" s="83">
        <v>807</v>
      </c>
      <c r="H816" s="220" t="s">
        <v>2876</v>
      </c>
      <c r="I816" s="221" t="str">
        <f>VLOOKUP(MP_cierre[[#This Row],[OT]],MP_registro[[#All],[OT]:[PROGRAMADO]],9,FALSE)</f>
        <v>G4</v>
      </c>
      <c r="J816" s="222">
        <v>44818</v>
      </c>
      <c r="K816" s="223">
        <v>44816</v>
      </c>
      <c r="L816" s="224">
        <v>0.41666666666666669</v>
      </c>
      <c r="M816" s="224">
        <v>0.49305555555555558</v>
      </c>
    </row>
    <row r="817" spans="6:13" ht="30" customHeight="1">
      <c r="F817" s="62"/>
      <c r="G817" s="83">
        <v>808</v>
      </c>
      <c r="H817" s="220" t="s">
        <v>2877</v>
      </c>
      <c r="I817" s="221" t="str">
        <f>VLOOKUP(MP_cierre[[#This Row],[OT]],MP_registro[[#All],[OT]:[PROGRAMADO]],9,FALSE)</f>
        <v>G4</v>
      </c>
      <c r="J817" s="222">
        <v>44818</v>
      </c>
      <c r="K817" s="223">
        <v>44817</v>
      </c>
      <c r="L817" s="224">
        <v>0.625</v>
      </c>
      <c r="M817" s="224">
        <v>0.70138888888888884</v>
      </c>
    </row>
    <row r="818" spans="6:13" ht="30" customHeight="1">
      <c r="F818" s="62"/>
      <c r="G818" s="83">
        <v>809</v>
      </c>
      <c r="H818" s="220" t="s">
        <v>2878</v>
      </c>
      <c r="I818" s="221" t="str">
        <f>VLOOKUP(MP_cierre[[#This Row],[OT]],MP_registro[[#All],[OT]:[PROGRAMADO]],9,FALSE)</f>
        <v>G4</v>
      </c>
      <c r="J818" s="222">
        <v>44818</v>
      </c>
      <c r="K818" s="223">
        <v>44818</v>
      </c>
      <c r="L818" s="224">
        <v>0.60416666666666663</v>
      </c>
      <c r="M818" s="224">
        <v>0.68055555555555547</v>
      </c>
    </row>
    <row r="819" spans="6:13" ht="30" customHeight="1">
      <c r="F819" s="62"/>
      <c r="G819" s="83">
        <v>810</v>
      </c>
      <c r="H819" s="220" t="s">
        <v>2879</v>
      </c>
      <c r="I819" s="221" t="str">
        <f>VLOOKUP(MP_cierre[[#This Row],[OT]],MP_registro[[#All],[OT]:[PROGRAMADO]],9,FALSE)</f>
        <v>G4</v>
      </c>
      <c r="J819" s="222">
        <v>44818</v>
      </c>
      <c r="K819" s="223">
        <v>44820</v>
      </c>
      <c r="L819" s="224">
        <v>0.63888888888888895</v>
      </c>
      <c r="M819" s="224">
        <v>0.71527777777777779</v>
      </c>
    </row>
    <row r="820" spans="6:13" ht="30" customHeight="1">
      <c r="F820" s="62"/>
      <c r="G820" s="83">
        <v>811</v>
      </c>
      <c r="H820" s="220" t="s">
        <v>2880</v>
      </c>
      <c r="I820" s="221" t="str">
        <f>VLOOKUP(MP_cierre[[#This Row],[OT]],MP_registro[[#All],[OT]:[PROGRAMADO]],9,FALSE)</f>
        <v>G4</v>
      </c>
      <c r="J820" s="222">
        <v>44818</v>
      </c>
      <c r="K820" s="223">
        <v>44833</v>
      </c>
      <c r="L820" s="224">
        <v>0.41666666666666669</v>
      </c>
      <c r="M820" s="224">
        <v>0.43055555555555558</v>
      </c>
    </row>
    <row r="821" spans="6:13" ht="30" customHeight="1">
      <c r="F821" s="62"/>
      <c r="G821" s="83">
        <v>812</v>
      </c>
      <c r="H821" s="220" t="s">
        <v>2881</v>
      </c>
      <c r="I821" s="221" t="str">
        <f>VLOOKUP(MP_cierre[[#This Row],[OT]],MP_registro[[#All],[OT]:[PROGRAMADO]],9,FALSE)</f>
        <v>G2</v>
      </c>
      <c r="J821" s="222">
        <v>44818</v>
      </c>
      <c r="K821" s="223">
        <v>44815</v>
      </c>
      <c r="L821" s="224">
        <v>0.41666666666666669</v>
      </c>
      <c r="M821" s="224">
        <v>0.4375</v>
      </c>
    </row>
    <row r="822" spans="6:13" ht="30" customHeight="1">
      <c r="F822" s="62"/>
      <c r="G822" s="83">
        <v>813</v>
      </c>
      <c r="H822" s="220" t="s">
        <v>2841</v>
      </c>
      <c r="I822" s="221" t="str">
        <f>VLOOKUP(MP_cierre[[#This Row],[OT]],MP_registro[[#All],[OT]:[PROGRAMADO]],9,FALSE)</f>
        <v>G3</v>
      </c>
      <c r="J822" s="222">
        <v>44818</v>
      </c>
      <c r="K822" s="223">
        <v>44818</v>
      </c>
      <c r="L822" s="224">
        <v>5.9027777777777783E-2</v>
      </c>
      <c r="M822" s="224">
        <v>7.0833333333333331E-2</v>
      </c>
    </row>
    <row r="823" spans="6:13" ht="30" customHeight="1">
      <c r="F823" s="62"/>
      <c r="G823" s="83">
        <v>814</v>
      </c>
      <c r="H823" s="220" t="s">
        <v>2882</v>
      </c>
      <c r="I823" s="221" t="str">
        <f>VLOOKUP(MP_cierre[[#This Row],[OT]],MP_registro[[#All],[OT]:[PROGRAMADO]],9,FALSE)</f>
        <v>G2</v>
      </c>
      <c r="J823" s="222">
        <v>44818</v>
      </c>
      <c r="K823" s="223">
        <v>44814</v>
      </c>
      <c r="L823" s="224">
        <v>0.41666666666666669</v>
      </c>
      <c r="M823" s="224">
        <v>0.4375</v>
      </c>
    </row>
    <row r="824" spans="6:13" ht="30" customHeight="1">
      <c r="F824" s="62"/>
      <c r="G824" s="83">
        <v>815</v>
      </c>
      <c r="H824" s="225" t="s">
        <v>2883</v>
      </c>
      <c r="I824" s="226" t="str">
        <f>VLOOKUP(MP_cierre[[#This Row],[OT]],MP_registro[[#All],[OT]:[PROGRAMADO]],9,FALSE)</f>
        <v>G2</v>
      </c>
      <c r="J824" s="227">
        <v>44818</v>
      </c>
      <c r="K824" s="228">
        <v>44814</v>
      </c>
      <c r="L824" s="229">
        <v>0.39583333333333331</v>
      </c>
      <c r="M824" s="229">
        <v>0.41666666666666669</v>
      </c>
    </row>
    <row r="825" spans="6:13" ht="30" customHeight="1">
      <c r="F825" s="62"/>
      <c r="G825" s="83">
        <v>816</v>
      </c>
      <c r="H825" s="195" t="s">
        <v>2885</v>
      </c>
      <c r="I825" s="182" t="str">
        <f>VLOOKUP(MP_cierre[[#This Row],[OT]],MP_registro[[#All],[OT]:[PROGRAMADO]],9,FALSE)</f>
        <v>G1</v>
      </c>
      <c r="J825" s="170">
        <v>44819</v>
      </c>
      <c r="K825" s="236">
        <v>44819</v>
      </c>
      <c r="L825" s="176">
        <v>0.33333333333333331</v>
      </c>
      <c r="M825" s="176">
        <v>0.35416666666666669</v>
      </c>
    </row>
    <row r="826" spans="6:13" ht="30" customHeight="1">
      <c r="F826" s="62"/>
      <c r="G826" s="83">
        <v>817</v>
      </c>
      <c r="H826" s="195" t="s">
        <v>2886</v>
      </c>
      <c r="I826" s="182" t="str">
        <f>VLOOKUP(MP_cierre[[#This Row],[OT]],MP_registro[[#All],[OT]:[PROGRAMADO]],9,FALSE)</f>
        <v>G1</v>
      </c>
      <c r="J826" s="170">
        <v>44819</v>
      </c>
      <c r="K826" s="236">
        <v>44819</v>
      </c>
      <c r="L826" s="176">
        <v>0.375</v>
      </c>
      <c r="M826" s="176">
        <v>0.39583333333333331</v>
      </c>
    </row>
    <row r="827" spans="6:13" ht="30" customHeight="1">
      <c r="F827" s="62"/>
      <c r="G827" s="83">
        <v>818</v>
      </c>
      <c r="H827" s="195" t="s">
        <v>2887</v>
      </c>
      <c r="I827" s="182" t="str">
        <f>VLOOKUP(MP_cierre[[#This Row],[OT]],MP_registro[[#All],[OT]:[PROGRAMADO]],9,FALSE)</f>
        <v>G1</v>
      </c>
      <c r="J827" s="170">
        <v>44819</v>
      </c>
      <c r="K827" s="236">
        <v>44820</v>
      </c>
      <c r="L827" s="176">
        <v>0.3125</v>
      </c>
      <c r="M827" s="176">
        <v>0.35416666666666669</v>
      </c>
    </row>
    <row r="828" spans="6:13" ht="30" customHeight="1">
      <c r="F828" s="62"/>
      <c r="G828" s="83">
        <v>819</v>
      </c>
      <c r="H828" s="195" t="s">
        <v>2888</v>
      </c>
      <c r="I828" s="182" t="str">
        <f>VLOOKUP(MP_cierre[[#This Row],[OT]],MP_registro[[#All],[OT]:[PROGRAMADO]],9,FALSE)</f>
        <v>G1</v>
      </c>
      <c r="J828" s="170">
        <v>44819</v>
      </c>
      <c r="K828" s="236">
        <v>44820</v>
      </c>
      <c r="L828" s="176">
        <v>0.41666666666666669</v>
      </c>
      <c r="M828" s="176">
        <v>0.45833333333333331</v>
      </c>
    </row>
    <row r="829" spans="6:13" ht="30" customHeight="1">
      <c r="F829" s="62"/>
      <c r="G829" s="83">
        <v>820</v>
      </c>
      <c r="H829" s="195" t="s">
        <v>2889</v>
      </c>
      <c r="I829" s="182" t="str">
        <f>VLOOKUP(MP_cierre[[#This Row],[OT]],MP_registro[[#All],[OT]:[PROGRAMADO]],9,FALSE)</f>
        <v>G2</v>
      </c>
      <c r="J829" s="170">
        <v>44819</v>
      </c>
      <c r="K829" s="236">
        <v>44822</v>
      </c>
      <c r="L829" s="176">
        <v>0.94791666666666663</v>
      </c>
      <c r="M829" s="176">
        <v>0.98958333333333337</v>
      </c>
    </row>
    <row r="830" spans="6:13" ht="30" customHeight="1">
      <c r="F830" s="62"/>
      <c r="G830" s="83">
        <v>821</v>
      </c>
      <c r="H830" s="195" t="s">
        <v>2890</v>
      </c>
      <c r="I830" s="182" t="str">
        <f>VLOOKUP(MP_cierre[[#This Row],[OT]],MP_registro[[#All],[OT]:[PROGRAMADO]],9,FALSE)</f>
        <v>G1</v>
      </c>
      <c r="J830" s="170">
        <v>44819</v>
      </c>
      <c r="K830" s="236">
        <v>44822</v>
      </c>
      <c r="L830" s="176">
        <v>0.68055555555555547</v>
      </c>
      <c r="M830" s="176">
        <v>0.69791666666666663</v>
      </c>
    </row>
    <row r="831" spans="6:13" ht="30" customHeight="1">
      <c r="F831" s="62"/>
      <c r="G831" s="83">
        <v>822</v>
      </c>
      <c r="H831" s="195" t="s">
        <v>2891</v>
      </c>
      <c r="I831" s="182" t="str">
        <f>VLOOKUP(MP_cierre[[#This Row],[OT]],MP_registro[[#All],[OT]:[PROGRAMADO]],9,FALSE)</f>
        <v>G4</v>
      </c>
      <c r="J831" s="170">
        <v>44819</v>
      </c>
      <c r="K831" s="236">
        <v>44823</v>
      </c>
      <c r="L831" s="176">
        <v>0.65277777777777779</v>
      </c>
      <c r="M831" s="176">
        <v>0.72916666666666663</v>
      </c>
    </row>
    <row r="832" spans="6:13" ht="30" customHeight="1">
      <c r="F832" s="62"/>
      <c r="G832" s="83">
        <v>823</v>
      </c>
      <c r="H832" s="195" t="s">
        <v>2892</v>
      </c>
      <c r="I832" s="182" t="str">
        <f>VLOOKUP(MP_cierre[[#This Row],[OT]],MP_registro[[#All],[OT]:[PROGRAMADO]],9,FALSE)</f>
        <v>G4</v>
      </c>
      <c r="J832" s="170">
        <v>44819</v>
      </c>
      <c r="K832" s="236">
        <v>44820</v>
      </c>
      <c r="L832" s="176">
        <v>0.375</v>
      </c>
      <c r="M832" s="176">
        <v>0.4513888888888889</v>
      </c>
    </row>
    <row r="833" spans="6:13" ht="30" customHeight="1">
      <c r="F833" s="62"/>
      <c r="G833" s="83">
        <v>824</v>
      </c>
      <c r="H833" s="195" t="s">
        <v>2893</v>
      </c>
      <c r="I833" s="182" t="str">
        <f>VLOOKUP(MP_cierre[[#This Row],[OT]],MP_registro[[#All],[OT]:[PROGRAMADO]],9,FALSE)</f>
        <v>G4</v>
      </c>
      <c r="J833" s="170">
        <v>44819</v>
      </c>
      <c r="K833" s="236">
        <v>44833</v>
      </c>
      <c r="L833" s="176">
        <v>0.39930555555555558</v>
      </c>
      <c r="M833" s="176">
        <v>0.41319444444444442</v>
      </c>
    </row>
    <row r="834" spans="6:13" ht="30" customHeight="1">
      <c r="F834" s="62"/>
      <c r="G834" s="83">
        <v>825</v>
      </c>
      <c r="H834" s="195" t="s">
        <v>2894</v>
      </c>
      <c r="I834" s="182" t="str">
        <f>VLOOKUP(MP_cierre[[#This Row],[OT]],MP_registro[[#All],[OT]:[PROGRAMADO]],9,FALSE)</f>
        <v>G4</v>
      </c>
      <c r="J834" s="170">
        <v>44819</v>
      </c>
      <c r="K834" s="236">
        <v>44832</v>
      </c>
      <c r="L834" s="176">
        <v>0.375</v>
      </c>
      <c r="M834" s="176">
        <v>0.3888888888888889</v>
      </c>
    </row>
    <row r="835" spans="6:13" ht="30" customHeight="1">
      <c r="F835" s="62"/>
      <c r="G835" s="83">
        <v>826</v>
      </c>
      <c r="H835" s="195" t="s">
        <v>2895</v>
      </c>
      <c r="I835" s="182" t="str">
        <f>VLOOKUP(MP_cierre[[#This Row],[OT]],MP_registro[[#All],[OT]:[PROGRAMADO]],9,FALSE)</f>
        <v>G4</v>
      </c>
      <c r="J835" s="170">
        <v>44819</v>
      </c>
      <c r="K835" s="236">
        <v>44832</v>
      </c>
      <c r="L835" s="176">
        <v>0.3923611111111111</v>
      </c>
      <c r="M835" s="176">
        <v>0.40625</v>
      </c>
    </row>
    <row r="836" spans="6:13" ht="30" customHeight="1">
      <c r="F836" s="62"/>
      <c r="G836" s="83">
        <v>827</v>
      </c>
      <c r="H836" s="195" t="s">
        <v>2896</v>
      </c>
      <c r="I836" s="182" t="str">
        <f>VLOOKUP(MP_cierre[[#This Row],[OT]],MP_registro[[#All],[OT]:[PROGRAMADO]],9,FALSE)</f>
        <v>G1</v>
      </c>
      <c r="J836" s="170">
        <v>44819</v>
      </c>
      <c r="K836" s="236">
        <v>44822</v>
      </c>
      <c r="L836" s="176">
        <v>0.65277777777777779</v>
      </c>
      <c r="M836" s="176">
        <v>0.66666666666666663</v>
      </c>
    </row>
    <row r="837" spans="6:13" ht="30" customHeight="1">
      <c r="F837" s="62"/>
      <c r="G837" s="83">
        <v>828</v>
      </c>
      <c r="H837" s="195" t="s">
        <v>2897</v>
      </c>
      <c r="I837" s="182" t="str">
        <f>VLOOKUP(MP_cierre[[#This Row],[OT]],MP_registro[[#All],[OT]:[PROGRAMADO]],9,FALSE)</f>
        <v>G1</v>
      </c>
      <c r="J837" s="170">
        <v>44819</v>
      </c>
      <c r="K837" s="236">
        <v>44822</v>
      </c>
      <c r="L837" s="176">
        <v>0.66666666666666663</v>
      </c>
      <c r="M837" s="176">
        <v>0.68055555555555547</v>
      </c>
    </row>
    <row r="838" spans="6:13" ht="30" customHeight="1">
      <c r="F838" s="62"/>
      <c r="G838" s="83">
        <v>829</v>
      </c>
      <c r="H838" s="195" t="s">
        <v>2898</v>
      </c>
      <c r="I838" s="182" t="str">
        <f>VLOOKUP(MP_cierre[[#This Row],[OT]],MP_registro[[#All],[OT]:[PROGRAMADO]],9,FALSE)</f>
        <v>G1</v>
      </c>
      <c r="J838" s="170">
        <v>44820</v>
      </c>
      <c r="K838" s="236">
        <v>44823</v>
      </c>
      <c r="L838" s="176">
        <v>0.39583333333333331</v>
      </c>
      <c r="M838" s="176">
        <v>0.4375</v>
      </c>
    </row>
    <row r="839" spans="6:13" ht="30" customHeight="1">
      <c r="F839" s="62"/>
      <c r="G839" s="83">
        <v>830</v>
      </c>
      <c r="H839" s="195" t="s">
        <v>2899</v>
      </c>
      <c r="I839" s="182" t="str">
        <f>VLOOKUP(MP_cierre[[#This Row],[OT]],MP_registro[[#All],[OT]:[PROGRAMADO]],9,FALSE)</f>
        <v>G1</v>
      </c>
      <c r="J839" s="170">
        <v>44820</v>
      </c>
      <c r="K839" s="236">
        <v>44824</v>
      </c>
      <c r="L839" s="176">
        <v>0.68402777777777779</v>
      </c>
      <c r="M839" s="176">
        <v>0.69791666666666663</v>
      </c>
    </row>
    <row r="840" spans="6:13" ht="30" customHeight="1">
      <c r="F840" s="62"/>
      <c r="G840" s="83">
        <v>831</v>
      </c>
      <c r="H840" s="195" t="s">
        <v>2900</v>
      </c>
      <c r="I840" s="182" t="str">
        <f>VLOOKUP(MP_cierre[[#This Row],[OT]],MP_registro[[#All],[OT]:[PROGRAMADO]],9,FALSE)</f>
        <v>G1</v>
      </c>
      <c r="J840" s="170">
        <v>44820</v>
      </c>
      <c r="K840" s="236">
        <v>44824</v>
      </c>
      <c r="L840" s="176">
        <v>0.2951388888888889</v>
      </c>
      <c r="M840" s="176">
        <v>0.34722222222222227</v>
      </c>
    </row>
    <row r="841" spans="6:13" ht="30" customHeight="1">
      <c r="F841" s="62"/>
      <c r="G841" s="83">
        <v>832</v>
      </c>
      <c r="H841" s="195" t="s">
        <v>2901</v>
      </c>
      <c r="I841" s="182" t="str">
        <f>VLOOKUP(MP_cierre[[#This Row],[OT]],MP_registro[[#All],[OT]:[PROGRAMADO]],9,FALSE)</f>
        <v>G4</v>
      </c>
      <c r="J841" s="170">
        <v>44820</v>
      </c>
      <c r="K841" s="236">
        <v>44832</v>
      </c>
      <c r="L841" s="176">
        <v>0.40972222222222227</v>
      </c>
      <c r="M841" s="176">
        <v>0.4236111111111111</v>
      </c>
    </row>
    <row r="842" spans="6:13" ht="30" customHeight="1">
      <c r="F842" s="62"/>
      <c r="G842" s="83">
        <v>833</v>
      </c>
      <c r="H842" s="195" t="s">
        <v>2902</v>
      </c>
      <c r="I842" s="182" t="str">
        <f>VLOOKUP(MP_cierre[[#This Row],[OT]],MP_registro[[#All],[OT]:[PROGRAMADO]],9,FALSE)</f>
        <v>G4</v>
      </c>
      <c r="J842" s="170">
        <v>44820</v>
      </c>
      <c r="K842" s="236">
        <v>44832</v>
      </c>
      <c r="L842" s="176">
        <v>0.44444444444444442</v>
      </c>
      <c r="M842" s="176">
        <v>0.45833333333333331</v>
      </c>
    </row>
    <row r="843" spans="6:13" ht="30" customHeight="1">
      <c r="F843" s="62"/>
      <c r="G843" s="83">
        <v>834</v>
      </c>
      <c r="H843" s="195" t="s">
        <v>2903</v>
      </c>
      <c r="I843" s="182" t="str">
        <f>VLOOKUP(MP_cierre[[#This Row],[OT]],MP_registro[[#All],[OT]:[PROGRAMADO]],9,FALSE)</f>
        <v>G4</v>
      </c>
      <c r="J843" s="170">
        <v>44820</v>
      </c>
      <c r="K843" s="236">
        <v>44832</v>
      </c>
      <c r="L843" s="176">
        <v>0.42708333333333331</v>
      </c>
      <c r="M843" s="176">
        <v>0.44097222222222227</v>
      </c>
    </row>
    <row r="844" spans="6:13" ht="30" customHeight="1">
      <c r="F844" s="62"/>
      <c r="G844" s="83">
        <v>835</v>
      </c>
      <c r="H844" s="195" t="s">
        <v>2904</v>
      </c>
      <c r="I844" s="182" t="str">
        <f>VLOOKUP(MP_cierre[[#This Row],[OT]],MP_registro[[#All],[OT]:[PROGRAMADO]],9,FALSE)</f>
        <v>G2</v>
      </c>
      <c r="J844" s="170">
        <v>44820</v>
      </c>
      <c r="K844" s="236">
        <v>44821</v>
      </c>
      <c r="L844" s="176">
        <v>0.85416666666666663</v>
      </c>
      <c r="M844" s="176">
        <v>0.875</v>
      </c>
    </row>
    <row r="845" spans="6:13" ht="30" customHeight="1">
      <c r="F845" s="62"/>
      <c r="G845" s="83">
        <v>836</v>
      </c>
      <c r="H845" s="195" t="s">
        <v>2905</v>
      </c>
      <c r="I845" s="182" t="str">
        <f>VLOOKUP(MP_cierre[[#This Row],[OT]],MP_registro[[#All],[OT]:[PROGRAMADO]],9,FALSE)</f>
        <v>G2</v>
      </c>
      <c r="J845" s="170">
        <v>44820</v>
      </c>
      <c r="K845" s="236">
        <v>44821</v>
      </c>
      <c r="L845" s="176">
        <v>0.875</v>
      </c>
      <c r="M845" s="176">
        <v>0.89583333333333337</v>
      </c>
    </row>
    <row r="846" spans="6:13" ht="30" customHeight="1">
      <c r="F846" s="62"/>
      <c r="G846" s="83">
        <v>837</v>
      </c>
      <c r="H846" s="195" t="s">
        <v>2906</v>
      </c>
      <c r="I846" s="182" t="str">
        <f>VLOOKUP(MP_cierre[[#This Row],[OT]],MP_registro[[#All],[OT]:[PROGRAMADO]],9,FALSE)</f>
        <v>G2</v>
      </c>
      <c r="J846" s="170">
        <v>44820</v>
      </c>
      <c r="K846" s="236">
        <v>44821</v>
      </c>
      <c r="L846" s="176">
        <v>0.9375</v>
      </c>
      <c r="M846" s="176">
        <v>0.95833333333333337</v>
      </c>
    </row>
    <row r="847" spans="6:13" ht="30" customHeight="1">
      <c r="F847" s="62"/>
      <c r="G847" s="83">
        <v>838</v>
      </c>
      <c r="H847" s="195" t="s">
        <v>2907</v>
      </c>
      <c r="I847" s="182" t="str">
        <f>VLOOKUP(MP_cierre[[#This Row],[OT]],MP_registro[[#All],[OT]:[PROGRAMADO]],9,FALSE)</f>
        <v>G2</v>
      </c>
      <c r="J847" s="170">
        <v>44820</v>
      </c>
      <c r="K847" s="236">
        <v>44821</v>
      </c>
      <c r="L847" s="176">
        <v>0.89583333333333337</v>
      </c>
      <c r="M847" s="176">
        <v>0.91666666666666663</v>
      </c>
    </row>
    <row r="848" spans="6:13" ht="30" customHeight="1">
      <c r="F848" s="62"/>
      <c r="G848" s="83">
        <v>839</v>
      </c>
      <c r="H848" s="195" t="s">
        <v>2908</v>
      </c>
      <c r="I848" s="182" t="str">
        <f>VLOOKUP(MP_cierre[[#This Row],[OT]],MP_registro[[#All],[OT]:[PROGRAMADO]],9,FALSE)</f>
        <v>G1</v>
      </c>
      <c r="J848" s="170">
        <v>44820</v>
      </c>
      <c r="K848" s="236">
        <v>44823</v>
      </c>
      <c r="L848" s="176">
        <v>0.70486111111111116</v>
      </c>
      <c r="M848" s="176">
        <v>0.72222222222222221</v>
      </c>
    </row>
    <row r="849" spans="6:13" ht="30" customHeight="1">
      <c r="F849" s="62"/>
      <c r="G849" s="83">
        <v>840</v>
      </c>
      <c r="H849" s="195" t="s">
        <v>2909</v>
      </c>
      <c r="I849" s="182" t="str">
        <f>VLOOKUP(MP_cierre[[#This Row],[OT]],MP_registro[[#All],[OT]:[PROGRAMADO]],9,FALSE)</f>
        <v>G1</v>
      </c>
      <c r="J849" s="170">
        <v>44820</v>
      </c>
      <c r="K849" s="236">
        <v>44822</v>
      </c>
      <c r="L849" s="176">
        <v>0.63194444444444442</v>
      </c>
      <c r="M849" s="176">
        <v>0.64583333333333337</v>
      </c>
    </row>
    <row r="850" spans="6:13" ht="30" customHeight="1">
      <c r="F850" s="62"/>
      <c r="G850" s="83">
        <v>841</v>
      </c>
      <c r="H850" s="195" t="s">
        <v>2910</v>
      </c>
      <c r="I850" s="182" t="str">
        <f>VLOOKUP(MP_cierre[[#This Row],[OT]],MP_registro[[#All],[OT]:[PROGRAMADO]],9,FALSE)</f>
        <v>G1</v>
      </c>
      <c r="J850" s="170">
        <v>44820</v>
      </c>
      <c r="K850" s="236">
        <v>44824</v>
      </c>
      <c r="L850" s="176">
        <v>0.74305555555555547</v>
      </c>
      <c r="M850" s="176">
        <v>0.76388888888888884</v>
      </c>
    </row>
    <row r="851" spans="6:13" ht="30" customHeight="1">
      <c r="F851" s="62"/>
      <c r="G851" s="83">
        <v>842</v>
      </c>
      <c r="H851" s="195" t="s">
        <v>2911</v>
      </c>
      <c r="I851" s="182" t="str">
        <f>VLOOKUP(MP_cierre[[#This Row],[OT]],MP_registro[[#All],[OT]:[PROGRAMADO]],9,FALSE)</f>
        <v>G1</v>
      </c>
      <c r="J851" s="170">
        <v>44820</v>
      </c>
      <c r="K851" s="236">
        <v>44824</v>
      </c>
      <c r="L851" s="176">
        <v>0.34722222222222227</v>
      </c>
      <c r="M851" s="176">
        <v>0.35069444444444442</v>
      </c>
    </row>
    <row r="852" spans="6:13" ht="30" customHeight="1">
      <c r="F852" s="62"/>
      <c r="G852" s="83">
        <v>843</v>
      </c>
      <c r="H852" s="195" t="s">
        <v>2912</v>
      </c>
      <c r="I852" s="182" t="str">
        <f>VLOOKUP(MP_cierre[[#This Row],[OT]],MP_registro[[#All],[OT]:[PROGRAMADO]],9,FALSE)</f>
        <v>G1</v>
      </c>
      <c r="J852" s="170">
        <v>44821</v>
      </c>
      <c r="K852" s="236">
        <v>44821</v>
      </c>
      <c r="L852" s="176">
        <v>0.66666666666666663</v>
      </c>
      <c r="M852" s="176">
        <v>0.69791666666666663</v>
      </c>
    </row>
    <row r="853" spans="6:13" ht="30" customHeight="1">
      <c r="F853" s="62"/>
      <c r="G853" s="83">
        <v>844</v>
      </c>
      <c r="H853" s="195" t="s">
        <v>2913</v>
      </c>
      <c r="I853" s="182" t="str">
        <f>VLOOKUP(MP_cierre[[#This Row],[OT]],MP_registro[[#All],[OT]:[PROGRAMADO]],9,FALSE)</f>
        <v>G1</v>
      </c>
      <c r="J853" s="170">
        <v>44821</v>
      </c>
      <c r="K853" s="236">
        <v>44820</v>
      </c>
      <c r="L853" s="176">
        <v>0.70833333333333337</v>
      </c>
      <c r="M853" s="176">
        <v>0.75</v>
      </c>
    </row>
    <row r="854" spans="6:13" ht="30" customHeight="1">
      <c r="F854" s="62"/>
      <c r="G854" s="83">
        <v>845</v>
      </c>
      <c r="H854" s="195" t="s">
        <v>2914</v>
      </c>
      <c r="I854" s="182" t="str">
        <f>VLOOKUP(MP_cierre[[#This Row],[OT]],MP_registro[[#All],[OT]:[PROGRAMADO]],9,FALSE)</f>
        <v>G2</v>
      </c>
      <c r="J854" s="170">
        <v>44821</v>
      </c>
      <c r="K854" s="236">
        <v>44823</v>
      </c>
      <c r="L854" s="176">
        <v>0.91666666666666663</v>
      </c>
      <c r="M854" s="176">
        <v>0.9375</v>
      </c>
    </row>
    <row r="855" spans="6:13" ht="30" customHeight="1">
      <c r="F855" s="62"/>
      <c r="G855" s="83">
        <v>846</v>
      </c>
      <c r="H855" s="195" t="s">
        <v>2915</v>
      </c>
      <c r="I855" s="182" t="str">
        <f>VLOOKUP(MP_cierre[[#This Row],[OT]],MP_registro[[#All],[OT]:[PROGRAMADO]],9,FALSE)</f>
        <v>G2</v>
      </c>
      <c r="J855" s="170">
        <v>44821</v>
      </c>
      <c r="K855" s="236">
        <v>44823</v>
      </c>
      <c r="L855" s="176">
        <v>0.9375</v>
      </c>
      <c r="M855" s="176">
        <v>0.95833333333333337</v>
      </c>
    </row>
    <row r="856" spans="6:13" ht="30" customHeight="1">
      <c r="F856" s="62"/>
      <c r="G856" s="83">
        <v>847</v>
      </c>
      <c r="H856" s="195" t="s">
        <v>2916</v>
      </c>
      <c r="I856" s="182" t="str">
        <f>VLOOKUP(MP_cierre[[#This Row],[OT]],MP_registro[[#All],[OT]:[PROGRAMADO]],9,FALSE)</f>
        <v>G2</v>
      </c>
      <c r="J856" s="170">
        <v>44821</v>
      </c>
      <c r="K856" s="236">
        <v>44823</v>
      </c>
      <c r="L856" s="176">
        <v>0.97916666666666663</v>
      </c>
      <c r="M856" s="176">
        <v>1</v>
      </c>
    </row>
    <row r="857" spans="6:13" ht="30" customHeight="1">
      <c r="F857" s="62"/>
      <c r="G857" s="83">
        <v>848</v>
      </c>
      <c r="H857" s="195" t="s">
        <v>2917</v>
      </c>
      <c r="I857" s="182" t="str">
        <f>VLOOKUP(MP_cierre[[#This Row],[OT]],MP_registro[[#All],[OT]:[PROGRAMADO]],9,FALSE)</f>
        <v>G2</v>
      </c>
      <c r="J857" s="170">
        <v>44821</v>
      </c>
      <c r="K857" s="236">
        <v>44823</v>
      </c>
      <c r="L857" s="176">
        <v>0.95833333333333337</v>
      </c>
      <c r="M857" s="176">
        <v>0.97916666666666663</v>
      </c>
    </row>
    <row r="858" spans="6:13" ht="30" customHeight="1">
      <c r="F858" s="62"/>
      <c r="G858" s="83">
        <v>849</v>
      </c>
      <c r="H858" s="195" t="s">
        <v>2918</v>
      </c>
      <c r="I858" s="182" t="str">
        <f>VLOOKUP(MP_cierre[[#This Row],[OT]],MP_registro[[#All],[OT]:[PROGRAMADO]],9,FALSE)</f>
        <v>G1</v>
      </c>
      <c r="J858" s="170">
        <v>44821</v>
      </c>
      <c r="K858" s="236">
        <v>44823</v>
      </c>
      <c r="L858" s="176">
        <v>0.625</v>
      </c>
      <c r="M858" s="176">
        <v>0.63888888888888895</v>
      </c>
    </row>
    <row r="859" spans="6:13" ht="30" customHeight="1">
      <c r="F859" s="62"/>
      <c r="G859" s="83">
        <v>850</v>
      </c>
      <c r="H859" s="195" t="s">
        <v>2919</v>
      </c>
      <c r="I859" s="182" t="str">
        <f>VLOOKUP(MP_cierre[[#This Row],[OT]],MP_registro[[#All],[OT]:[PROGRAMADO]],9,FALSE)</f>
        <v>G2</v>
      </c>
      <c r="J859" s="170">
        <v>44821</v>
      </c>
      <c r="K859" s="236">
        <v>44820</v>
      </c>
      <c r="L859" s="176">
        <v>0.89583333333333337</v>
      </c>
      <c r="M859" s="176">
        <v>0.91666666666666663</v>
      </c>
    </row>
    <row r="860" spans="6:13" ht="30" customHeight="1">
      <c r="F860" s="62"/>
      <c r="G860" s="83">
        <v>851</v>
      </c>
      <c r="H860" s="195" t="s">
        <v>2920</v>
      </c>
      <c r="I860" s="182" t="str">
        <f>VLOOKUP(MP_cierre[[#This Row],[OT]],MP_registro[[#All],[OT]:[PROGRAMADO]],9,FALSE)</f>
        <v>G1</v>
      </c>
      <c r="J860" s="170">
        <v>44821</v>
      </c>
      <c r="K860" s="236">
        <v>44823</v>
      </c>
      <c r="L860" s="176">
        <v>0.64236111111111105</v>
      </c>
      <c r="M860" s="176">
        <v>0.70138888888888884</v>
      </c>
    </row>
    <row r="861" spans="6:13" ht="30" customHeight="1">
      <c r="F861" s="62"/>
      <c r="G861" s="83">
        <v>852</v>
      </c>
      <c r="H861" s="195" t="s">
        <v>2921</v>
      </c>
      <c r="I861" s="182" t="str">
        <f>VLOOKUP(MP_cierre[[#This Row],[OT]],MP_registro[[#All],[OT]:[PROGRAMADO]],9,FALSE)</f>
        <v>G1</v>
      </c>
      <c r="J861" s="170">
        <v>44822</v>
      </c>
      <c r="K861" s="236">
        <v>44824</v>
      </c>
      <c r="L861" s="176">
        <v>0.64583333333333337</v>
      </c>
      <c r="M861" s="176">
        <v>0.65972222222222221</v>
      </c>
    </row>
    <row r="862" spans="6:13" ht="30" customHeight="1">
      <c r="F862" s="62"/>
      <c r="G862" s="83">
        <v>853</v>
      </c>
      <c r="H862" s="195" t="s">
        <v>2922</v>
      </c>
      <c r="I862" s="182" t="str">
        <f>VLOOKUP(MP_cierre[[#This Row],[OT]],MP_registro[[#All],[OT]:[PROGRAMADO]],9,FALSE)</f>
        <v>G1</v>
      </c>
      <c r="J862" s="170">
        <v>44822</v>
      </c>
      <c r="K862" s="236">
        <v>44824</v>
      </c>
      <c r="L862" s="176">
        <v>0.66666666666666663</v>
      </c>
      <c r="M862" s="176">
        <v>0.68055555555555547</v>
      </c>
    </row>
    <row r="863" spans="6:13" ht="30" customHeight="1">
      <c r="F863" s="62"/>
      <c r="G863" s="83">
        <v>854</v>
      </c>
      <c r="H863" s="195" t="s">
        <v>2923</v>
      </c>
      <c r="I863" s="182" t="str">
        <f>VLOOKUP(MP_cierre[[#This Row],[OT]],MP_registro[[#All],[OT]:[PROGRAMADO]],9,FALSE)</f>
        <v>G2</v>
      </c>
      <c r="J863" s="170">
        <v>44822</v>
      </c>
      <c r="K863" s="236">
        <v>44824</v>
      </c>
      <c r="L863" s="176">
        <v>0.9375</v>
      </c>
      <c r="M863" s="176">
        <v>0.95833333333333337</v>
      </c>
    </row>
    <row r="864" spans="6:13" ht="30" customHeight="1">
      <c r="F864" s="62"/>
      <c r="G864" s="83">
        <v>855</v>
      </c>
      <c r="H864" s="195" t="s">
        <v>2924</v>
      </c>
      <c r="I864" s="182" t="str">
        <f>VLOOKUP(MP_cierre[[#This Row],[OT]],MP_registro[[#All],[OT]:[PROGRAMADO]],9,FALSE)</f>
        <v>G2</v>
      </c>
      <c r="J864" s="170">
        <v>44822</v>
      </c>
      <c r="K864" s="236">
        <v>44821</v>
      </c>
      <c r="L864" s="176">
        <v>0.95833333333333337</v>
      </c>
      <c r="M864" s="176">
        <v>0.97916666666666663</v>
      </c>
    </row>
    <row r="865" spans="6:13" ht="30" customHeight="1">
      <c r="F865" s="62"/>
      <c r="G865" s="83">
        <v>856</v>
      </c>
      <c r="H865" s="195" t="s">
        <v>2925</v>
      </c>
      <c r="I865" s="182" t="str">
        <f>VLOOKUP(MP_cierre[[#This Row],[OT]],MP_registro[[#All],[OT]:[PROGRAMADO]],9,FALSE)</f>
        <v>G1</v>
      </c>
      <c r="J865" s="170">
        <v>44823</v>
      </c>
      <c r="K865" s="236">
        <v>44820</v>
      </c>
      <c r="L865" s="176">
        <v>0.66666666666666663</v>
      </c>
      <c r="M865" s="176">
        <v>0.70833333333333337</v>
      </c>
    </row>
    <row r="866" spans="6:13" ht="30" customHeight="1">
      <c r="F866" s="62"/>
      <c r="G866" s="83">
        <v>857</v>
      </c>
      <c r="H866" s="195" t="s">
        <v>2926</v>
      </c>
      <c r="I866" s="182" t="str">
        <f>VLOOKUP(MP_cierre[[#This Row],[OT]],MP_registro[[#All],[OT]:[PROGRAMADO]],9,FALSE)</f>
        <v>G2</v>
      </c>
      <c r="J866" s="170">
        <v>44823</v>
      </c>
      <c r="K866" s="236">
        <v>44825</v>
      </c>
      <c r="L866" s="176">
        <v>0.91666666666666663</v>
      </c>
      <c r="M866" s="176">
        <v>0.95833333333333337</v>
      </c>
    </row>
    <row r="867" spans="6:13" ht="30" customHeight="1">
      <c r="F867" s="62"/>
      <c r="G867" s="83">
        <v>858</v>
      </c>
      <c r="H867" s="195" t="s">
        <v>2927</v>
      </c>
      <c r="I867" s="182" t="str">
        <f>VLOOKUP(MP_cierre[[#This Row],[OT]],MP_registro[[#All],[OT]:[PROGRAMADO]],9,FALSE)</f>
        <v>G2</v>
      </c>
      <c r="J867" s="170">
        <v>44823</v>
      </c>
      <c r="K867" s="236">
        <v>44820</v>
      </c>
      <c r="L867" s="176">
        <v>0.9375</v>
      </c>
      <c r="M867" s="176">
        <v>0.95833333333333337</v>
      </c>
    </row>
    <row r="868" spans="6:13" ht="30" customHeight="1">
      <c r="F868" s="62"/>
      <c r="G868" s="83">
        <v>859</v>
      </c>
      <c r="H868" s="195" t="s">
        <v>2928</v>
      </c>
      <c r="I868" s="182" t="str">
        <f>VLOOKUP(MP_cierre[[#This Row],[OT]],MP_registro[[#All],[OT]:[PROGRAMADO]],9,FALSE)</f>
        <v>G2</v>
      </c>
      <c r="J868" s="170">
        <v>44824</v>
      </c>
      <c r="K868" s="236">
        <v>44824</v>
      </c>
      <c r="L868" s="176">
        <v>0.83333333333333337</v>
      </c>
      <c r="M868" s="176">
        <v>0.875</v>
      </c>
    </row>
    <row r="869" spans="6:13" ht="30" customHeight="1">
      <c r="F869" s="62"/>
      <c r="G869" s="83">
        <v>860</v>
      </c>
      <c r="H869" s="195" t="s">
        <v>2930</v>
      </c>
      <c r="I869" s="182" t="str">
        <f>VLOOKUP(MP_cierre[[#This Row],[OT]],MP_registro[[#All],[OT]:[PROGRAMADO]],9,FALSE)</f>
        <v>G1</v>
      </c>
      <c r="J869" s="170">
        <v>44824</v>
      </c>
      <c r="K869" s="236">
        <v>44822</v>
      </c>
      <c r="L869" s="176">
        <v>0.60416666666666663</v>
      </c>
      <c r="M869" s="176">
        <v>0.625</v>
      </c>
    </row>
    <row r="870" spans="6:13" ht="30" customHeight="1">
      <c r="F870" s="62"/>
      <c r="G870" s="83">
        <v>861</v>
      </c>
      <c r="H870" s="195" t="s">
        <v>2931</v>
      </c>
      <c r="I870" s="182" t="str">
        <f>VLOOKUP(MP_cierre[[#This Row],[OT]],MP_registro[[#All],[OT]:[PROGRAMADO]],9,FALSE)</f>
        <v>G2</v>
      </c>
      <c r="J870" s="170">
        <v>44824</v>
      </c>
      <c r="K870" s="236">
        <v>44822</v>
      </c>
      <c r="L870" s="176">
        <v>0.97916666666666663</v>
      </c>
      <c r="M870" s="176">
        <v>1</v>
      </c>
    </row>
    <row r="871" spans="6:13" ht="30" customHeight="1">
      <c r="F871" s="62"/>
      <c r="G871" s="83">
        <v>862</v>
      </c>
      <c r="H871" s="195" t="s">
        <v>2932</v>
      </c>
      <c r="I871" s="182" t="str">
        <f>VLOOKUP(MP_cierre[[#This Row],[OT]],MP_registro[[#All],[OT]:[PROGRAMADO]],9,FALSE)</f>
        <v>G2</v>
      </c>
      <c r="J871" s="170">
        <v>44824</v>
      </c>
      <c r="K871" s="236">
        <v>44821</v>
      </c>
      <c r="L871" s="176">
        <v>0.91666666666666663</v>
      </c>
      <c r="M871" s="176">
        <v>0.9375</v>
      </c>
    </row>
    <row r="872" spans="6:13" ht="30" customHeight="1">
      <c r="F872" s="62"/>
      <c r="G872" s="83">
        <v>863</v>
      </c>
      <c r="H872" s="195" t="s">
        <v>2933</v>
      </c>
      <c r="I872" s="182" t="str">
        <f>VLOOKUP(MP_cierre[[#This Row],[OT]],MP_registro[[#All],[OT]:[PROGRAMADO]],9,FALSE)</f>
        <v>G2</v>
      </c>
      <c r="J872" s="170">
        <v>44824</v>
      </c>
      <c r="K872" s="236">
        <v>44821</v>
      </c>
      <c r="L872" s="176">
        <v>0.83333333333333337</v>
      </c>
      <c r="M872" s="176">
        <v>0.85416666666666663</v>
      </c>
    </row>
    <row r="873" spans="6:13" ht="30" customHeight="1">
      <c r="F873" s="62"/>
      <c r="G873" s="83">
        <v>864</v>
      </c>
      <c r="H873" s="195" t="s">
        <v>2934</v>
      </c>
      <c r="I873" s="182" t="str">
        <f>VLOOKUP(MP_cierre[[#This Row],[OT]],MP_registro[[#All],[OT]:[PROGRAMADO]],9,FALSE)</f>
        <v>G2</v>
      </c>
      <c r="J873" s="170">
        <v>44824</v>
      </c>
      <c r="K873" s="236">
        <v>44820</v>
      </c>
      <c r="L873" s="176">
        <v>0.95833333333333337</v>
      </c>
      <c r="M873" s="176">
        <v>0.97916666666666663</v>
      </c>
    </row>
    <row r="874" spans="6:13" ht="30" customHeight="1">
      <c r="F874" s="62"/>
      <c r="G874" s="83">
        <v>865</v>
      </c>
      <c r="H874" s="195" t="s">
        <v>2935</v>
      </c>
      <c r="I874" s="182" t="str">
        <f>VLOOKUP(MP_cierre[[#This Row],[OT]],MP_registro[[#All],[OT]:[PROGRAMADO]],9,FALSE)</f>
        <v>G2</v>
      </c>
      <c r="J874" s="170">
        <v>44824</v>
      </c>
      <c r="K874" s="236">
        <v>44820</v>
      </c>
      <c r="L874" s="176">
        <v>0.91666666666666663</v>
      </c>
      <c r="M874" s="176">
        <v>0.9375</v>
      </c>
    </row>
    <row r="875" spans="6:13" ht="30" customHeight="1">
      <c r="F875" s="62"/>
      <c r="G875" s="83">
        <v>866</v>
      </c>
      <c r="H875" s="195" t="s">
        <v>2936</v>
      </c>
      <c r="I875" s="182" t="str">
        <f>VLOOKUP(MP_cierre[[#This Row],[OT]],MP_registro[[#All],[OT]:[PROGRAMADO]],9,FALSE)</f>
        <v>G1</v>
      </c>
      <c r="J875" s="170">
        <v>44824</v>
      </c>
      <c r="K875" s="236">
        <v>44824</v>
      </c>
      <c r="L875" s="176">
        <v>0.35069444444444442</v>
      </c>
      <c r="M875" s="176">
        <v>0.35416666666666669</v>
      </c>
    </row>
    <row r="876" spans="6:13" ht="30" customHeight="1">
      <c r="F876" s="62"/>
      <c r="G876" s="83">
        <v>867</v>
      </c>
      <c r="H876" s="195" t="s">
        <v>2937</v>
      </c>
      <c r="I876" s="182" t="str">
        <f>VLOOKUP(MP_cierre[[#This Row],[OT]],MP_registro[[#All],[OT]:[PROGRAMADO]],9,FALSE)</f>
        <v>G2</v>
      </c>
      <c r="J876" s="170">
        <v>44825</v>
      </c>
      <c r="K876" s="236">
        <v>44824</v>
      </c>
      <c r="L876" s="176">
        <v>0.91666666666666663</v>
      </c>
      <c r="M876" s="176">
        <v>0.9375</v>
      </c>
    </row>
    <row r="877" spans="6:13" ht="30" customHeight="1">
      <c r="F877" s="62"/>
      <c r="G877" s="83">
        <v>868</v>
      </c>
      <c r="H877" s="195" t="s">
        <v>2938</v>
      </c>
      <c r="I877" s="182" t="str">
        <f>VLOOKUP(MP_cierre[[#This Row],[OT]],MP_registro[[#All],[OT]:[PROGRAMADO]],9,FALSE)</f>
        <v>G2</v>
      </c>
      <c r="J877" s="170">
        <v>44825</v>
      </c>
      <c r="K877" s="236">
        <v>44825</v>
      </c>
      <c r="L877" s="176">
        <v>0.875</v>
      </c>
      <c r="M877" s="176">
        <v>0.91666666666666663</v>
      </c>
    </row>
    <row r="878" spans="6:13" ht="30" customHeight="1">
      <c r="F878" s="62"/>
      <c r="G878" s="83">
        <v>869</v>
      </c>
      <c r="H878" s="195" t="s">
        <v>2939</v>
      </c>
      <c r="I878" s="182" t="str">
        <f>VLOOKUP(MP_cierre[[#This Row],[OT]],MP_registro[[#All],[OT]:[PROGRAMADO]],9,FALSE)</f>
        <v>G2</v>
      </c>
      <c r="J878" s="170">
        <v>44825</v>
      </c>
      <c r="K878" s="236">
        <v>44824</v>
      </c>
      <c r="L878" s="176">
        <v>0.875</v>
      </c>
      <c r="M878" s="176">
        <v>0.91666666666666663</v>
      </c>
    </row>
    <row r="879" spans="6:13" ht="30" customHeight="1">
      <c r="F879" s="62"/>
      <c r="G879" s="83">
        <v>870</v>
      </c>
      <c r="H879" s="195" t="s">
        <v>2940</v>
      </c>
      <c r="I879" s="182" t="str">
        <f>VLOOKUP(MP_cierre[[#This Row],[OT]],MP_registro[[#All],[OT]:[PROGRAMADO]],9,FALSE)</f>
        <v>G2</v>
      </c>
      <c r="J879" s="170">
        <v>44825</v>
      </c>
      <c r="K879" s="236">
        <v>44822</v>
      </c>
      <c r="L879" s="176">
        <v>0.83333333333333337</v>
      </c>
      <c r="M879" s="176">
        <v>0.875</v>
      </c>
    </row>
    <row r="880" spans="6:13" ht="30" customHeight="1">
      <c r="F880" s="62"/>
      <c r="G880" s="83">
        <v>871</v>
      </c>
      <c r="H880" s="195" t="s">
        <v>2941</v>
      </c>
      <c r="I880" s="182" t="str">
        <f>VLOOKUP(MP_cierre[[#This Row],[OT]],MP_registro[[#All],[OT]:[PROGRAMADO]],9,FALSE)</f>
        <v>G2</v>
      </c>
      <c r="J880" s="170">
        <v>44825</v>
      </c>
      <c r="K880" s="236">
        <v>44824</v>
      </c>
      <c r="L880" s="176">
        <v>0.95833333333333337</v>
      </c>
      <c r="M880" s="176">
        <v>0.97916666666666663</v>
      </c>
    </row>
    <row r="881" spans="6:13" ht="30" customHeight="1">
      <c r="F881" s="62"/>
      <c r="G881" s="83">
        <v>872</v>
      </c>
      <c r="H881" s="195" t="s">
        <v>2943</v>
      </c>
      <c r="I881" s="182" t="str">
        <f>VLOOKUP(MP_cierre[[#This Row],[OT]],MP_registro[[#All],[OT]:[PROGRAMADO]],9,FALSE)</f>
        <v>G2</v>
      </c>
      <c r="J881" s="170">
        <v>44825</v>
      </c>
      <c r="K881" s="236">
        <v>44824</v>
      </c>
      <c r="L881" s="176">
        <v>0.97916666666666663</v>
      </c>
      <c r="M881" s="176">
        <v>1</v>
      </c>
    </row>
    <row r="882" spans="6:13" ht="30" customHeight="1">
      <c r="F882" s="62"/>
      <c r="G882" s="83">
        <v>873</v>
      </c>
      <c r="H882" s="195" t="s">
        <v>2944</v>
      </c>
      <c r="I882" s="182" t="str">
        <f>VLOOKUP(MP_cierre[[#This Row],[OT]],MP_registro[[#All],[OT]:[PROGRAMADO]],9,FALSE)</f>
        <v>G1</v>
      </c>
      <c r="J882" s="170">
        <v>44825</v>
      </c>
      <c r="K882" s="236">
        <v>44822</v>
      </c>
      <c r="L882" s="176">
        <v>0.41666666666666669</v>
      </c>
      <c r="M882" s="176">
        <v>0.44444444444444442</v>
      </c>
    </row>
    <row r="883" spans="6:13" ht="30" customHeight="1">
      <c r="F883" s="62"/>
      <c r="G883" s="83">
        <v>874</v>
      </c>
      <c r="H883" s="195" t="s">
        <v>2945</v>
      </c>
      <c r="I883" s="182" t="str">
        <f>VLOOKUP(MP_cierre[[#This Row],[OT]],MP_registro[[#All],[OT]:[PROGRAMADO]],9,FALSE)</f>
        <v>G2</v>
      </c>
      <c r="J883" s="170">
        <v>44825</v>
      </c>
      <c r="K883" s="236">
        <v>44820</v>
      </c>
      <c r="L883" s="176">
        <v>0.875</v>
      </c>
      <c r="M883" s="176">
        <v>0.89583333333333337</v>
      </c>
    </row>
    <row r="884" spans="6:13" ht="30" customHeight="1">
      <c r="F884" s="62"/>
      <c r="G884" s="83">
        <v>875</v>
      </c>
      <c r="H884" s="195" t="s">
        <v>2946</v>
      </c>
      <c r="I884" s="182" t="str">
        <f>VLOOKUP(MP_cierre[[#This Row],[OT]],MP_registro[[#All],[OT]:[PROGRAMADO]],9,FALSE)</f>
        <v>G1</v>
      </c>
      <c r="J884" s="170">
        <v>44825</v>
      </c>
      <c r="K884" s="236">
        <v>44824</v>
      </c>
      <c r="L884" s="176">
        <v>0.30555555555555552</v>
      </c>
      <c r="M884" s="176">
        <v>0.31944444444444448</v>
      </c>
    </row>
    <row r="885" spans="6:13" ht="30" customHeight="1">
      <c r="F885" s="62"/>
      <c r="G885" s="83">
        <v>876</v>
      </c>
      <c r="H885" s="195" t="s">
        <v>2947</v>
      </c>
      <c r="I885" s="182" t="str">
        <f>VLOOKUP(MP_cierre[[#This Row],[OT]],MP_registro[[#All],[OT]:[PROGRAMADO]],9,FALSE)</f>
        <v>G1</v>
      </c>
      <c r="J885" s="170">
        <v>44825</v>
      </c>
      <c r="K885" s="236">
        <v>44824</v>
      </c>
      <c r="L885" s="176">
        <v>0.35416666666666669</v>
      </c>
      <c r="M885" s="176">
        <v>0.3576388888888889</v>
      </c>
    </row>
    <row r="886" spans="6:13" ht="30" customHeight="1">
      <c r="F886" s="62"/>
      <c r="G886" s="83">
        <v>877</v>
      </c>
      <c r="H886" s="196" t="s">
        <v>2948</v>
      </c>
      <c r="I886" s="184" t="str">
        <f>VLOOKUP(MP_cierre[[#This Row],[OT]],MP_registro[[#All],[OT]:[PROGRAMADO]],9,FALSE)</f>
        <v>G1</v>
      </c>
      <c r="J886" s="171">
        <v>44825</v>
      </c>
      <c r="K886" s="237">
        <v>44824</v>
      </c>
      <c r="L886" s="177">
        <v>0.72222222222222221</v>
      </c>
      <c r="M886" s="177">
        <v>0.73611111111111116</v>
      </c>
    </row>
    <row r="887" spans="6:13" ht="30" customHeight="1">
      <c r="F887" s="62"/>
      <c r="G887" s="83">
        <v>878</v>
      </c>
      <c r="H887" s="195" t="s">
        <v>2949</v>
      </c>
      <c r="I887" s="182" t="str">
        <f>VLOOKUP(MP_cierre[[#This Row],[OT]],MP_registro[[#All],[OT]:[PROGRAMADO]],9,FALSE)</f>
        <v>G1</v>
      </c>
      <c r="J887" s="170">
        <v>44826</v>
      </c>
      <c r="K887" s="236">
        <v>44828</v>
      </c>
      <c r="L887" s="176">
        <v>6.25E-2</v>
      </c>
      <c r="M887" s="176">
        <v>7.9861111111111105E-2</v>
      </c>
    </row>
    <row r="888" spans="6:13" ht="30" customHeight="1">
      <c r="F888" s="62"/>
      <c r="G888" s="83">
        <v>879</v>
      </c>
      <c r="H888" s="195" t="s">
        <v>2950</v>
      </c>
      <c r="I888" s="182" t="str">
        <f>VLOOKUP(MP_cierre[[#This Row],[OT]],MP_registro[[#All],[OT]:[PROGRAMADO]],9,FALSE)</f>
        <v>G1</v>
      </c>
      <c r="J888" s="170">
        <v>44826</v>
      </c>
      <c r="K888" s="236">
        <v>44826</v>
      </c>
      <c r="L888" s="176">
        <v>0.93055555555555547</v>
      </c>
      <c r="M888" s="176">
        <v>0.94791666666666663</v>
      </c>
    </row>
    <row r="889" spans="6:13" ht="30" customHeight="1">
      <c r="F889" s="62"/>
      <c r="G889" s="83">
        <v>880</v>
      </c>
      <c r="H889" s="195" t="s">
        <v>2951</v>
      </c>
      <c r="I889" s="182" t="str">
        <f>VLOOKUP(MP_cierre[[#This Row],[OT]],MP_registro[[#All],[OT]:[PROGRAMADO]],9,FALSE)</f>
        <v>G3</v>
      </c>
      <c r="J889" s="170">
        <v>44826</v>
      </c>
      <c r="K889" s="236">
        <v>44828</v>
      </c>
      <c r="L889" s="176">
        <v>0.57291666666666663</v>
      </c>
      <c r="M889" s="176">
        <v>0.64583333333333337</v>
      </c>
    </row>
    <row r="890" spans="6:13" ht="30" customHeight="1">
      <c r="F890" s="62"/>
      <c r="G890" s="83">
        <v>881</v>
      </c>
      <c r="H890" s="195" t="s">
        <v>2952</v>
      </c>
      <c r="I890" s="182" t="str">
        <f>VLOOKUP(MP_cierre[[#This Row],[OT]],MP_registro[[#All],[OT]:[PROGRAMADO]],9,FALSE)</f>
        <v>G4</v>
      </c>
      <c r="J890" s="170">
        <v>44826</v>
      </c>
      <c r="K890" s="236">
        <v>44832</v>
      </c>
      <c r="L890" s="176">
        <v>0.46180555555555558</v>
      </c>
      <c r="M890" s="176">
        <v>0.47569444444444442</v>
      </c>
    </row>
    <row r="891" spans="6:13" ht="30" customHeight="1">
      <c r="F891" s="62"/>
      <c r="G891" s="83">
        <v>882</v>
      </c>
      <c r="H891" s="195" t="s">
        <v>2953</v>
      </c>
      <c r="I891" s="182" t="str">
        <f>VLOOKUP(MP_cierre[[#This Row],[OT]],MP_registro[[#All],[OT]:[PROGRAMADO]],9,FALSE)</f>
        <v>G3</v>
      </c>
      <c r="J891" s="170">
        <v>44826</v>
      </c>
      <c r="K891" s="236">
        <v>44827</v>
      </c>
      <c r="L891" s="176">
        <v>0.35416666666666669</v>
      </c>
      <c r="M891" s="176">
        <v>0.36458333333333331</v>
      </c>
    </row>
    <row r="892" spans="6:13" ht="30" customHeight="1">
      <c r="F892" s="62"/>
      <c r="G892" s="83">
        <v>883</v>
      </c>
      <c r="H892" s="195" t="s">
        <v>2954</v>
      </c>
      <c r="I892" s="182" t="str">
        <f>VLOOKUP(MP_cierre[[#This Row],[OT]],MP_registro[[#All],[OT]:[PROGRAMADO]],9,FALSE)</f>
        <v>G3</v>
      </c>
      <c r="J892" s="170">
        <v>44826</v>
      </c>
      <c r="K892" s="236">
        <v>44827</v>
      </c>
      <c r="L892" s="176">
        <v>0.39583333333333331</v>
      </c>
      <c r="M892" s="176">
        <v>0.4055555555555555</v>
      </c>
    </row>
    <row r="893" spans="6:13" ht="30" customHeight="1">
      <c r="F893" s="62"/>
      <c r="G893" s="83">
        <v>884</v>
      </c>
      <c r="H893" s="195" t="s">
        <v>2955</v>
      </c>
      <c r="I893" s="182" t="str">
        <f>VLOOKUP(MP_cierre[[#This Row],[OT]],MP_registro[[#All],[OT]:[PROGRAMADO]],9,FALSE)</f>
        <v>G1</v>
      </c>
      <c r="J893" s="170">
        <v>44827</v>
      </c>
      <c r="K893" s="236">
        <v>44826</v>
      </c>
      <c r="L893" s="176">
        <v>0.88888888888888884</v>
      </c>
      <c r="M893" s="176">
        <v>0.90625</v>
      </c>
    </row>
    <row r="894" spans="6:13" ht="30" customHeight="1">
      <c r="F894" s="62"/>
      <c r="G894" s="83">
        <v>885</v>
      </c>
      <c r="H894" s="195" t="s">
        <v>2956</v>
      </c>
      <c r="I894" s="182" t="str">
        <f>VLOOKUP(MP_cierre[[#This Row],[OT]],MP_registro[[#All],[OT]:[PROGRAMADO]],9,FALSE)</f>
        <v>G1</v>
      </c>
      <c r="J894" s="170">
        <v>44827</v>
      </c>
      <c r="K894" s="236">
        <v>44826</v>
      </c>
      <c r="L894" s="176">
        <v>0.90972222222222221</v>
      </c>
      <c r="M894" s="176">
        <v>0.92708333333333337</v>
      </c>
    </row>
    <row r="895" spans="6:13" ht="30" customHeight="1">
      <c r="F895" s="62"/>
      <c r="G895" s="83">
        <v>886</v>
      </c>
      <c r="H895" s="195" t="s">
        <v>2957</v>
      </c>
      <c r="I895" s="182" t="str">
        <f>VLOOKUP(MP_cierre[[#This Row],[OT]],MP_registro[[#All],[OT]:[PROGRAMADO]],9,FALSE)</f>
        <v>G3</v>
      </c>
      <c r="J895" s="170">
        <v>44827</v>
      </c>
      <c r="K895" s="236">
        <v>44828</v>
      </c>
      <c r="L895" s="176">
        <v>0.65833333333333333</v>
      </c>
      <c r="M895" s="176">
        <v>0.72222222222222221</v>
      </c>
    </row>
    <row r="896" spans="6:13" ht="30" customHeight="1">
      <c r="F896" s="62"/>
      <c r="G896" s="83">
        <v>887</v>
      </c>
      <c r="H896" s="195" t="s">
        <v>2958</v>
      </c>
      <c r="I896" s="182" t="str">
        <f>VLOOKUP(MP_cierre[[#This Row],[OT]],MP_registro[[#All],[OT]:[PROGRAMADO]],9,FALSE)</f>
        <v>G3</v>
      </c>
      <c r="J896" s="170">
        <v>44827</v>
      </c>
      <c r="K896" s="236">
        <v>44829</v>
      </c>
      <c r="L896" s="176">
        <v>0.58333333333333337</v>
      </c>
      <c r="M896" s="176">
        <v>0.67569444444444438</v>
      </c>
    </row>
    <row r="897" spans="6:13" ht="30" customHeight="1">
      <c r="F897" s="62"/>
      <c r="G897" s="83">
        <v>888</v>
      </c>
      <c r="H897" s="195" t="s">
        <v>2959</v>
      </c>
      <c r="I897" s="182" t="str">
        <f>VLOOKUP(MP_cierre[[#This Row],[OT]],MP_registro[[#All],[OT]:[PROGRAMADO]],9,FALSE)</f>
        <v>G1</v>
      </c>
      <c r="J897" s="170">
        <v>44827</v>
      </c>
      <c r="K897" s="236">
        <v>44829</v>
      </c>
      <c r="L897" s="176">
        <v>0.89583333333333337</v>
      </c>
      <c r="M897" s="176">
        <v>0.91319444444444453</v>
      </c>
    </row>
    <row r="898" spans="6:13" ht="30" customHeight="1">
      <c r="F898" s="62"/>
      <c r="G898" s="83">
        <v>889</v>
      </c>
      <c r="H898" s="195" t="s">
        <v>2960</v>
      </c>
      <c r="I898" s="182" t="str">
        <f>VLOOKUP(MP_cierre[[#This Row],[OT]],MP_registro[[#All],[OT]:[PROGRAMADO]],9,FALSE)</f>
        <v>G1</v>
      </c>
      <c r="J898" s="170">
        <v>44827</v>
      </c>
      <c r="K898" s="236">
        <v>44829</v>
      </c>
      <c r="L898" s="176">
        <v>0.88194444444444453</v>
      </c>
      <c r="M898" s="176">
        <v>0.89236111111111116</v>
      </c>
    </row>
    <row r="899" spans="6:13" ht="30" customHeight="1">
      <c r="F899" s="62"/>
      <c r="G899" s="83">
        <v>890</v>
      </c>
      <c r="H899" s="195" t="s">
        <v>2961</v>
      </c>
      <c r="I899" s="182" t="str">
        <f>VLOOKUP(MP_cierre[[#This Row],[OT]],MP_registro[[#All],[OT]:[PROGRAMADO]],9,FALSE)</f>
        <v>G1</v>
      </c>
      <c r="J899" s="170">
        <v>44827</v>
      </c>
      <c r="K899" s="236">
        <v>44829</v>
      </c>
      <c r="L899" s="176">
        <v>0.98263888888888884</v>
      </c>
      <c r="M899" s="176">
        <v>0.99652777777777779</v>
      </c>
    </row>
    <row r="900" spans="6:13" ht="30" customHeight="1">
      <c r="F900" s="62"/>
      <c r="G900" s="83">
        <v>891</v>
      </c>
      <c r="H900" s="195" t="s">
        <v>2962</v>
      </c>
      <c r="I900" s="182" t="str">
        <f>VLOOKUP(MP_cierre[[#This Row],[OT]],MP_registro[[#All],[OT]:[PROGRAMADO]],9,FALSE)</f>
        <v>G1</v>
      </c>
      <c r="J900" s="170">
        <v>44827</v>
      </c>
      <c r="K900" s="236">
        <v>44829</v>
      </c>
      <c r="L900" s="176">
        <v>0.91666666666666663</v>
      </c>
      <c r="M900" s="176">
        <v>0.97916666666666663</v>
      </c>
    </row>
    <row r="901" spans="6:13" ht="30" customHeight="1">
      <c r="F901" s="62"/>
      <c r="G901" s="83">
        <v>892</v>
      </c>
      <c r="H901" s="195" t="s">
        <v>2963</v>
      </c>
      <c r="I901" s="182" t="str">
        <f>VLOOKUP(MP_cierre[[#This Row],[OT]],MP_registro[[#All],[OT]:[PROGRAMADO]],9,FALSE)</f>
        <v>G3</v>
      </c>
      <c r="J901" s="170">
        <v>44827</v>
      </c>
      <c r="K901" s="236">
        <v>44827</v>
      </c>
      <c r="L901" s="176">
        <v>0.45833333333333331</v>
      </c>
      <c r="M901" s="176">
        <v>0.46875</v>
      </c>
    </row>
    <row r="902" spans="6:13" ht="30" customHeight="1">
      <c r="F902" s="62"/>
      <c r="G902" s="83">
        <v>893</v>
      </c>
      <c r="H902" s="195" t="s">
        <v>2964</v>
      </c>
      <c r="I902" s="182" t="str">
        <f>VLOOKUP(MP_cierre[[#This Row],[OT]],MP_registro[[#All],[OT]:[PROGRAMADO]],9,FALSE)</f>
        <v>G3</v>
      </c>
      <c r="J902" s="170">
        <v>44827</v>
      </c>
      <c r="K902" s="236">
        <v>44827</v>
      </c>
      <c r="L902" s="176">
        <v>0.38055555555555554</v>
      </c>
      <c r="M902" s="176">
        <v>0.39097222222222222</v>
      </c>
    </row>
    <row r="903" spans="6:13" ht="30" customHeight="1">
      <c r="F903" s="62"/>
      <c r="G903" s="83">
        <v>894</v>
      </c>
      <c r="H903" s="195" t="s">
        <v>2965</v>
      </c>
      <c r="I903" s="182" t="str">
        <f>VLOOKUP(MP_cierre[[#This Row],[OT]],MP_registro[[#All],[OT]:[PROGRAMADO]],9,FALSE)</f>
        <v>G3</v>
      </c>
      <c r="J903" s="170">
        <v>44827</v>
      </c>
      <c r="K903" s="236">
        <v>44827</v>
      </c>
      <c r="L903" s="176">
        <v>0.36805555555555558</v>
      </c>
      <c r="M903" s="176">
        <v>0.37708333333333338</v>
      </c>
    </row>
    <row r="904" spans="6:13" ht="30" customHeight="1">
      <c r="F904" s="62"/>
      <c r="G904" s="83">
        <v>895</v>
      </c>
      <c r="H904" s="195" t="s">
        <v>2966</v>
      </c>
      <c r="I904" s="182" t="str">
        <f>VLOOKUP(MP_cierre[[#This Row],[OT]],MP_registro[[#All],[OT]:[PROGRAMADO]],9,FALSE)</f>
        <v>G3</v>
      </c>
      <c r="J904" s="170">
        <v>44827</v>
      </c>
      <c r="K904" s="236">
        <v>44827</v>
      </c>
      <c r="L904" s="176">
        <v>0.40972222222222227</v>
      </c>
      <c r="M904" s="176">
        <v>0.4201388888888889</v>
      </c>
    </row>
    <row r="905" spans="6:13" ht="30" customHeight="1">
      <c r="F905" s="62"/>
      <c r="G905" s="83">
        <v>896</v>
      </c>
      <c r="H905" s="195" t="s">
        <v>2967</v>
      </c>
      <c r="I905" s="182" t="str">
        <f>VLOOKUP(MP_cierre[[#This Row],[OT]],MP_registro[[#All],[OT]:[PROGRAMADO]],9,FALSE)</f>
        <v>G1</v>
      </c>
      <c r="J905" s="170">
        <v>44828</v>
      </c>
      <c r="K905" s="236">
        <v>44828</v>
      </c>
      <c r="L905" s="176">
        <v>4.1666666666666664E-2</v>
      </c>
      <c r="M905" s="176">
        <v>6.25E-2</v>
      </c>
    </row>
    <row r="906" spans="6:13" ht="30" customHeight="1">
      <c r="F906" s="62"/>
      <c r="G906" s="83">
        <v>897</v>
      </c>
      <c r="H906" s="195" t="s">
        <v>2968</v>
      </c>
      <c r="I906" s="182" t="str">
        <f>VLOOKUP(MP_cierre[[#This Row],[OT]],MP_registro[[#All],[OT]:[PROGRAMADO]],9,FALSE)</f>
        <v>G3</v>
      </c>
      <c r="J906" s="170">
        <v>44828</v>
      </c>
      <c r="K906" s="236">
        <v>44828</v>
      </c>
      <c r="L906" s="176">
        <v>0.57291666666666663</v>
      </c>
      <c r="M906" s="176">
        <v>0.64583333333333337</v>
      </c>
    </row>
    <row r="907" spans="6:13" ht="30" customHeight="1">
      <c r="F907" s="62"/>
      <c r="G907" s="83">
        <v>898</v>
      </c>
      <c r="H907" s="195" t="s">
        <v>2969</v>
      </c>
      <c r="I907" s="182" t="str">
        <f>VLOOKUP(MP_cierre[[#This Row],[OT]],MP_registro[[#All],[OT]:[PROGRAMADO]],9,FALSE)</f>
        <v>G3</v>
      </c>
      <c r="J907" s="170">
        <v>44828</v>
      </c>
      <c r="K907" s="236">
        <v>44827</v>
      </c>
      <c r="L907" s="176">
        <v>0.42708333333333331</v>
      </c>
      <c r="M907" s="176">
        <v>0.43611111111111112</v>
      </c>
    </row>
    <row r="908" spans="6:13" ht="30" customHeight="1">
      <c r="F908" s="62"/>
      <c r="G908" s="83">
        <v>899</v>
      </c>
      <c r="H908" s="195" t="s">
        <v>2970</v>
      </c>
      <c r="I908" s="182" t="str">
        <f>VLOOKUP(MP_cierre[[#This Row],[OT]],MP_registro[[#All],[OT]:[PROGRAMADO]],9,FALSE)</f>
        <v>G1</v>
      </c>
      <c r="J908" s="170">
        <v>44828</v>
      </c>
      <c r="K908" s="236">
        <v>44829</v>
      </c>
      <c r="L908" s="176">
        <v>0.125</v>
      </c>
      <c r="M908" s="176">
        <v>0.1388888888888889</v>
      </c>
    </row>
    <row r="909" spans="6:13" ht="30" customHeight="1">
      <c r="F909" s="62"/>
      <c r="G909" s="83">
        <v>900</v>
      </c>
      <c r="H909" s="195" t="s">
        <v>2971</v>
      </c>
      <c r="I909" s="182" t="str">
        <f>VLOOKUP(MP_cierre[[#This Row],[OT]],MP_registro[[#All],[OT]:[PROGRAMADO]],9,FALSE)</f>
        <v>G3</v>
      </c>
      <c r="J909" s="170">
        <v>44828</v>
      </c>
      <c r="K909" s="236">
        <v>44827</v>
      </c>
      <c r="L909" s="176">
        <v>0.43958333333333338</v>
      </c>
      <c r="M909" s="176">
        <v>0.45555555555555555</v>
      </c>
    </row>
    <row r="910" spans="6:13" ht="30" customHeight="1">
      <c r="F910" s="62"/>
      <c r="G910" s="83">
        <v>901</v>
      </c>
      <c r="H910" s="195" t="s">
        <v>2972</v>
      </c>
      <c r="I910" s="182" t="str">
        <f>VLOOKUP(MP_cierre[[#This Row],[OT]],MP_registro[[#All],[OT]:[PROGRAMADO]],9,FALSE)</f>
        <v>G1</v>
      </c>
      <c r="J910" s="170">
        <v>44829</v>
      </c>
      <c r="K910" s="236">
        <v>44828</v>
      </c>
      <c r="L910" s="176">
        <v>0.91666666666666663</v>
      </c>
      <c r="M910" s="176">
        <v>0.95833333333333337</v>
      </c>
    </row>
    <row r="911" spans="6:13" ht="30" customHeight="1">
      <c r="F911" s="62"/>
      <c r="G911" s="83">
        <v>902</v>
      </c>
      <c r="H911" s="195" t="s">
        <v>2973</v>
      </c>
      <c r="I911" s="182" t="str">
        <f>VLOOKUP(MP_cierre[[#This Row],[OT]],MP_registro[[#All],[OT]:[PROGRAMADO]],9,FALSE)</f>
        <v>G1</v>
      </c>
      <c r="J911" s="170">
        <v>44829</v>
      </c>
      <c r="K911" s="236">
        <v>44828</v>
      </c>
      <c r="L911" s="176">
        <v>3.4722222222222224E-2</v>
      </c>
      <c r="M911" s="176">
        <v>5.5555555555555552E-2</v>
      </c>
    </row>
    <row r="912" spans="6:13" ht="30" customHeight="1">
      <c r="F912" s="62"/>
      <c r="G912" s="83">
        <v>903</v>
      </c>
      <c r="H912" s="196" t="s">
        <v>2974</v>
      </c>
      <c r="I912" s="184" t="str">
        <f>VLOOKUP(MP_cierre[[#This Row],[OT]],MP_registro[[#All],[OT]:[PROGRAMADO]],9,FALSE)</f>
        <v>G1</v>
      </c>
      <c r="J912" s="171">
        <v>44829</v>
      </c>
      <c r="K912" s="237">
        <v>44829</v>
      </c>
      <c r="L912" s="177">
        <v>0</v>
      </c>
      <c r="M912" s="177">
        <v>1.3888888888888888E-2</v>
      </c>
    </row>
    <row r="913" spans="6:13" ht="30" customHeight="1">
      <c r="F913" s="62"/>
      <c r="G913" s="83">
        <v>904</v>
      </c>
      <c r="H913" s="195" t="s">
        <v>2977</v>
      </c>
      <c r="I913" s="182" t="str">
        <f>VLOOKUP(MP_cierre[[#This Row],[OT]],MP_registro[[#All],[OT]:[PROGRAMADO]],9,FALSE)</f>
        <v>G3</v>
      </c>
      <c r="J913" s="170">
        <v>44830</v>
      </c>
      <c r="K913" s="236">
        <v>44829</v>
      </c>
      <c r="L913" s="176">
        <v>0.4375</v>
      </c>
      <c r="M913" s="176">
        <v>0.46388888888888885</v>
      </c>
    </row>
    <row r="914" spans="6:13" ht="30" customHeight="1">
      <c r="F914" s="62"/>
      <c r="G914" s="83">
        <v>905</v>
      </c>
      <c r="H914" s="195" t="s">
        <v>2978</v>
      </c>
      <c r="I914" s="182" t="str">
        <f>VLOOKUP(MP_cierre[[#This Row],[OT]],MP_registro[[#All],[OT]:[PROGRAMADO]],9,FALSE)</f>
        <v>G3</v>
      </c>
      <c r="J914" s="170">
        <v>44830</v>
      </c>
      <c r="K914" s="236">
        <v>44830</v>
      </c>
      <c r="L914" s="176">
        <v>0.40763888888888888</v>
      </c>
      <c r="M914" s="176">
        <v>0.42222222222222222</v>
      </c>
    </row>
    <row r="915" spans="6:13" ht="30" customHeight="1">
      <c r="F915" s="62"/>
      <c r="G915" s="83">
        <v>906</v>
      </c>
      <c r="H915" s="195" t="s">
        <v>2979</v>
      </c>
      <c r="I915" s="182" t="str">
        <f>VLOOKUP(MP_cierre[[#This Row],[OT]],MP_registro[[#All],[OT]:[PROGRAMADO]],9,FALSE)</f>
        <v>G1</v>
      </c>
      <c r="J915" s="170">
        <v>44830</v>
      </c>
      <c r="K915" s="236">
        <v>44831</v>
      </c>
      <c r="L915" s="176">
        <v>0.84722222222222221</v>
      </c>
      <c r="M915" s="176">
        <v>0.85416666666666663</v>
      </c>
    </row>
    <row r="916" spans="6:13" ht="30" customHeight="1">
      <c r="F916" s="62"/>
      <c r="G916" s="83">
        <v>907</v>
      </c>
      <c r="H916" s="195" t="s">
        <v>2980</v>
      </c>
      <c r="I916" s="182" t="str">
        <f>VLOOKUP(MP_cierre[[#This Row],[OT]],MP_registro[[#All],[OT]:[PROGRAMADO]],9,FALSE)</f>
        <v>G1</v>
      </c>
      <c r="J916" s="170">
        <v>44831</v>
      </c>
      <c r="K916" s="236">
        <v>44831</v>
      </c>
      <c r="L916" s="176">
        <v>4.1666666666666664E-2</v>
      </c>
      <c r="M916" s="176">
        <v>6.25E-2</v>
      </c>
    </row>
    <row r="917" spans="6:13" ht="30" customHeight="1">
      <c r="F917" s="62"/>
      <c r="G917" s="83">
        <v>908</v>
      </c>
      <c r="H917" s="195" t="s">
        <v>2981</v>
      </c>
      <c r="I917" s="182" t="str">
        <f>VLOOKUP(MP_cierre[[#This Row],[OT]],MP_registro[[#All],[OT]:[PROGRAMADO]],9,FALSE)</f>
        <v>G1</v>
      </c>
      <c r="J917" s="170">
        <v>44831</v>
      </c>
      <c r="K917" s="236">
        <v>44831</v>
      </c>
      <c r="L917" s="176">
        <v>6.25E-2</v>
      </c>
      <c r="M917" s="176">
        <v>8.3333333333333329E-2</v>
      </c>
    </row>
    <row r="918" spans="6:13" ht="30" customHeight="1">
      <c r="F918" s="62"/>
      <c r="G918" s="83">
        <v>909</v>
      </c>
      <c r="H918" s="195" t="s">
        <v>2982</v>
      </c>
      <c r="I918" s="182" t="str">
        <f>VLOOKUP(MP_cierre[[#This Row],[OT]],MP_registro[[#All],[OT]:[PROGRAMADO]],9,FALSE)</f>
        <v>G1</v>
      </c>
      <c r="J918" s="170">
        <v>44831</v>
      </c>
      <c r="K918" s="236">
        <v>44831</v>
      </c>
      <c r="L918" s="176">
        <v>0.80555555555555547</v>
      </c>
      <c r="M918" s="176">
        <v>0.81944444444444453</v>
      </c>
    </row>
    <row r="919" spans="6:13" ht="30" customHeight="1">
      <c r="F919" s="62"/>
      <c r="G919" s="83">
        <v>910</v>
      </c>
      <c r="H919" s="195" t="s">
        <v>2983</v>
      </c>
      <c r="I919" s="182" t="str">
        <f>VLOOKUP(MP_cierre[[#This Row],[OT]],MP_registro[[#All],[OT]:[PROGRAMADO]],9,FALSE)</f>
        <v>G1</v>
      </c>
      <c r="J919" s="170">
        <v>44831</v>
      </c>
      <c r="K919" s="236">
        <v>44830</v>
      </c>
      <c r="L919" s="176">
        <v>0.92361111111111116</v>
      </c>
      <c r="M919" s="176">
        <v>0.93055555555555547</v>
      </c>
    </row>
    <row r="920" spans="6:13" ht="30" customHeight="1">
      <c r="F920" s="62"/>
      <c r="G920" s="83">
        <v>911</v>
      </c>
      <c r="H920" s="195" t="s">
        <v>2984</v>
      </c>
      <c r="I920" s="182" t="str">
        <f>VLOOKUP(MP_cierre[[#This Row],[OT]],MP_registro[[#All],[OT]:[PROGRAMADO]],9,FALSE)</f>
        <v>G1</v>
      </c>
      <c r="J920" s="170">
        <v>44831</v>
      </c>
      <c r="K920" s="236">
        <v>44831</v>
      </c>
      <c r="L920" s="176">
        <v>0.79513888888888884</v>
      </c>
      <c r="M920" s="176">
        <v>0.80555555555555547</v>
      </c>
    </row>
    <row r="921" spans="6:13" ht="30" customHeight="1">
      <c r="F921" s="62"/>
      <c r="G921" s="83">
        <v>912</v>
      </c>
      <c r="H921" s="195" t="s">
        <v>2985</v>
      </c>
      <c r="I921" s="182" t="str">
        <f>VLOOKUP(MP_cierre[[#This Row],[OT]],MP_registro[[#All],[OT]:[PROGRAMADO]],9,FALSE)</f>
        <v>G1</v>
      </c>
      <c r="J921" s="170">
        <v>44831</v>
      </c>
      <c r="K921" s="236">
        <v>44831</v>
      </c>
      <c r="L921" s="176">
        <v>0.84027777777777779</v>
      </c>
      <c r="M921" s="176">
        <v>0.84722222222222221</v>
      </c>
    </row>
    <row r="922" spans="6:13" ht="30" customHeight="1">
      <c r="F922" s="62"/>
      <c r="G922" s="83">
        <v>913</v>
      </c>
      <c r="H922" s="195" t="s">
        <v>2986</v>
      </c>
      <c r="I922" s="182" t="str">
        <f>VLOOKUP(MP_cierre[[#This Row],[OT]],MP_registro[[#All],[OT]:[PROGRAMADO]],9,FALSE)</f>
        <v>G1</v>
      </c>
      <c r="J922" s="170">
        <v>44831</v>
      </c>
      <c r="K922" s="236">
        <v>44831</v>
      </c>
      <c r="L922" s="176">
        <v>0.89236111111111116</v>
      </c>
      <c r="M922" s="176">
        <v>0.90625</v>
      </c>
    </row>
    <row r="923" spans="6:13" ht="30" customHeight="1">
      <c r="F923" s="62"/>
      <c r="G923" s="83">
        <v>914</v>
      </c>
      <c r="H923" s="195" t="s">
        <v>2987</v>
      </c>
      <c r="I923" s="182" t="str">
        <f>VLOOKUP(MP_cierre[[#This Row],[OT]],MP_registro[[#All],[OT]:[PROGRAMADO]],9,FALSE)</f>
        <v>G3</v>
      </c>
      <c r="J923" s="170">
        <v>44831</v>
      </c>
      <c r="K923" s="236">
        <v>44831</v>
      </c>
      <c r="L923" s="176">
        <v>0.69444444444444453</v>
      </c>
      <c r="M923" s="176">
        <v>0.69791666666666663</v>
      </c>
    </row>
    <row r="924" spans="6:13" ht="30" customHeight="1">
      <c r="F924" s="62"/>
      <c r="G924" s="83">
        <v>915</v>
      </c>
      <c r="H924" s="195" t="s">
        <v>2988</v>
      </c>
      <c r="I924" s="182" t="str">
        <f>VLOOKUP(MP_cierre[[#This Row],[OT]],MP_registro[[#All],[OT]:[PROGRAMADO]],9,FALSE)</f>
        <v>G4</v>
      </c>
      <c r="J924" s="170">
        <v>44832</v>
      </c>
      <c r="K924" s="236">
        <v>44801</v>
      </c>
      <c r="L924" s="176">
        <v>0.63541666666666663</v>
      </c>
      <c r="M924" s="176">
        <v>0.66319444444444442</v>
      </c>
    </row>
    <row r="925" spans="6:13" ht="30" customHeight="1">
      <c r="F925" s="62"/>
      <c r="G925" s="83">
        <v>916</v>
      </c>
      <c r="H925" s="195" t="s">
        <v>2989</v>
      </c>
      <c r="I925" s="182" t="str">
        <f>VLOOKUP(MP_cierre[[#This Row],[OT]],MP_registro[[#All],[OT]:[PROGRAMADO]],9,FALSE)</f>
        <v>G4</v>
      </c>
      <c r="J925" s="170">
        <v>44832</v>
      </c>
      <c r="K925" s="236">
        <v>44801</v>
      </c>
      <c r="L925" s="176">
        <v>0.60416666666666663</v>
      </c>
      <c r="M925" s="176">
        <v>0.63194444444444442</v>
      </c>
    </row>
    <row r="926" spans="6:13" ht="30" customHeight="1">
      <c r="F926" s="62"/>
      <c r="G926" s="83">
        <v>917</v>
      </c>
      <c r="H926" s="195" t="s">
        <v>2990</v>
      </c>
      <c r="I926" s="182" t="str">
        <f>VLOOKUP(MP_cierre[[#This Row],[OT]],MP_registro[[#All],[OT]:[PROGRAMADO]],9,FALSE)</f>
        <v>G4</v>
      </c>
      <c r="J926" s="170">
        <v>44832</v>
      </c>
      <c r="K926" s="236">
        <v>44801</v>
      </c>
      <c r="L926" s="176">
        <v>0.66666666666666663</v>
      </c>
      <c r="M926" s="176">
        <v>0.69444444444444453</v>
      </c>
    </row>
    <row r="927" spans="6:13" ht="30" customHeight="1">
      <c r="F927" s="62"/>
      <c r="G927" s="83">
        <v>918</v>
      </c>
      <c r="H927" s="195" t="s">
        <v>2991</v>
      </c>
      <c r="I927" s="182" t="str">
        <f>VLOOKUP(MP_cierre[[#This Row],[OT]],MP_registro[[#All],[OT]:[PROGRAMADO]],9,FALSE)</f>
        <v>G1</v>
      </c>
      <c r="J927" s="170">
        <v>44832</v>
      </c>
      <c r="K927" s="236">
        <v>44831</v>
      </c>
      <c r="L927" s="176">
        <v>0.875</v>
      </c>
      <c r="M927" s="176">
        <v>0.88888888888888884</v>
      </c>
    </row>
    <row r="928" spans="6:13" ht="30" customHeight="1">
      <c r="F928" s="62"/>
      <c r="G928" s="83">
        <v>919</v>
      </c>
      <c r="H928" s="195" t="s">
        <v>2992</v>
      </c>
      <c r="I928" s="182" t="str">
        <f>VLOOKUP(MP_cierre[[#This Row],[OT]],MP_registro[[#All],[OT]:[PROGRAMADO]],9,FALSE)</f>
        <v>G3</v>
      </c>
      <c r="J928" s="170">
        <v>44832</v>
      </c>
      <c r="K928" s="236">
        <v>44829</v>
      </c>
      <c r="L928" s="176">
        <v>0.63958333333333328</v>
      </c>
      <c r="M928" s="176">
        <v>0.65416666666666667</v>
      </c>
    </row>
    <row r="929" spans="6:13" ht="30" customHeight="1">
      <c r="F929" s="62"/>
      <c r="G929" s="83">
        <v>920</v>
      </c>
      <c r="H929" s="195" t="s">
        <v>2993</v>
      </c>
      <c r="I929" s="182" t="str">
        <f>VLOOKUP(MP_cierre[[#This Row],[OT]],MP_registro[[#All],[OT]:[PROGRAMADO]],9,FALSE)</f>
        <v>G3</v>
      </c>
      <c r="J929" s="170">
        <v>44832</v>
      </c>
      <c r="K929" s="236">
        <v>44832</v>
      </c>
      <c r="L929" s="176">
        <v>0.73263888888888884</v>
      </c>
      <c r="M929" s="176">
        <v>0.73611111111111116</v>
      </c>
    </row>
    <row r="930" spans="6:13" ht="30" customHeight="1">
      <c r="F930" s="62"/>
      <c r="G930" s="83">
        <v>921</v>
      </c>
      <c r="H930" s="195" t="s">
        <v>2994</v>
      </c>
      <c r="I930" s="182" t="str">
        <f>VLOOKUP(MP_cierre[[#This Row],[OT]],MP_registro[[#All],[OT]:[PROGRAMADO]],9,FALSE)</f>
        <v>G3</v>
      </c>
      <c r="J930" s="170">
        <v>44832</v>
      </c>
      <c r="K930" s="236">
        <v>44832</v>
      </c>
      <c r="L930" s="176">
        <v>0.74305555555555547</v>
      </c>
      <c r="M930" s="176">
        <v>0.74652777777777779</v>
      </c>
    </row>
    <row r="931" spans="6:13" ht="30" customHeight="1">
      <c r="F931" s="62"/>
      <c r="G931" s="83">
        <v>922</v>
      </c>
      <c r="H931" s="195" t="s">
        <v>2995</v>
      </c>
      <c r="I931" s="182" t="str">
        <f>VLOOKUP(MP_cierre[[#This Row],[OT]],MP_registro[[#All],[OT]:[PROGRAMADO]],9,FALSE)</f>
        <v>G1</v>
      </c>
      <c r="J931" s="170">
        <v>44833</v>
      </c>
      <c r="K931" s="236">
        <v>44831</v>
      </c>
      <c r="L931" s="176">
        <v>8.3333333333333329E-2</v>
      </c>
      <c r="M931" s="176">
        <v>0.10416666666666667</v>
      </c>
    </row>
    <row r="932" spans="6:13" ht="30" customHeight="1">
      <c r="F932" s="62"/>
      <c r="G932" s="83">
        <v>923</v>
      </c>
      <c r="H932" s="195" t="s">
        <v>2996</v>
      </c>
      <c r="I932" s="182" t="str">
        <f>VLOOKUP(MP_cierre[[#This Row],[OT]],MP_registro[[#All],[OT]:[PROGRAMADO]],9,FALSE)</f>
        <v>G3</v>
      </c>
      <c r="J932" s="170">
        <v>44833</v>
      </c>
      <c r="K932" s="236">
        <v>44833</v>
      </c>
      <c r="L932" s="176">
        <v>0.66805555555555562</v>
      </c>
      <c r="M932" s="176">
        <v>0.6791666666666667</v>
      </c>
    </row>
    <row r="933" spans="6:13" ht="30" customHeight="1">
      <c r="F933" s="62"/>
      <c r="G933" s="83">
        <v>924</v>
      </c>
      <c r="H933" s="195" t="s">
        <v>2997</v>
      </c>
      <c r="I933" s="182" t="str">
        <f>VLOOKUP(MP_cierre[[#This Row],[OT]],MP_registro[[#All],[OT]:[PROGRAMADO]],9,FALSE)</f>
        <v>G3</v>
      </c>
      <c r="J933" s="170">
        <v>44833</v>
      </c>
      <c r="K933" s="236">
        <v>44831</v>
      </c>
      <c r="L933" s="176">
        <v>0.63194444444444442</v>
      </c>
      <c r="M933" s="176">
        <v>0.64166666666666672</v>
      </c>
    </row>
    <row r="934" spans="6:13" ht="30" customHeight="1">
      <c r="F934" s="62"/>
      <c r="G934" s="83">
        <v>925</v>
      </c>
      <c r="H934" s="195" t="s">
        <v>2998</v>
      </c>
      <c r="I934" s="182" t="str">
        <f>VLOOKUP(MP_cierre[[#This Row],[OT]],MP_registro[[#All],[OT]:[PROGRAMADO]],9,FALSE)</f>
        <v>G1</v>
      </c>
      <c r="J934" s="170">
        <v>44834</v>
      </c>
      <c r="K934" s="236">
        <v>44831</v>
      </c>
      <c r="L934" s="176">
        <v>0.82291666666666663</v>
      </c>
      <c r="M934" s="176">
        <v>0.83333333333333337</v>
      </c>
    </row>
    <row r="935" spans="6:13" ht="30" customHeight="1">
      <c r="F935" s="62"/>
      <c r="G935" s="83">
        <v>926</v>
      </c>
      <c r="H935" s="195" t="s">
        <v>2999</v>
      </c>
      <c r="I935" s="182" t="str">
        <f>VLOOKUP(MP_cierre[[#This Row],[OT]],MP_registro[[#All],[OT]:[PROGRAMADO]],9,FALSE)</f>
        <v>G1</v>
      </c>
      <c r="J935" s="170">
        <v>44834</v>
      </c>
      <c r="K935" s="236">
        <v>44830</v>
      </c>
      <c r="L935" s="176">
        <v>0.90972222222222221</v>
      </c>
      <c r="M935" s="176">
        <v>0.92013888888888884</v>
      </c>
    </row>
    <row r="936" spans="6:13" ht="30" customHeight="1">
      <c r="F936" s="62"/>
      <c r="G936" s="83">
        <v>927</v>
      </c>
      <c r="H936" s="195" t="s">
        <v>3000</v>
      </c>
      <c r="I936" s="182" t="str">
        <f>VLOOKUP(MP_cierre[[#This Row],[OT]],MP_registro[[#All],[OT]:[PROGRAMADO]],9,FALSE)</f>
        <v>G3</v>
      </c>
      <c r="J936" s="170">
        <v>44834</v>
      </c>
      <c r="K936" s="236">
        <v>44832</v>
      </c>
      <c r="L936" s="176">
        <v>0.46180555555555558</v>
      </c>
      <c r="M936" s="176">
        <v>0.47291666666666665</v>
      </c>
    </row>
    <row r="937" spans="6:13" ht="30" customHeight="1">
      <c r="F937" s="62"/>
      <c r="G937" s="83">
        <v>928</v>
      </c>
      <c r="H937" s="195" t="s">
        <v>3001</v>
      </c>
      <c r="I937" s="182" t="str">
        <f>VLOOKUP(MP_cierre[[#This Row],[OT]],MP_registro[[#All],[OT]:[PROGRAMADO]],9,FALSE)</f>
        <v>G1</v>
      </c>
      <c r="J937" s="170">
        <v>44834</v>
      </c>
      <c r="K937" s="236">
        <v>44830</v>
      </c>
      <c r="L937" s="176">
        <v>0.89583333333333337</v>
      </c>
      <c r="M937" s="176">
        <v>0.90625</v>
      </c>
    </row>
    <row r="938" spans="6:13" ht="30" customHeight="1">
      <c r="F938" s="62"/>
      <c r="G938" s="83">
        <v>929</v>
      </c>
      <c r="H938" s="195" t="s">
        <v>3002</v>
      </c>
      <c r="I938" s="182" t="str">
        <f>VLOOKUP(MP_cierre[[#This Row],[OT]],MP_registro[[#All],[OT]:[PROGRAMADO]],9,FALSE)</f>
        <v>G3</v>
      </c>
      <c r="J938" s="170">
        <v>44834</v>
      </c>
      <c r="K938" s="236">
        <v>44831</v>
      </c>
      <c r="L938" s="176">
        <v>0.59791666666666665</v>
      </c>
      <c r="M938" s="176">
        <v>0.60625000000000007</v>
      </c>
    </row>
    <row r="939" spans="6:13" ht="30" customHeight="1">
      <c r="F939" s="62"/>
      <c r="G939" s="83">
        <v>930</v>
      </c>
      <c r="H939" s="195" t="s">
        <v>3003</v>
      </c>
      <c r="I939" s="182" t="str">
        <f>VLOOKUP(MP_cierre[[#This Row],[OT]],MP_registro[[#All],[OT]:[PROGRAMADO]],9,FALSE)</f>
        <v>G3</v>
      </c>
      <c r="J939" s="170">
        <v>44834</v>
      </c>
      <c r="K939" s="236">
        <v>44832</v>
      </c>
      <c r="L939" s="176">
        <v>0.42708333333333331</v>
      </c>
      <c r="M939" s="176">
        <v>0.43333333333333335</v>
      </c>
    </row>
    <row r="940" spans="6:13" ht="30" customHeight="1">
      <c r="F940" s="62"/>
      <c r="G940" s="83">
        <v>931</v>
      </c>
      <c r="H940" s="195" t="s">
        <v>3004</v>
      </c>
      <c r="I940" s="182" t="str">
        <f>VLOOKUP(MP_cierre[[#This Row],[OT]],MP_registro[[#All],[OT]:[PROGRAMADO]],9,FALSE)</f>
        <v>G3</v>
      </c>
      <c r="J940" s="170">
        <v>44834</v>
      </c>
      <c r="K940" s="236">
        <v>44832</v>
      </c>
      <c r="L940" s="176">
        <v>0.44097222222222227</v>
      </c>
      <c r="M940" s="176">
        <v>0.4513888888888889</v>
      </c>
    </row>
    <row r="941" spans="6:13" ht="30" customHeight="1">
      <c r="F941" s="62"/>
      <c r="G941" s="83">
        <v>932</v>
      </c>
      <c r="H941" s="196" t="s">
        <v>3005</v>
      </c>
      <c r="I941" s="184" t="str">
        <f>VLOOKUP(MP_cierre[[#This Row],[OT]],MP_registro[[#All],[OT]:[PROGRAMADO]],9,FALSE)</f>
        <v>G3</v>
      </c>
      <c r="J941" s="171">
        <v>44834</v>
      </c>
      <c r="K941" s="237">
        <v>44833</v>
      </c>
      <c r="L941" s="177">
        <v>0.68194444444444446</v>
      </c>
      <c r="M941" s="177">
        <v>0.69166666666666676</v>
      </c>
    </row>
    <row r="942" spans="6:13" ht="30" customHeight="1">
      <c r="F942" s="62"/>
      <c r="G942" s="62"/>
      <c r="H942" s="62"/>
      <c r="I942" s="62"/>
      <c r="J942" s="62"/>
    </row>
    <row r="943" spans="6:13" ht="30" customHeight="1">
      <c r="F943" s="62"/>
      <c r="G943" s="62"/>
      <c r="H943" s="62"/>
      <c r="I943" s="62"/>
      <c r="J943" s="62"/>
    </row>
    <row r="944" spans="6:13" ht="30" customHeight="1">
      <c r="F944" s="62"/>
      <c r="G944" s="62"/>
      <c r="H944" s="62"/>
      <c r="I944" s="62"/>
      <c r="J944" s="62"/>
    </row>
    <row r="945" spans="6:10" ht="30" customHeight="1">
      <c r="F945" s="62"/>
      <c r="G945" s="62"/>
      <c r="H945" s="62"/>
      <c r="I945" s="62"/>
      <c r="J945" s="62"/>
    </row>
    <row r="946" spans="6:10" ht="30" customHeight="1">
      <c r="F946" s="62"/>
      <c r="G946" s="62"/>
      <c r="H946" s="62"/>
      <c r="I946" s="62"/>
      <c r="J946" s="62"/>
    </row>
    <row r="947" spans="6:10" ht="30" customHeight="1">
      <c r="F947" s="62"/>
      <c r="G947" s="62"/>
      <c r="H947" s="62"/>
      <c r="I947" s="62"/>
      <c r="J947" s="62"/>
    </row>
    <row r="948" spans="6:10" ht="30" customHeight="1">
      <c r="F948" s="62"/>
      <c r="G948" s="62"/>
      <c r="H948" s="62"/>
      <c r="I948" s="62"/>
      <c r="J948" s="62"/>
    </row>
    <row r="949" spans="6:10" ht="30" customHeight="1">
      <c r="F949" s="62"/>
      <c r="G949" s="62"/>
      <c r="H949" s="62"/>
      <c r="I949" s="62"/>
      <c r="J949" s="62"/>
    </row>
    <row r="950" spans="6:10" ht="30" customHeight="1">
      <c r="F950" s="62"/>
      <c r="G950" s="62"/>
      <c r="H950" s="62"/>
      <c r="I950" s="62"/>
      <c r="J950" s="62"/>
    </row>
    <row r="951" spans="6:10" ht="30" customHeight="1">
      <c r="F951" s="62"/>
      <c r="G951" s="62"/>
      <c r="H951" s="62"/>
      <c r="I951" s="62"/>
      <c r="J951" s="62"/>
    </row>
    <row r="952" spans="6:10" ht="30" customHeight="1">
      <c r="F952" s="62"/>
      <c r="G952" s="62"/>
      <c r="H952" s="62"/>
      <c r="I952" s="62"/>
      <c r="J952" s="62"/>
    </row>
    <row r="953" spans="6:10" ht="30" customHeight="1">
      <c r="F953" s="62"/>
      <c r="G953" s="62"/>
      <c r="H953" s="62"/>
      <c r="I953" s="62"/>
      <c r="J953" s="62"/>
    </row>
    <row r="954" spans="6:10" ht="30" customHeight="1">
      <c r="F954" s="62"/>
      <c r="G954" s="62"/>
      <c r="H954" s="62"/>
      <c r="I954" s="62"/>
      <c r="J954" s="62"/>
    </row>
    <row r="955" spans="6:10" ht="30" customHeight="1">
      <c r="F955" s="62"/>
      <c r="G955" s="62"/>
      <c r="H955" s="62"/>
      <c r="I955" s="62"/>
      <c r="J955" s="62"/>
    </row>
    <row r="956" spans="6:10" ht="30" customHeight="1">
      <c r="F956" s="62"/>
      <c r="G956" s="62"/>
      <c r="H956" s="62"/>
      <c r="I956" s="62"/>
      <c r="J956" s="62"/>
    </row>
    <row r="957" spans="6:10" ht="30" customHeight="1">
      <c r="F957" s="62"/>
      <c r="G957" s="62"/>
      <c r="H957" s="62"/>
      <c r="I957" s="62"/>
      <c r="J957" s="62"/>
    </row>
    <row r="958" spans="6:10" ht="30" customHeight="1">
      <c r="F958" s="62"/>
      <c r="G958" s="62"/>
      <c r="H958" s="62"/>
      <c r="I958" s="62"/>
      <c r="J958" s="62"/>
    </row>
    <row r="959" spans="6:10" ht="30" customHeight="1">
      <c r="F959" s="62"/>
      <c r="G959" s="62"/>
      <c r="H959" s="62"/>
      <c r="I959" s="62"/>
      <c r="J959" s="62"/>
    </row>
    <row r="960" spans="6:10" ht="30" customHeight="1">
      <c r="F960" s="62"/>
      <c r="G960" s="62"/>
      <c r="H960" s="62"/>
      <c r="I960" s="62"/>
      <c r="J960" s="62"/>
    </row>
    <row r="961" spans="6:10" ht="30" customHeight="1">
      <c r="F961" s="62"/>
      <c r="G961" s="62"/>
      <c r="H961" s="62"/>
      <c r="I961" s="62"/>
      <c r="J961" s="62"/>
    </row>
    <row r="962" spans="6:10" ht="30" customHeight="1">
      <c r="F962" s="62"/>
      <c r="G962" s="62"/>
      <c r="H962" s="62"/>
      <c r="I962" s="62"/>
      <c r="J962" s="62"/>
    </row>
    <row r="963" spans="6:10" ht="30" customHeight="1">
      <c r="F963" s="62"/>
      <c r="G963" s="62"/>
      <c r="H963" s="62"/>
      <c r="I963" s="62"/>
      <c r="J963" s="62"/>
    </row>
    <row r="964" spans="6:10" ht="30" customHeight="1">
      <c r="F964" s="62"/>
      <c r="G964" s="62"/>
      <c r="H964" s="62"/>
      <c r="I964" s="62"/>
      <c r="J964" s="62"/>
    </row>
    <row r="965" spans="6:10" ht="30" customHeight="1">
      <c r="F965" s="62"/>
      <c r="G965" s="62"/>
      <c r="H965" s="62"/>
      <c r="I965" s="62"/>
      <c r="J965" s="62"/>
    </row>
    <row r="966" spans="6:10" ht="30" customHeight="1">
      <c r="F966" s="62"/>
      <c r="G966" s="62"/>
      <c r="H966" s="62"/>
      <c r="I966" s="62"/>
      <c r="J966" s="62"/>
    </row>
    <row r="967" spans="6:10" ht="30" customHeight="1">
      <c r="F967" s="62"/>
      <c r="G967" s="62"/>
      <c r="H967" s="62"/>
      <c r="I967" s="62"/>
      <c r="J967" s="62"/>
    </row>
    <row r="968" spans="6:10" ht="30" customHeight="1">
      <c r="F968" s="62"/>
      <c r="G968" s="62"/>
      <c r="H968" s="62"/>
      <c r="I968" s="62"/>
      <c r="J968" s="62"/>
    </row>
    <row r="969" spans="6:10" ht="30" customHeight="1">
      <c r="F969" s="62"/>
      <c r="G969" s="62"/>
      <c r="H969" s="62"/>
      <c r="I969" s="62"/>
      <c r="J969" s="62"/>
    </row>
    <row r="970" spans="6:10" ht="30" customHeight="1">
      <c r="F970" s="62"/>
      <c r="G970" s="62"/>
      <c r="H970" s="62"/>
      <c r="I970" s="62"/>
      <c r="J970" s="62"/>
    </row>
    <row r="971" spans="6:10" ht="30" customHeight="1">
      <c r="F971" s="62"/>
      <c r="G971" s="62"/>
      <c r="H971" s="62"/>
      <c r="I971" s="62"/>
      <c r="J971" s="62"/>
    </row>
    <row r="972" spans="6:10" ht="30" customHeight="1">
      <c r="F972" s="62"/>
      <c r="G972" s="62"/>
      <c r="H972" s="62"/>
      <c r="I972" s="62"/>
      <c r="J972" s="62"/>
    </row>
    <row r="973" spans="6:10" ht="30" customHeight="1">
      <c r="F973" s="62"/>
      <c r="G973" s="62"/>
      <c r="H973" s="62"/>
      <c r="I973" s="62"/>
      <c r="J973" s="62"/>
    </row>
    <row r="974" spans="6:10" ht="30" customHeight="1">
      <c r="F974" s="62"/>
      <c r="G974" s="62"/>
      <c r="H974" s="62"/>
      <c r="I974" s="62"/>
      <c r="J974" s="62"/>
    </row>
    <row r="975" spans="6:10" ht="30" customHeight="1">
      <c r="F975" s="62"/>
      <c r="G975" s="62"/>
      <c r="H975" s="62"/>
      <c r="I975" s="62"/>
      <c r="J975" s="62"/>
    </row>
    <row r="976" spans="6:10" ht="30" customHeight="1">
      <c r="F976" s="62"/>
      <c r="G976" s="62"/>
      <c r="H976" s="62"/>
      <c r="I976" s="62"/>
      <c r="J976" s="62"/>
    </row>
    <row r="977" spans="6:10" ht="30" customHeight="1">
      <c r="F977" s="62"/>
      <c r="G977" s="62"/>
      <c r="H977" s="62"/>
      <c r="I977" s="62"/>
      <c r="J977" s="62"/>
    </row>
    <row r="978" spans="6:10" ht="30" customHeight="1">
      <c r="F978" s="62"/>
      <c r="G978" s="62"/>
      <c r="H978" s="62"/>
      <c r="I978" s="62"/>
      <c r="J978" s="62"/>
    </row>
    <row r="979" spans="6:10" ht="30" customHeight="1">
      <c r="F979" s="62"/>
      <c r="G979" s="62"/>
      <c r="H979" s="62"/>
      <c r="I979" s="62"/>
      <c r="J979" s="62"/>
    </row>
    <row r="980" spans="6:10" ht="30" customHeight="1">
      <c r="F980" s="62"/>
      <c r="G980" s="62"/>
      <c r="H980" s="62"/>
      <c r="I980" s="62"/>
      <c r="J980" s="62"/>
    </row>
    <row r="981" spans="6:10" ht="30" customHeight="1">
      <c r="F981" s="62"/>
      <c r="G981" s="62"/>
      <c r="H981" s="62"/>
      <c r="I981" s="62"/>
      <c r="J981" s="62"/>
    </row>
    <row r="982" spans="6:10" ht="30" customHeight="1">
      <c r="F982" s="62"/>
      <c r="G982" s="62"/>
      <c r="H982" s="62"/>
      <c r="I982" s="62"/>
      <c r="J982" s="62"/>
    </row>
    <row r="983" spans="6:10" ht="30" customHeight="1">
      <c r="F983" s="62"/>
      <c r="G983" s="62"/>
      <c r="H983" s="62"/>
      <c r="I983" s="62"/>
      <c r="J983" s="62"/>
    </row>
    <row r="984" spans="6:10" ht="30" customHeight="1">
      <c r="F984" s="62"/>
      <c r="G984" s="62"/>
      <c r="H984" s="62"/>
      <c r="I984" s="62"/>
      <c r="J984" s="62"/>
    </row>
    <row r="985" spans="6:10" ht="30" customHeight="1">
      <c r="F985" s="62"/>
      <c r="G985" s="62"/>
      <c r="H985" s="62"/>
      <c r="I985" s="62"/>
      <c r="J985" s="62"/>
    </row>
    <row r="986" spans="6:10" ht="30" customHeight="1">
      <c r="F986" s="62"/>
      <c r="G986" s="62"/>
      <c r="H986" s="62"/>
      <c r="I986" s="62"/>
      <c r="J986" s="62"/>
    </row>
    <row r="987" spans="6:10" ht="30" customHeight="1">
      <c r="F987" s="62"/>
      <c r="G987" s="62"/>
      <c r="H987" s="62"/>
      <c r="I987" s="62"/>
      <c r="J987" s="62"/>
    </row>
    <row r="988" spans="6:10" ht="30" customHeight="1">
      <c r="F988" s="62"/>
      <c r="G988" s="62"/>
      <c r="H988" s="62"/>
      <c r="I988" s="62"/>
      <c r="J988" s="62"/>
    </row>
    <row r="989" spans="6:10" ht="30" customHeight="1">
      <c r="F989" s="62"/>
      <c r="G989" s="62"/>
      <c r="H989" s="62"/>
      <c r="I989" s="62"/>
      <c r="J989" s="62"/>
    </row>
    <row r="990" spans="6:10" ht="30" customHeight="1">
      <c r="F990" s="62"/>
      <c r="G990" s="62"/>
      <c r="H990" s="62"/>
      <c r="I990" s="62"/>
      <c r="J990" s="62"/>
    </row>
    <row r="991" spans="6:10" ht="30" customHeight="1">
      <c r="F991" s="62"/>
      <c r="G991" s="62"/>
      <c r="H991" s="62"/>
      <c r="I991" s="62"/>
      <c r="J991" s="62"/>
    </row>
    <row r="992" spans="6:10" ht="30" customHeight="1">
      <c r="F992" s="62"/>
      <c r="G992" s="62"/>
      <c r="H992" s="62"/>
      <c r="I992" s="62"/>
      <c r="J992" s="62"/>
    </row>
    <row r="993" spans="6:10" ht="30" customHeight="1">
      <c r="F993" s="62"/>
      <c r="G993" s="62"/>
      <c r="H993" s="62"/>
      <c r="I993" s="62"/>
      <c r="J993" s="62"/>
    </row>
    <row r="994" spans="6:10" ht="30" customHeight="1">
      <c r="F994" s="62"/>
      <c r="G994" s="62"/>
      <c r="H994" s="62"/>
      <c r="I994" s="62"/>
      <c r="J994" s="62"/>
    </row>
    <row r="995" spans="6:10" ht="30" customHeight="1">
      <c r="F995" s="62"/>
      <c r="G995" s="62"/>
      <c r="H995" s="62"/>
      <c r="I995" s="62"/>
      <c r="J995" s="62"/>
    </row>
    <row r="996" spans="6:10" ht="30" customHeight="1">
      <c r="F996" s="62"/>
      <c r="G996" s="62"/>
      <c r="H996" s="62"/>
      <c r="I996" s="62"/>
      <c r="J996" s="62"/>
    </row>
    <row r="997" spans="6:10" ht="30" customHeight="1">
      <c r="F997" s="62"/>
      <c r="G997" s="62"/>
      <c r="H997" s="62"/>
      <c r="I997" s="62"/>
      <c r="J997" s="62"/>
    </row>
    <row r="998" spans="6:10" ht="30" customHeight="1"/>
    <row r="999" spans="6:10" ht="30" customHeight="1"/>
    <row r="1000" spans="6:10" ht="30" customHeight="1"/>
    <row r="1001" spans="6:10" ht="30" customHeight="1"/>
    <row r="1002" spans="6:10" ht="30" customHeight="1"/>
    <row r="1003" spans="6:10" ht="30" customHeight="1"/>
    <row r="1004" spans="6:10" ht="30" customHeight="1"/>
    <row r="1005" spans="6:10" ht="30" customHeight="1"/>
    <row r="1006" spans="6:10" ht="30" customHeight="1"/>
    <row r="1007" spans="6:10" ht="30" customHeight="1"/>
    <row r="1008" spans="6:10" ht="30" customHeight="1"/>
    <row r="1009" ht="30" customHeight="1"/>
    <row r="1010" ht="30" customHeight="1"/>
    <row r="1011" ht="30" customHeight="1"/>
    <row r="1012" ht="30" customHeight="1"/>
    <row r="1013" ht="30" customHeight="1"/>
    <row r="1014" ht="30" customHeight="1"/>
    <row r="1015" ht="30" customHeight="1"/>
    <row r="1016" ht="30" customHeight="1"/>
    <row r="1017" ht="30" customHeight="1"/>
    <row r="1018" ht="30" customHeight="1"/>
    <row r="1019" ht="30" customHeight="1"/>
    <row r="1020" ht="30" customHeight="1"/>
    <row r="1021" ht="30" customHeight="1"/>
    <row r="1022" ht="30" customHeight="1"/>
    <row r="1023" ht="30" customHeight="1"/>
    <row r="1024" ht="30" customHeight="1"/>
    <row r="1025" ht="30" customHeight="1"/>
    <row r="1026" ht="30" customHeight="1"/>
    <row r="1027" ht="30" customHeight="1"/>
    <row r="1028" ht="30" customHeight="1"/>
    <row r="1029" ht="30" customHeight="1"/>
    <row r="1030" ht="30" customHeight="1"/>
    <row r="1031" ht="30" customHeight="1"/>
    <row r="1032" ht="30" customHeight="1"/>
    <row r="1033" ht="30" customHeight="1"/>
    <row r="1034" ht="30" customHeight="1"/>
    <row r="1035" ht="30" customHeight="1"/>
    <row r="1036" ht="30" customHeight="1"/>
    <row r="1037" ht="30" customHeight="1"/>
    <row r="1038" ht="30" customHeight="1"/>
    <row r="1039" ht="30" customHeight="1"/>
    <row r="1040" ht="30" customHeight="1"/>
    <row r="1041" ht="30" customHeight="1"/>
    <row r="1042" ht="30" customHeight="1"/>
    <row r="1043" ht="30" customHeight="1"/>
    <row r="1044" ht="30" customHeight="1"/>
    <row r="1045" ht="30" customHeight="1"/>
    <row r="1046" ht="30" customHeight="1"/>
    <row r="1047" ht="30" customHeight="1"/>
    <row r="1048" ht="30" customHeight="1"/>
    <row r="1049" ht="30" customHeight="1"/>
    <row r="1050" ht="30" customHeight="1"/>
    <row r="1051" ht="30" customHeight="1"/>
    <row r="1052" ht="30" customHeight="1"/>
    <row r="1053" ht="30" customHeight="1"/>
    <row r="1054" ht="30" customHeight="1"/>
    <row r="1055" ht="30" customHeight="1"/>
    <row r="1056" ht="30" customHeight="1"/>
    <row r="1057" ht="30" customHeight="1"/>
    <row r="1058" ht="30" customHeight="1"/>
    <row r="1059" ht="30" customHeight="1"/>
    <row r="1060" ht="30" customHeight="1"/>
    <row r="1061" ht="30" customHeight="1"/>
    <row r="1062" ht="30" customHeight="1"/>
    <row r="1063" ht="30" customHeight="1"/>
    <row r="1064" ht="30" customHeight="1"/>
    <row r="1065" ht="30" customHeight="1"/>
    <row r="1066" ht="30" customHeight="1"/>
    <row r="1067" ht="30" customHeight="1"/>
  </sheetData>
  <sheetProtection formatCells="0" formatColumns="0" formatRows="0" insertColumns="0" insertRows="0" insertHyperlinks="0" deleteColumns="0" deleteRows="0" sort="0" autoFilter="0" pivotTables="0"/>
  <mergeCells count="5">
    <mergeCell ref="O2:Q2"/>
    <mergeCell ref="O3:Q3"/>
    <mergeCell ref="O4:Q4"/>
    <mergeCell ref="O5:Q5"/>
    <mergeCell ref="O6:Q6"/>
  </mergeCells>
  <phoneticPr fontId="30" type="noConversion"/>
  <conditionalFormatting sqref="K67">
    <cfRule type="duplicateValues" dxfId="1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100-000000000000}">
          <x14:formula1>
            <xm:f>LISTAS!$D$5:$D$9</xm:f>
          </x14:formula1>
          <xm:sqref>T161:T163 T104:T159</xm:sqref>
        </x14:dataValidation>
        <x14:dataValidation type="list" allowBlank="1" showInputMessage="1" showErrorMessage="1" xr:uid="{00000000-0002-0000-0100-000001000000}">
          <x14:formula1>
            <xm:f>LISTAS!#REF!</xm:f>
          </x14:formula1>
          <xm:sqref>Q161:Q163 Q104:Q159 Y161:Y163 Y104:Y159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6"/>
  <dimension ref="B1:X1097"/>
  <sheetViews>
    <sheetView showGridLines="0" zoomScale="50" zoomScaleNormal="50" workbookViewId="0">
      <pane ySplit="13" topLeftCell="A14" activePane="bottomLeft" state="frozen"/>
      <selection pane="bottomLeft" activeCell="N17" sqref="N17"/>
    </sheetView>
  </sheetViews>
  <sheetFormatPr baseColWidth="10" defaultColWidth="9.140625" defaultRowHeight="16.5" outlineLevelCol="1"/>
  <cols>
    <col min="1" max="1" width="3.140625" style="32" customWidth="1"/>
    <col min="2" max="3" width="13.7109375" style="32" customWidth="1"/>
    <col min="4" max="4" width="17" style="32" customWidth="1"/>
    <col min="5" max="5" width="13.28515625" style="32" bestFit="1" customWidth="1"/>
    <col min="6" max="6" width="17" style="32" customWidth="1"/>
    <col min="7" max="7" width="22.5703125" style="32" bestFit="1" customWidth="1"/>
    <col min="8" max="8" width="17" style="32" customWidth="1"/>
    <col min="9" max="9" width="17.7109375" style="32" bestFit="1" customWidth="1"/>
    <col min="10" max="10" width="25.85546875" style="32" bestFit="1" customWidth="1"/>
    <col min="11" max="11" width="17.85546875" style="32" bestFit="1" customWidth="1"/>
    <col min="12" max="12" width="25.42578125" style="32" bestFit="1" customWidth="1"/>
    <col min="13" max="13" width="30.140625" style="32" bestFit="1" customWidth="1"/>
    <col min="14" max="14" width="27.7109375" style="32" bestFit="1" customWidth="1"/>
    <col min="15" max="15" width="10.140625" style="32" customWidth="1"/>
    <col min="16" max="16" width="10.7109375" style="32" customWidth="1"/>
    <col min="17" max="17" width="10.5703125" style="32" customWidth="1" outlineLevel="1"/>
    <col min="18" max="19" width="17.85546875" style="32" customWidth="1" outlineLevel="1"/>
    <col min="20" max="20" width="21" style="32" customWidth="1" outlineLevel="1"/>
    <col min="21" max="21" width="45.140625" style="32" customWidth="1"/>
    <col min="22" max="24" width="15.7109375" style="35" customWidth="1"/>
    <col min="25" max="26" width="9.140625" style="32"/>
    <col min="27" max="29" width="9.140625" style="32" customWidth="1"/>
    <col min="30" max="30" width="12.42578125" style="32" customWidth="1"/>
    <col min="31" max="32" width="9.140625" style="32"/>
    <col min="33" max="34" width="9.140625" style="32" customWidth="1"/>
    <col min="35" max="16384" width="9.140625" style="32"/>
  </cols>
  <sheetData>
    <row r="1" spans="2:24" ht="17.25" thickBot="1"/>
    <row r="2" spans="2:24" s="45" customFormat="1">
      <c r="B2" s="43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55" t="s">
        <v>4</v>
      </c>
      <c r="O2" s="240" t="s">
        <v>12</v>
      </c>
      <c r="P2" s="241"/>
      <c r="Q2" s="242"/>
      <c r="R2" s="56"/>
      <c r="S2" s="56"/>
      <c r="T2" s="56"/>
      <c r="U2" s="56"/>
    </row>
    <row r="3" spans="2:24" s="45" customFormat="1" ht="18.75">
      <c r="B3" s="46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57" t="s">
        <v>5</v>
      </c>
      <c r="O3" s="243">
        <v>1</v>
      </c>
      <c r="P3" s="244"/>
      <c r="Q3" s="245"/>
      <c r="R3" s="56"/>
      <c r="S3" s="56"/>
      <c r="T3" s="56"/>
      <c r="U3" s="56"/>
    </row>
    <row r="4" spans="2:24" s="45" customFormat="1">
      <c r="B4" s="49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57" t="s">
        <v>6</v>
      </c>
      <c r="O4" s="243" t="s">
        <v>7</v>
      </c>
      <c r="P4" s="244"/>
      <c r="Q4" s="245"/>
      <c r="R4" s="56"/>
      <c r="S4" s="56"/>
      <c r="T4" s="56"/>
      <c r="U4" s="56"/>
    </row>
    <row r="5" spans="2:24" s="45" customFormat="1">
      <c r="B5" s="49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57" t="s">
        <v>8</v>
      </c>
      <c r="O5" s="243" t="s">
        <v>9</v>
      </c>
      <c r="P5" s="244"/>
      <c r="Q5" s="245"/>
      <c r="R5" s="56"/>
      <c r="S5" s="56"/>
      <c r="T5" s="56"/>
      <c r="U5" s="56"/>
    </row>
    <row r="6" spans="2:24" s="45" customFormat="1" ht="17.25" thickBot="1">
      <c r="B6" s="50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8" t="s">
        <v>10</v>
      </c>
      <c r="O6" s="246" t="s">
        <v>11</v>
      </c>
      <c r="P6" s="247"/>
      <c r="Q6" s="248"/>
      <c r="R6" s="56"/>
      <c r="S6" s="56"/>
      <c r="T6" s="56"/>
      <c r="U6" s="56"/>
    </row>
    <row r="7" spans="2:24" s="45" customFormat="1">
      <c r="V7" s="52"/>
      <c r="W7" s="52"/>
      <c r="X7" s="52"/>
    </row>
    <row r="8" spans="2:24" s="45" customFormat="1">
      <c r="V8" s="52"/>
      <c r="W8" s="52"/>
      <c r="X8" s="52"/>
    </row>
    <row r="9" spans="2:24" s="45" customFormat="1">
      <c r="V9" s="52"/>
      <c r="W9" s="52"/>
      <c r="X9" s="52"/>
    </row>
    <row r="10" spans="2:24" s="45" customFormat="1">
      <c r="G10" s="59"/>
      <c r="V10" s="52"/>
      <c r="W10" s="52"/>
      <c r="X10" s="52"/>
    </row>
    <row r="11" spans="2:24" s="45" customFormat="1">
      <c r="V11" s="52"/>
      <c r="W11" s="52"/>
      <c r="X11" s="52"/>
    </row>
    <row r="12" spans="2:24" ht="21.75" customHeight="1">
      <c r="C12" s="81"/>
    </row>
    <row r="13" spans="2:24" ht="44.45" customHeight="1">
      <c r="B13" s="82"/>
      <c r="C13" s="82"/>
      <c r="D13" s="82"/>
      <c r="F13" s="132" t="s">
        <v>263</v>
      </c>
      <c r="G13" s="133" t="s">
        <v>2425</v>
      </c>
      <c r="H13" s="133" t="s">
        <v>1926</v>
      </c>
      <c r="I13" s="133" t="s">
        <v>23</v>
      </c>
      <c r="J13" s="134" t="s">
        <v>1924</v>
      </c>
      <c r="K13" s="180" t="s">
        <v>2424</v>
      </c>
      <c r="L13" s="138" t="s">
        <v>1925</v>
      </c>
      <c r="V13" s="32"/>
      <c r="W13" s="32"/>
      <c r="X13" s="32"/>
    </row>
    <row r="14" spans="2:24" ht="36" customHeight="1">
      <c r="B14" s="53"/>
      <c r="C14" s="53"/>
      <c r="D14" s="53"/>
      <c r="F14" s="83">
        <v>1</v>
      </c>
      <c r="G14" s="74"/>
      <c r="H14" s="135"/>
      <c r="I14" s="135"/>
      <c r="J14" s="135"/>
      <c r="K14" s="137"/>
      <c r="L14" s="137"/>
      <c r="V14" s="32"/>
      <c r="W14" s="32"/>
      <c r="X14" s="32"/>
    </row>
    <row r="15" spans="2:24" ht="36" customHeight="1">
      <c r="B15" s="53"/>
      <c r="C15" s="53"/>
      <c r="D15" s="53"/>
      <c r="F15" s="83">
        <v>2</v>
      </c>
      <c r="G15" s="74"/>
      <c r="H15" s="135"/>
      <c r="I15" s="135"/>
      <c r="J15" s="135"/>
      <c r="K15" s="135"/>
      <c r="L15" s="135"/>
      <c r="V15" s="32"/>
      <c r="W15" s="32"/>
      <c r="X15" s="32"/>
    </row>
    <row r="16" spans="2:24" s="61" customFormat="1" ht="47.25" customHeight="1">
      <c r="B16" s="53"/>
      <c r="C16" s="53"/>
      <c r="D16" s="53"/>
      <c r="F16" s="83">
        <v>3</v>
      </c>
      <c r="G16" s="75"/>
      <c r="H16" s="135"/>
      <c r="I16" s="135"/>
      <c r="J16" s="135"/>
      <c r="K16" s="135"/>
      <c r="L16" s="135"/>
    </row>
    <row r="17" spans="2:24" ht="36" customHeight="1">
      <c r="B17" s="53"/>
      <c r="C17" s="53"/>
      <c r="D17" s="53"/>
      <c r="F17" s="83">
        <v>4</v>
      </c>
      <c r="G17" s="74"/>
      <c r="H17" s="135"/>
      <c r="I17" s="135"/>
      <c r="J17" s="135"/>
      <c r="K17" s="135"/>
      <c r="L17" s="135"/>
      <c r="V17" s="32"/>
      <c r="W17" s="32"/>
      <c r="X17" s="32"/>
    </row>
    <row r="18" spans="2:24" ht="36" customHeight="1">
      <c r="B18" s="53"/>
      <c r="C18" s="53"/>
      <c r="D18" s="53"/>
      <c r="F18" s="83">
        <v>5</v>
      </c>
      <c r="G18" s="74"/>
      <c r="H18" s="135"/>
      <c r="I18" s="135"/>
      <c r="J18" s="135"/>
      <c r="K18" s="135"/>
      <c r="L18" s="135"/>
      <c r="V18" s="32"/>
      <c r="W18" s="32"/>
      <c r="X18" s="32"/>
    </row>
    <row r="19" spans="2:24" ht="51.75" customHeight="1">
      <c r="B19" s="53"/>
      <c r="C19" s="53"/>
      <c r="D19" s="53"/>
      <c r="F19" s="83">
        <v>6</v>
      </c>
      <c r="G19" s="74"/>
      <c r="H19" s="135"/>
      <c r="I19" s="135"/>
      <c r="J19" s="135"/>
      <c r="K19" s="135"/>
      <c r="L19" s="135"/>
      <c r="V19" s="32"/>
      <c r="W19" s="32"/>
      <c r="X19" s="32"/>
    </row>
    <row r="20" spans="2:24" ht="47.25" customHeight="1">
      <c r="B20" s="53"/>
      <c r="C20" s="53"/>
      <c r="D20" s="53"/>
      <c r="F20" s="83">
        <v>7</v>
      </c>
      <c r="G20" s="74"/>
      <c r="H20" s="135"/>
      <c r="I20" s="135"/>
      <c r="J20" s="135"/>
      <c r="K20" s="135"/>
      <c r="L20" s="135"/>
      <c r="V20" s="32"/>
      <c r="W20" s="32"/>
      <c r="X20" s="32"/>
    </row>
    <row r="21" spans="2:24" ht="45.75" customHeight="1">
      <c r="B21" s="53"/>
      <c r="C21" s="53"/>
      <c r="D21" s="53"/>
      <c r="F21" s="83">
        <v>8</v>
      </c>
      <c r="G21" s="74"/>
      <c r="H21" s="135"/>
      <c r="I21" s="135"/>
      <c r="J21" s="135"/>
      <c r="K21" s="135"/>
      <c r="L21" s="135"/>
      <c r="V21" s="32"/>
      <c r="W21" s="32"/>
      <c r="X21" s="32"/>
    </row>
    <row r="22" spans="2:24" s="61" customFormat="1" ht="44.25" customHeight="1">
      <c r="B22" s="53"/>
      <c r="C22" s="53"/>
      <c r="D22" s="53"/>
      <c r="F22" s="83">
        <v>9</v>
      </c>
      <c r="G22" s="75"/>
      <c r="H22" s="135"/>
      <c r="I22" s="135"/>
      <c r="J22" s="135"/>
      <c r="K22" s="135"/>
      <c r="L22" s="135"/>
    </row>
    <row r="23" spans="2:24" ht="36" customHeight="1">
      <c r="B23" s="53"/>
      <c r="C23" s="53"/>
      <c r="D23" s="53"/>
      <c r="F23" s="83">
        <v>10</v>
      </c>
      <c r="G23" s="74"/>
      <c r="H23" s="135"/>
      <c r="I23" s="135"/>
      <c r="J23" s="135"/>
      <c r="K23" s="135"/>
      <c r="L23" s="135"/>
      <c r="V23" s="32"/>
      <c r="W23" s="32"/>
      <c r="X23" s="32"/>
    </row>
    <row r="24" spans="2:24" ht="36" customHeight="1">
      <c r="B24" s="53"/>
      <c r="C24" s="53"/>
      <c r="D24" s="53"/>
      <c r="F24" s="83">
        <v>11</v>
      </c>
      <c r="G24" s="74"/>
      <c r="H24" s="135"/>
      <c r="I24" s="135"/>
      <c r="J24" s="135"/>
      <c r="K24" s="135"/>
      <c r="L24" s="135"/>
      <c r="V24" s="32"/>
      <c r="W24" s="32"/>
      <c r="X24" s="32"/>
    </row>
    <row r="25" spans="2:24" ht="36" customHeight="1">
      <c r="B25" s="53"/>
      <c r="C25" s="53"/>
      <c r="D25" s="53"/>
      <c r="F25" s="83">
        <v>12</v>
      </c>
      <c r="G25" s="74"/>
      <c r="H25" s="135"/>
      <c r="I25" s="135"/>
      <c r="J25" s="135"/>
      <c r="K25" s="135"/>
      <c r="L25" s="135"/>
      <c r="V25" s="32"/>
      <c r="W25" s="32"/>
      <c r="X25" s="32"/>
    </row>
    <row r="26" spans="2:24" ht="36" customHeight="1">
      <c r="B26" s="53"/>
      <c r="C26" s="53"/>
      <c r="D26" s="53"/>
      <c r="F26" s="83">
        <v>13</v>
      </c>
      <c r="G26" s="78"/>
      <c r="H26" s="135"/>
      <c r="I26" s="135"/>
      <c r="J26" s="135"/>
      <c r="K26" s="135"/>
      <c r="L26" s="135"/>
      <c r="V26" s="32"/>
      <c r="W26" s="32"/>
      <c r="X26" s="32"/>
    </row>
    <row r="27" spans="2:24" ht="36" customHeight="1">
      <c r="B27" s="53"/>
      <c r="C27" s="53"/>
      <c r="D27" s="53"/>
      <c r="F27" s="83">
        <v>14</v>
      </c>
      <c r="G27" s="74"/>
      <c r="H27" s="135"/>
      <c r="I27" s="135"/>
      <c r="J27" s="135"/>
      <c r="K27" s="135"/>
      <c r="L27" s="135"/>
      <c r="V27" s="32"/>
      <c r="W27" s="32"/>
      <c r="X27" s="32"/>
    </row>
    <row r="28" spans="2:24" ht="36" customHeight="1">
      <c r="B28" s="53"/>
      <c r="C28" s="53"/>
      <c r="D28" s="53"/>
      <c r="F28" s="83">
        <v>15</v>
      </c>
      <c r="G28" s="74"/>
      <c r="H28" s="135"/>
      <c r="I28" s="135"/>
      <c r="J28" s="135"/>
      <c r="K28" s="135"/>
      <c r="L28" s="135"/>
      <c r="V28" s="32"/>
      <c r="W28" s="32"/>
      <c r="X28" s="32"/>
    </row>
    <row r="29" spans="2:24" ht="36" customHeight="1">
      <c r="B29" s="53"/>
      <c r="C29" s="53"/>
      <c r="D29" s="53"/>
      <c r="F29" s="83">
        <v>16</v>
      </c>
      <c r="G29" s="74"/>
      <c r="H29" s="135"/>
      <c r="I29" s="135"/>
      <c r="J29" s="135"/>
      <c r="K29" s="135"/>
      <c r="L29" s="135"/>
      <c r="V29" s="32"/>
      <c r="W29" s="32"/>
      <c r="X29" s="32"/>
    </row>
    <row r="30" spans="2:24" ht="36" customHeight="1">
      <c r="B30" s="53"/>
      <c r="C30" s="53"/>
      <c r="D30" s="53"/>
      <c r="F30" s="83">
        <v>17</v>
      </c>
      <c r="G30" s="80"/>
      <c r="H30" s="135"/>
      <c r="I30" s="135"/>
      <c r="J30" s="135"/>
      <c r="K30" s="135"/>
      <c r="L30" s="135"/>
      <c r="V30" s="32"/>
      <c r="W30" s="32"/>
      <c r="X30" s="32"/>
    </row>
    <row r="31" spans="2:24" ht="36" customHeight="1">
      <c r="B31" s="53"/>
      <c r="C31" s="53"/>
      <c r="D31" s="53"/>
      <c r="F31" s="83">
        <v>18</v>
      </c>
      <c r="G31" s="74"/>
      <c r="H31" s="135"/>
      <c r="I31" s="135"/>
      <c r="J31" s="135"/>
      <c r="K31" s="135"/>
      <c r="L31" s="135"/>
      <c r="V31" s="32"/>
      <c r="W31" s="32"/>
      <c r="X31" s="32"/>
    </row>
    <row r="32" spans="2:24" ht="36" customHeight="1">
      <c r="B32" s="53"/>
      <c r="C32" s="53"/>
      <c r="D32" s="53"/>
      <c r="F32" s="83">
        <v>19</v>
      </c>
      <c r="G32" s="74"/>
      <c r="H32" s="135"/>
      <c r="I32" s="135"/>
      <c r="J32" s="135"/>
      <c r="K32" s="135"/>
      <c r="L32" s="135"/>
      <c r="V32" s="32"/>
      <c r="W32" s="32"/>
      <c r="X32" s="32"/>
    </row>
    <row r="33" spans="2:24" ht="36" customHeight="1">
      <c r="B33" s="53"/>
      <c r="C33" s="53"/>
      <c r="D33" s="53"/>
      <c r="F33" s="83">
        <v>20</v>
      </c>
      <c r="G33" s="74"/>
      <c r="H33" s="135"/>
      <c r="I33" s="135"/>
      <c r="J33" s="135"/>
      <c r="K33" s="135"/>
      <c r="L33" s="135"/>
      <c r="V33" s="32"/>
      <c r="W33" s="32"/>
      <c r="X33" s="32"/>
    </row>
    <row r="34" spans="2:24" ht="36" customHeight="1">
      <c r="B34" s="53"/>
      <c r="C34" s="53"/>
      <c r="D34" s="53"/>
      <c r="F34" s="83">
        <v>21</v>
      </c>
      <c r="G34" s="74"/>
      <c r="H34" s="135"/>
      <c r="I34" s="135"/>
      <c r="J34" s="135"/>
      <c r="K34" s="135"/>
      <c r="L34" s="135"/>
      <c r="V34" s="32"/>
      <c r="W34" s="32"/>
      <c r="X34" s="32"/>
    </row>
    <row r="35" spans="2:24" ht="36" customHeight="1">
      <c r="B35" s="53"/>
      <c r="C35" s="53"/>
      <c r="D35" s="53"/>
      <c r="F35" s="90">
        <v>22</v>
      </c>
      <c r="G35" s="91"/>
      <c r="H35" s="136"/>
      <c r="I35" s="136"/>
      <c r="J35" s="136"/>
      <c r="K35" s="136"/>
      <c r="L35" s="136"/>
      <c r="V35" s="32"/>
      <c r="W35" s="32"/>
      <c r="X35" s="32"/>
    </row>
    <row r="36" spans="2:24" ht="36" customHeight="1">
      <c r="B36" s="53"/>
      <c r="C36" s="53"/>
      <c r="D36" s="53"/>
      <c r="E36" s="53"/>
      <c r="F36" s="53"/>
      <c r="G36" s="53"/>
      <c r="H36" s="53"/>
      <c r="I36" s="92"/>
      <c r="J36" s="93"/>
      <c r="K36" s="94"/>
      <c r="L36" s="95"/>
      <c r="M36" s="53"/>
      <c r="N36" s="54"/>
      <c r="O36" s="53"/>
      <c r="P36" s="56"/>
      <c r="Q36" s="56"/>
      <c r="R36" s="56"/>
      <c r="S36" s="56"/>
      <c r="T36" s="56"/>
      <c r="U36" s="56"/>
      <c r="V36" s="56"/>
      <c r="W36" s="56"/>
      <c r="X36" s="56"/>
    </row>
    <row r="37" spans="2:24" ht="36" customHeight="1">
      <c r="B37" s="53"/>
      <c r="C37" s="53"/>
      <c r="D37" s="53"/>
      <c r="E37" s="53"/>
      <c r="F37" s="53"/>
      <c r="G37" s="53"/>
      <c r="H37" s="53"/>
      <c r="I37" s="54"/>
      <c r="J37" s="93"/>
      <c r="K37" s="96"/>
      <c r="L37" s="95"/>
      <c r="M37" s="53"/>
      <c r="N37" s="54"/>
      <c r="O37" s="53"/>
      <c r="P37" s="56"/>
      <c r="Q37" s="56"/>
      <c r="R37" s="56"/>
      <c r="S37" s="56"/>
      <c r="T37" s="56"/>
      <c r="U37" s="56"/>
      <c r="V37" s="56"/>
      <c r="W37" s="56"/>
      <c r="X37" s="56"/>
    </row>
    <row r="38" spans="2:24" ht="36" customHeight="1">
      <c r="B38" s="53"/>
      <c r="C38" s="53"/>
      <c r="D38" s="53"/>
      <c r="E38" s="53"/>
      <c r="F38" s="53"/>
      <c r="G38" s="53"/>
      <c r="H38" s="53"/>
      <c r="I38" s="54"/>
      <c r="J38" s="93"/>
      <c r="K38" s="96"/>
      <c r="L38" s="95"/>
      <c r="M38" s="53"/>
      <c r="N38" s="54"/>
      <c r="O38" s="53"/>
      <c r="P38" s="56"/>
      <c r="Q38" s="56"/>
      <c r="R38" s="56"/>
      <c r="S38" s="56"/>
      <c r="T38" s="56"/>
      <c r="U38" s="56"/>
      <c r="V38" s="56"/>
      <c r="W38" s="56"/>
      <c r="X38" s="56"/>
    </row>
    <row r="39" spans="2:24" ht="36" customHeight="1">
      <c r="B39" s="53"/>
      <c r="C39" s="53"/>
      <c r="D39" s="53"/>
      <c r="E39" s="53"/>
      <c r="F39" s="53"/>
      <c r="G39" s="53"/>
      <c r="H39" s="53"/>
      <c r="I39" s="54"/>
      <c r="J39" s="93"/>
      <c r="K39" s="96"/>
      <c r="L39" s="95"/>
      <c r="M39" s="53"/>
      <c r="N39" s="54"/>
      <c r="O39" s="53"/>
      <c r="P39" s="56"/>
      <c r="Q39" s="56"/>
      <c r="R39" s="56"/>
      <c r="S39" s="56"/>
      <c r="T39" s="56"/>
      <c r="U39" s="56"/>
      <c r="V39" s="56"/>
      <c r="W39" s="56"/>
      <c r="X39" s="56"/>
    </row>
    <row r="40" spans="2:24" ht="36" customHeight="1">
      <c r="B40" s="53"/>
      <c r="C40" s="53"/>
      <c r="D40" s="53"/>
      <c r="E40" s="53"/>
      <c r="F40" s="53"/>
      <c r="G40" s="53"/>
      <c r="H40" s="53"/>
      <c r="I40" s="54"/>
      <c r="J40" s="93"/>
      <c r="K40" s="96"/>
      <c r="L40" s="95"/>
      <c r="M40" s="53"/>
      <c r="N40" s="54"/>
      <c r="O40" s="53"/>
      <c r="P40" s="56"/>
      <c r="Q40" s="56"/>
      <c r="R40" s="56"/>
      <c r="S40" s="56"/>
      <c r="T40" s="56"/>
      <c r="U40" s="56"/>
      <c r="V40" s="56"/>
      <c r="W40" s="56"/>
      <c r="X40" s="56"/>
    </row>
    <row r="41" spans="2:24" ht="36" customHeight="1">
      <c r="B41" s="53"/>
      <c r="C41" s="53"/>
      <c r="D41" s="53"/>
      <c r="E41" s="53"/>
      <c r="F41" s="53"/>
      <c r="G41" s="53"/>
      <c r="H41" s="53"/>
      <c r="I41" s="54"/>
      <c r="J41" s="93"/>
      <c r="K41" s="96"/>
      <c r="L41" s="95"/>
      <c r="M41" s="53"/>
      <c r="N41" s="54"/>
      <c r="O41" s="53"/>
      <c r="P41" s="56"/>
      <c r="Q41" s="56"/>
      <c r="R41" s="56"/>
      <c r="S41" s="56"/>
      <c r="T41" s="56"/>
      <c r="U41" s="56"/>
      <c r="V41" s="56"/>
      <c r="W41" s="56"/>
      <c r="X41" s="56"/>
    </row>
    <row r="42" spans="2:24" ht="36" customHeight="1">
      <c r="B42" s="53"/>
      <c r="C42" s="53"/>
      <c r="D42" s="53"/>
      <c r="E42" s="53"/>
      <c r="F42" s="53"/>
      <c r="G42" s="53"/>
      <c r="H42" s="53"/>
      <c r="I42" s="54"/>
      <c r="J42" s="93"/>
      <c r="K42" s="96"/>
      <c r="L42" s="95"/>
      <c r="M42" s="53"/>
      <c r="N42" s="54"/>
      <c r="O42" s="53"/>
      <c r="P42" s="56"/>
      <c r="Q42" s="56"/>
      <c r="R42" s="56"/>
      <c r="S42" s="56"/>
      <c r="T42" s="56"/>
      <c r="U42" s="56"/>
      <c r="V42" s="56"/>
      <c r="W42" s="56"/>
      <c r="X42" s="56"/>
    </row>
    <row r="43" spans="2:24" ht="36" customHeight="1">
      <c r="B43" s="53"/>
      <c r="C43" s="53"/>
      <c r="D43" s="53"/>
      <c r="E43" s="53"/>
      <c r="F43" s="53"/>
      <c r="G43" s="53"/>
      <c r="H43" s="53"/>
      <c r="I43" s="54"/>
      <c r="J43" s="93"/>
      <c r="K43" s="93"/>
      <c r="L43" s="53"/>
      <c r="M43" s="53"/>
      <c r="N43" s="54"/>
      <c r="O43" s="53"/>
      <c r="P43" s="56"/>
      <c r="Q43" s="56"/>
      <c r="R43" s="56"/>
      <c r="S43" s="56"/>
      <c r="T43" s="56"/>
      <c r="U43" s="56"/>
      <c r="V43" s="56"/>
      <c r="W43" s="56"/>
      <c r="X43" s="56"/>
    </row>
    <row r="44" spans="2:24" ht="36" customHeight="1">
      <c r="B44" s="53"/>
      <c r="C44" s="53"/>
      <c r="D44" s="53"/>
      <c r="E44" s="53"/>
      <c r="F44" s="53"/>
      <c r="G44" s="53"/>
      <c r="H44" s="53"/>
      <c r="I44" s="54"/>
      <c r="J44" s="93"/>
      <c r="K44" s="96"/>
      <c r="L44" s="95"/>
      <c r="M44" s="53"/>
      <c r="N44" s="54"/>
      <c r="O44" s="53"/>
      <c r="P44" s="56"/>
      <c r="Q44" s="56"/>
      <c r="R44" s="56"/>
      <c r="S44" s="56"/>
      <c r="T44" s="56"/>
      <c r="U44" s="56"/>
      <c r="V44" s="56"/>
      <c r="W44" s="56"/>
      <c r="X44" s="56"/>
    </row>
    <row r="45" spans="2:24" ht="36" customHeight="1">
      <c r="B45" s="53"/>
      <c r="C45" s="53"/>
      <c r="D45" s="53"/>
      <c r="E45" s="53"/>
      <c r="F45" s="53"/>
      <c r="G45" s="53"/>
      <c r="H45" s="53"/>
      <c r="I45" s="54"/>
      <c r="J45" s="93"/>
      <c r="K45" s="96"/>
      <c r="L45" s="95"/>
      <c r="M45" s="53"/>
      <c r="N45" s="54"/>
      <c r="O45" s="53"/>
      <c r="P45" s="56"/>
      <c r="Q45" s="56"/>
      <c r="R45" s="56"/>
      <c r="S45" s="56"/>
      <c r="T45" s="56"/>
      <c r="U45" s="56"/>
      <c r="V45" s="56"/>
      <c r="W45" s="56"/>
      <c r="X45" s="56"/>
    </row>
    <row r="46" spans="2:24" ht="36" customHeight="1">
      <c r="B46" s="53"/>
      <c r="C46" s="53"/>
      <c r="D46" s="53"/>
      <c r="E46" s="53"/>
      <c r="F46" s="53"/>
      <c r="G46" s="53"/>
      <c r="H46" s="53"/>
      <c r="I46" s="54"/>
      <c r="J46" s="93"/>
      <c r="K46" s="93"/>
      <c r="L46" s="95"/>
      <c r="M46" s="53"/>
      <c r="N46" s="54"/>
      <c r="O46" s="97"/>
      <c r="P46" s="56"/>
      <c r="Q46" s="56"/>
      <c r="R46" s="56"/>
      <c r="S46" s="56"/>
      <c r="T46" s="56"/>
      <c r="U46" s="56"/>
      <c r="V46" s="56"/>
      <c r="W46" s="56"/>
      <c r="X46" s="56"/>
    </row>
    <row r="47" spans="2:24" ht="36" customHeight="1">
      <c r="B47" s="53"/>
      <c r="C47" s="53"/>
      <c r="D47" s="53"/>
      <c r="E47" s="53"/>
      <c r="F47" s="53"/>
      <c r="G47" s="53"/>
      <c r="H47" s="53"/>
      <c r="I47" s="54"/>
      <c r="J47" s="93"/>
      <c r="K47" s="96"/>
      <c r="L47" s="95"/>
      <c r="M47" s="53"/>
      <c r="N47" s="54"/>
      <c r="O47" s="97"/>
      <c r="P47" s="56"/>
      <c r="Q47" s="56"/>
      <c r="R47" s="56"/>
      <c r="S47" s="56"/>
      <c r="T47" s="56"/>
      <c r="U47" s="56"/>
      <c r="V47" s="56"/>
      <c r="W47" s="56"/>
      <c r="X47" s="56"/>
    </row>
    <row r="48" spans="2:24" s="60" customFormat="1" ht="36" customHeight="1">
      <c r="B48" s="53"/>
      <c r="C48" s="53"/>
      <c r="D48" s="53"/>
      <c r="E48" s="53"/>
      <c r="F48" s="53"/>
      <c r="G48" s="53"/>
      <c r="H48" s="53"/>
      <c r="I48" s="54"/>
      <c r="J48" s="93"/>
      <c r="K48" s="96"/>
      <c r="L48" s="95"/>
      <c r="M48" s="53"/>
      <c r="N48" s="54"/>
      <c r="O48" s="97"/>
      <c r="P48" s="93"/>
      <c r="Q48" s="93"/>
      <c r="R48" s="93"/>
      <c r="S48" s="93"/>
      <c r="T48" s="93"/>
      <c r="U48" s="93"/>
      <c r="V48" s="93"/>
      <c r="W48" s="93"/>
      <c r="X48" s="93"/>
    </row>
    <row r="49" spans="2:24" s="62" customFormat="1" ht="36" customHeight="1">
      <c r="B49" s="53"/>
      <c r="C49" s="53"/>
      <c r="D49" s="53"/>
      <c r="E49" s="53"/>
      <c r="F49" s="53"/>
      <c r="G49" s="53"/>
      <c r="H49" s="53"/>
      <c r="I49" s="54"/>
      <c r="J49" s="93"/>
      <c r="K49" s="96"/>
      <c r="L49" s="95"/>
      <c r="M49" s="53"/>
      <c r="N49" s="54"/>
      <c r="O49" s="53"/>
      <c r="P49" s="84"/>
      <c r="Q49" s="84"/>
      <c r="R49" s="84"/>
      <c r="S49" s="84"/>
      <c r="T49" s="84"/>
      <c r="U49" s="84"/>
      <c r="V49" s="84"/>
      <c r="W49" s="84"/>
      <c r="X49" s="84"/>
    </row>
    <row r="50" spans="2:24" s="62" customFormat="1" ht="36" customHeight="1">
      <c r="B50" s="53"/>
      <c r="C50" s="53"/>
      <c r="D50" s="53"/>
      <c r="E50" s="53"/>
      <c r="F50" s="53"/>
      <c r="G50" s="53"/>
      <c r="H50" s="53"/>
      <c r="I50" s="98"/>
      <c r="J50" s="93"/>
      <c r="K50" s="93"/>
      <c r="L50" s="95"/>
      <c r="M50" s="53"/>
      <c r="N50" s="98"/>
      <c r="O50" s="97"/>
      <c r="P50" s="84"/>
      <c r="Q50" s="84"/>
      <c r="R50" s="84"/>
      <c r="S50" s="84"/>
      <c r="T50" s="84"/>
      <c r="U50" s="84"/>
      <c r="V50" s="84"/>
      <c r="W50" s="84"/>
      <c r="X50" s="84"/>
    </row>
    <row r="51" spans="2:24" s="62" customFormat="1" ht="36" customHeight="1">
      <c r="B51" s="53"/>
      <c r="C51" s="53"/>
      <c r="D51" s="53"/>
      <c r="E51" s="53"/>
      <c r="F51" s="53"/>
      <c r="G51" s="53"/>
      <c r="H51" s="53"/>
      <c r="I51" s="99"/>
      <c r="J51" s="100"/>
      <c r="K51" s="100"/>
      <c r="L51" s="101"/>
      <c r="M51" s="102"/>
      <c r="N51" s="103"/>
      <c r="O51" s="104"/>
      <c r="P51" s="84"/>
      <c r="Q51" s="84"/>
      <c r="R51" s="84"/>
      <c r="S51" s="84"/>
      <c r="T51" s="84"/>
      <c r="U51" s="84"/>
      <c r="V51" s="84"/>
      <c r="W51" s="84"/>
      <c r="X51" s="84"/>
    </row>
    <row r="52" spans="2:24" s="76" customFormat="1" ht="36" customHeight="1">
      <c r="B52" s="53"/>
      <c r="C52" s="53"/>
      <c r="D52" s="53"/>
      <c r="E52" s="53"/>
      <c r="F52" s="53"/>
      <c r="G52" s="53"/>
      <c r="H52" s="53"/>
      <c r="I52" s="105"/>
      <c r="J52" s="93"/>
      <c r="K52" s="106"/>
      <c r="L52" s="95"/>
      <c r="M52" s="107"/>
      <c r="N52" s="108"/>
      <c r="O52" s="109"/>
      <c r="P52" s="110"/>
      <c r="Q52" s="110"/>
      <c r="R52" s="110"/>
      <c r="S52" s="110"/>
      <c r="T52" s="110"/>
      <c r="U52" s="110"/>
      <c r="V52" s="110"/>
      <c r="W52" s="110"/>
      <c r="X52" s="110"/>
    </row>
    <row r="53" spans="2:24" s="76" customFormat="1" ht="36" customHeight="1">
      <c r="B53" s="53"/>
      <c r="C53" s="53"/>
      <c r="D53" s="53"/>
      <c r="E53" s="53"/>
      <c r="F53" s="53"/>
      <c r="G53" s="53"/>
      <c r="H53" s="53"/>
      <c r="I53" s="99"/>
      <c r="J53" s="100"/>
      <c r="K53" s="100"/>
      <c r="L53" s="101"/>
      <c r="M53" s="102"/>
      <c r="N53" s="103"/>
      <c r="O53" s="104"/>
      <c r="P53" s="110"/>
      <c r="Q53" s="110"/>
      <c r="R53" s="110"/>
      <c r="S53" s="110"/>
      <c r="T53" s="110"/>
      <c r="U53" s="110"/>
      <c r="V53" s="110"/>
      <c r="W53" s="110"/>
      <c r="X53" s="110"/>
    </row>
    <row r="54" spans="2:24" s="76" customFormat="1" ht="36" customHeight="1">
      <c r="B54" s="53"/>
      <c r="C54" s="53"/>
      <c r="D54" s="53"/>
      <c r="E54" s="53"/>
      <c r="F54" s="53"/>
      <c r="G54" s="53"/>
      <c r="H54" s="53"/>
      <c r="I54" s="99"/>
      <c r="J54" s="100"/>
      <c r="K54" s="100"/>
      <c r="L54" s="101"/>
      <c r="M54" s="102"/>
      <c r="N54" s="103"/>
      <c r="O54" s="104"/>
      <c r="P54" s="110"/>
      <c r="Q54" s="110"/>
      <c r="R54" s="110"/>
      <c r="S54" s="110"/>
      <c r="T54" s="110"/>
      <c r="U54" s="110"/>
      <c r="V54" s="110"/>
      <c r="W54" s="110"/>
      <c r="X54" s="110"/>
    </row>
    <row r="55" spans="2:24" s="62" customFormat="1" ht="36" customHeight="1">
      <c r="B55" s="53"/>
      <c r="C55" s="53"/>
      <c r="D55" s="53"/>
      <c r="E55" s="53"/>
      <c r="F55" s="53"/>
      <c r="G55" s="53"/>
      <c r="H55" s="53"/>
      <c r="I55" s="98"/>
      <c r="J55" s="93"/>
      <c r="K55" s="111"/>
      <c r="L55" s="112"/>
      <c r="M55" s="113"/>
      <c r="N55" s="98"/>
      <c r="O55" s="114"/>
      <c r="P55" s="84"/>
      <c r="Q55" s="84"/>
      <c r="R55" s="84"/>
      <c r="S55" s="84"/>
      <c r="T55" s="84"/>
      <c r="U55" s="84"/>
      <c r="V55" s="84"/>
      <c r="W55" s="84"/>
      <c r="X55" s="84"/>
    </row>
    <row r="56" spans="2:24" s="62" customFormat="1" ht="36" customHeight="1">
      <c r="B56" s="53"/>
      <c r="C56" s="53"/>
      <c r="D56" s="53"/>
      <c r="E56" s="53"/>
      <c r="F56" s="53"/>
      <c r="G56" s="53"/>
      <c r="H56" s="53"/>
      <c r="I56" s="54"/>
      <c r="J56" s="93"/>
      <c r="K56" s="93"/>
      <c r="L56" s="95"/>
      <c r="M56" s="53"/>
      <c r="N56" s="54"/>
      <c r="O56" s="97"/>
      <c r="P56" s="84"/>
      <c r="Q56" s="84"/>
      <c r="R56" s="84"/>
      <c r="S56" s="84"/>
      <c r="T56" s="84"/>
      <c r="U56" s="84"/>
      <c r="V56" s="84"/>
      <c r="W56" s="84"/>
      <c r="X56" s="84"/>
    </row>
    <row r="57" spans="2:24" s="62" customFormat="1" ht="36" customHeight="1">
      <c r="B57" s="53"/>
      <c r="C57" s="53"/>
      <c r="D57" s="53"/>
      <c r="E57" s="53"/>
      <c r="F57" s="53"/>
      <c r="G57" s="53"/>
      <c r="H57" s="53"/>
      <c r="I57" s="98"/>
      <c r="J57" s="93"/>
      <c r="K57" s="93"/>
      <c r="L57" s="95"/>
      <c r="M57" s="53"/>
      <c r="N57" s="98"/>
      <c r="O57" s="97"/>
      <c r="P57" s="84"/>
      <c r="Q57" s="84"/>
      <c r="R57" s="84"/>
      <c r="S57" s="84"/>
      <c r="T57" s="84"/>
      <c r="U57" s="84"/>
      <c r="V57" s="84"/>
      <c r="W57" s="84"/>
      <c r="X57" s="84"/>
    </row>
    <row r="58" spans="2:24" s="62" customFormat="1" ht="36" customHeight="1">
      <c r="B58" s="53"/>
      <c r="C58" s="53"/>
      <c r="D58" s="53"/>
      <c r="E58" s="53"/>
      <c r="F58" s="53"/>
      <c r="G58" s="53"/>
      <c r="H58" s="115"/>
      <c r="I58" s="54"/>
      <c r="J58" s="93"/>
      <c r="K58" s="116"/>
      <c r="L58" s="95"/>
      <c r="M58" s="53"/>
      <c r="N58" s="54"/>
      <c r="O58" s="97"/>
      <c r="P58" s="84"/>
      <c r="Q58" s="84"/>
      <c r="R58" s="84"/>
      <c r="S58" s="84"/>
      <c r="T58" s="84"/>
      <c r="U58" s="84"/>
      <c r="V58" s="84"/>
      <c r="W58" s="84"/>
      <c r="X58" s="84"/>
    </row>
    <row r="59" spans="2:24" s="62" customFormat="1" ht="36" customHeight="1">
      <c r="B59" s="53"/>
      <c r="C59" s="53"/>
      <c r="D59" s="53"/>
      <c r="E59" s="53"/>
      <c r="F59" s="53"/>
      <c r="G59" s="53"/>
      <c r="H59" s="115"/>
      <c r="I59" s="54"/>
      <c r="J59" s="93"/>
      <c r="K59" s="93"/>
      <c r="L59" s="95"/>
      <c r="M59" s="53"/>
      <c r="N59" s="54"/>
      <c r="O59" s="97"/>
      <c r="P59" s="84"/>
      <c r="Q59" s="84"/>
      <c r="R59" s="84"/>
      <c r="S59" s="84"/>
      <c r="T59" s="84"/>
      <c r="U59" s="84"/>
      <c r="V59" s="84"/>
      <c r="W59" s="84"/>
      <c r="X59" s="84"/>
    </row>
    <row r="60" spans="2:24" s="62" customFormat="1" ht="36" customHeight="1">
      <c r="B60" s="53"/>
      <c r="C60" s="53"/>
      <c r="D60" s="53"/>
      <c r="E60" s="53"/>
      <c r="F60" s="53"/>
      <c r="G60" s="53"/>
      <c r="H60" s="53"/>
      <c r="I60" s="54"/>
      <c r="J60" s="93"/>
      <c r="K60" s="93"/>
      <c r="L60" s="95"/>
      <c r="M60" s="53"/>
      <c r="N60" s="54"/>
      <c r="O60" s="97"/>
      <c r="P60" s="84"/>
      <c r="Q60" s="84"/>
      <c r="R60" s="84"/>
      <c r="S60" s="84"/>
      <c r="T60" s="84"/>
      <c r="U60" s="84"/>
      <c r="V60" s="84"/>
      <c r="W60" s="84"/>
      <c r="X60" s="84"/>
    </row>
    <row r="61" spans="2:24" s="62" customFormat="1" ht="36" customHeight="1">
      <c r="B61" s="53"/>
      <c r="C61" s="53"/>
      <c r="D61" s="53"/>
      <c r="E61" s="53"/>
      <c r="F61" s="53"/>
      <c r="G61" s="53"/>
      <c r="H61" s="53"/>
      <c r="I61" s="98"/>
      <c r="J61" s="106"/>
      <c r="K61" s="106"/>
      <c r="L61" s="117"/>
      <c r="M61" s="107"/>
      <c r="N61" s="98"/>
      <c r="O61" s="109"/>
      <c r="P61" s="84"/>
      <c r="Q61" s="84"/>
      <c r="R61" s="84"/>
      <c r="S61" s="84"/>
      <c r="T61" s="84"/>
      <c r="U61" s="84"/>
      <c r="V61" s="84"/>
      <c r="W61" s="84"/>
      <c r="X61" s="84"/>
    </row>
    <row r="62" spans="2:24" s="62" customFormat="1" ht="36" customHeight="1">
      <c r="B62" s="53"/>
      <c r="C62" s="53"/>
      <c r="D62" s="53"/>
      <c r="E62" s="53"/>
      <c r="F62" s="53"/>
      <c r="G62" s="53"/>
      <c r="H62" s="53"/>
      <c r="I62" s="108"/>
      <c r="J62" s="93"/>
      <c r="K62" s="106"/>
      <c r="L62" s="95"/>
      <c r="M62" s="107"/>
      <c r="N62" s="108"/>
      <c r="O62" s="109"/>
      <c r="P62" s="84"/>
      <c r="Q62" s="84"/>
      <c r="R62" s="84"/>
      <c r="S62" s="84"/>
      <c r="T62" s="84"/>
      <c r="U62" s="84"/>
      <c r="V62" s="84"/>
      <c r="W62" s="84"/>
      <c r="X62" s="84"/>
    </row>
    <row r="63" spans="2:24" s="62" customFormat="1" ht="36" customHeight="1">
      <c r="B63" s="53"/>
      <c r="C63" s="53"/>
      <c r="D63" s="53"/>
      <c r="E63" s="53"/>
      <c r="F63" s="53"/>
      <c r="G63" s="53"/>
      <c r="H63" s="53"/>
      <c r="I63" s="108"/>
      <c r="J63" s="106"/>
      <c r="K63" s="106"/>
      <c r="L63" s="95"/>
      <c r="M63" s="107"/>
      <c r="N63" s="108"/>
      <c r="O63" s="109"/>
      <c r="P63" s="84"/>
      <c r="Q63" s="84"/>
      <c r="R63" s="84"/>
      <c r="S63" s="84"/>
      <c r="T63" s="84"/>
      <c r="U63" s="84"/>
      <c r="V63" s="84"/>
      <c r="W63" s="84"/>
      <c r="X63" s="84"/>
    </row>
    <row r="64" spans="2:24" s="62" customFormat="1" ht="36" customHeight="1">
      <c r="B64" s="53"/>
      <c r="C64" s="53"/>
      <c r="D64" s="53"/>
      <c r="E64" s="53"/>
      <c r="F64" s="53"/>
      <c r="G64" s="53"/>
      <c r="H64" s="53"/>
      <c r="I64" s="108"/>
      <c r="J64" s="106"/>
      <c r="K64" s="106"/>
      <c r="L64" s="95"/>
      <c r="M64" s="107"/>
      <c r="N64" s="108"/>
      <c r="O64" s="109"/>
      <c r="P64" s="84"/>
      <c r="Q64" s="84"/>
      <c r="R64" s="84"/>
      <c r="S64" s="84"/>
      <c r="T64" s="84"/>
      <c r="U64" s="84"/>
      <c r="V64" s="84"/>
      <c r="W64" s="84"/>
      <c r="X64" s="84"/>
    </row>
    <row r="65" spans="2:24" s="62" customFormat="1" ht="36" customHeight="1">
      <c r="B65" s="53"/>
      <c r="C65" s="53"/>
      <c r="D65" s="53"/>
      <c r="E65" s="53"/>
      <c r="F65" s="53"/>
      <c r="G65" s="53"/>
      <c r="H65" s="53"/>
      <c r="I65" s="98"/>
      <c r="J65" s="106"/>
      <c r="K65" s="106"/>
      <c r="L65" s="95"/>
      <c r="M65" s="107"/>
      <c r="N65" s="98"/>
      <c r="O65" s="109"/>
      <c r="P65" s="84"/>
      <c r="Q65" s="84"/>
      <c r="R65" s="84"/>
      <c r="S65" s="84"/>
      <c r="T65" s="84"/>
      <c r="U65" s="84"/>
      <c r="V65" s="84"/>
      <c r="W65" s="84"/>
      <c r="X65" s="84"/>
    </row>
    <row r="66" spans="2:24" s="62" customFormat="1" ht="36" customHeight="1">
      <c r="B66" s="53"/>
      <c r="C66" s="53"/>
      <c r="D66" s="53"/>
      <c r="E66" s="53"/>
      <c r="F66" s="53"/>
      <c r="G66" s="53"/>
      <c r="H66" s="53"/>
      <c r="I66" s="108"/>
      <c r="J66" s="106"/>
      <c r="K66" s="106"/>
      <c r="L66" s="95"/>
      <c r="M66" s="107"/>
      <c r="N66" s="108"/>
      <c r="O66" s="109"/>
      <c r="P66" s="84"/>
      <c r="Q66" s="84"/>
      <c r="R66" s="84"/>
      <c r="S66" s="84"/>
      <c r="T66" s="84"/>
      <c r="U66" s="84"/>
      <c r="V66" s="84"/>
      <c r="W66" s="84"/>
      <c r="X66" s="84"/>
    </row>
    <row r="67" spans="2:24" s="62" customFormat="1" ht="36" customHeight="1">
      <c r="B67" s="53"/>
      <c r="C67" s="53"/>
      <c r="D67" s="53"/>
      <c r="E67" s="53"/>
      <c r="F67" s="53"/>
      <c r="G67" s="53"/>
      <c r="H67" s="53"/>
      <c r="I67" s="108"/>
      <c r="J67" s="106"/>
      <c r="K67" s="106"/>
      <c r="L67" s="95"/>
      <c r="M67" s="107"/>
      <c r="N67" s="108"/>
      <c r="O67" s="109"/>
      <c r="P67" s="84"/>
      <c r="Q67" s="84"/>
      <c r="R67" s="84"/>
      <c r="S67" s="84"/>
      <c r="T67" s="84"/>
      <c r="U67" s="84"/>
      <c r="V67" s="84"/>
      <c r="W67" s="84"/>
      <c r="X67" s="84"/>
    </row>
    <row r="68" spans="2:24" s="62" customFormat="1" ht="36" customHeight="1">
      <c r="B68" s="53"/>
      <c r="C68" s="53"/>
      <c r="D68" s="53"/>
      <c r="E68" s="53"/>
      <c r="F68" s="53"/>
      <c r="G68" s="53"/>
      <c r="H68" s="53"/>
      <c r="I68" s="108"/>
      <c r="J68" s="106"/>
      <c r="K68" s="106"/>
      <c r="L68" s="95"/>
      <c r="M68" s="107"/>
      <c r="N68" s="108"/>
      <c r="O68" s="109"/>
      <c r="P68" s="84"/>
      <c r="Q68" s="84"/>
      <c r="R68" s="84"/>
      <c r="S68" s="84"/>
      <c r="T68" s="84"/>
      <c r="U68" s="84"/>
      <c r="V68" s="84"/>
      <c r="W68" s="84"/>
      <c r="X68" s="84"/>
    </row>
    <row r="69" spans="2:24" s="62" customFormat="1" ht="36" customHeight="1">
      <c r="B69" s="53"/>
      <c r="C69" s="53"/>
      <c r="D69" s="53"/>
      <c r="E69" s="53"/>
      <c r="F69" s="53"/>
      <c r="G69" s="53"/>
      <c r="H69" s="53"/>
      <c r="I69" s="98"/>
      <c r="J69" s="106"/>
      <c r="K69" s="106"/>
      <c r="L69" s="95"/>
      <c r="M69" s="107"/>
      <c r="N69" s="98"/>
      <c r="O69" s="109"/>
      <c r="P69" s="84"/>
      <c r="Q69" s="84"/>
      <c r="R69" s="84"/>
      <c r="S69" s="84"/>
      <c r="T69" s="84"/>
      <c r="U69" s="84"/>
      <c r="V69" s="84"/>
      <c r="W69" s="84"/>
      <c r="X69" s="84"/>
    </row>
    <row r="70" spans="2:24" s="62" customFormat="1" ht="56.45" customHeight="1">
      <c r="B70" s="53"/>
      <c r="C70" s="53"/>
      <c r="D70" s="53"/>
      <c r="E70" s="53"/>
      <c r="F70" s="53"/>
      <c r="G70" s="53"/>
      <c r="H70" s="53"/>
      <c r="I70" s="108"/>
      <c r="J70" s="93"/>
      <c r="K70" s="106"/>
      <c r="L70" s="95"/>
      <c r="M70" s="107"/>
      <c r="N70" s="108"/>
      <c r="O70" s="109"/>
      <c r="P70" s="84"/>
      <c r="Q70" s="84"/>
      <c r="R70" s="84"/>
      <c r="S70" s="84"/>
      <c r="T70" s="84"/>
      <c r="U70" s="84"/>
      <c r="V70" s="84"/>
      <c r="W70" s="84"/>
      <c r="X70" s="84"/>
    </row>
    <row r="71" spans="2:24" s="62" customFormat="1" ht="36" customHeight="1">
      <c r="B71" s="53"/>
      <c r="C71" s="53"/>
      <c r="D71" s="53"/>
      <c r="E71" s="53"/>
      <c r="F71" s="53"/>
      <c r="G71" s="53"/>
      <c r="H71" s="118"/>
      <c r="I71" s="108"/>
      <c r="J71" s="93"/>
      <c r="K71" s="106"/>
      <c r="L71" s="95"/>
      <c r="M71" s="107"/>
      <c r="N71" s="108"/>
      <c r="O71" s="109"/>
      <c r="P71" s="84"/>
      <c r="Q71" s="84"/>
      <c r="R71" s="84"/>
      <c r="S71" s="84"/>
      <c r="T71" s="84"/>
      <c r="U71" s="84"/>
      <c r="V71" s="84"/>
      <c r="W71" s="84"/>
      <c r="X71" s="84"/>
    </row>
    <row r="72" spans="2:24" s="62" customFormat="1" ht="36" customHeight="1">
      <c r="B72" s="53"/>
      <c r="C72" s="53"/>
      <c r="D72" s="53"/>
      <c r="E72" s="53"/>
      <c r="F72" s="53"/>
      <c r="G72" s="53"/>
      <c r="H72" s="53"/>
      <c r="I72" s="108"/>
      <c r="J72" s="106"/>
      <c r="K72" s="106"/>
      <c r="L72" s="117"/>
      <c r="M72" s="107"/>
      <c r="N72" s="108"/>
      <c r="O72" s="109"/>
      <c r="P72" s="84"/>
      <c r="Q72" s="84"/>
      <c r="R72" s="84"/>
      <c r="S72" s="84"/>
      <c r="T72" s="84"/>
      <c r="U72" s="84"/>
      <c r="V72" s="84"/>
      <c r="W72" s="84"/>
      <c r="X72" s="84"/>
    </row>
    <row r="73" spans="2:24" s="62" customFormat="1" ht="36" customHeight="1">
      <c r="B73" s="53"/>
      <c r="C73" s="53"/>
      <c r="D73" s="53"/>
      <c r="E73" s="53"/>
      <c r="F73" s="53"/>
      <c r="G73" s="53"/>
      <c r="H73" s="53"/>
      <c r="I73" s="108"/>
      <c r="J73" s="106"/>
      <c r="K73" s="106"/>
      <c r="L73" s="117"/>
      <c r="M73" s="107"/>
      <c r="N73" s="108"/>
      <c r="O73" s="109"/>
      <c r="P73" s="84"/>
      <c r="Q73" s="84"/>
      <c r="R73" s="84"/>
      <c r="S73" s="84"/>
      <c r="T73" s="84"/>
      <c r="U73" s="84"/>
      <c r="V73" s="84"/>
      <c r="W73" s="84"/>
      <c r="X73" s="84"/>
    </row>
    <row r="74" spans="2:24" s="62" customFormat="1" ht="36" customHeight="1">
      <c r="B74" s="53"/>
      <c r="C74" s="53"/>
      <c r="D74" s="53"/>
      <c r="E74" s="53"/>
      <c r="F74" s="53"/>
      <c r="G74" s="53"/>
      <c r="H74" s="53"/>
      <c r="I74" s="119"/>
      <c r="J74" s="120"/>
      <c r="K74" s="120"/>
      <c r="L74" s="121"/>
      <c r="M74" s="122"/>
      <c r="N74" s="119"/>
      <c r="O74" s="123"/>
      <c r="P74" s="84"/>
      <c r="Q74" s="84"/>
      <c r="R74" s="84"/>
      <c r="S74" s="84"/>
      <c r="T74" s="84"/>
      <c r="U74" s="84"/>
      <c r="V74" s="84"/>
      <c r="W74" s="84"/>
      <c r="X74" s="84"/>
    </row>
    <row r="75" spans="2:24" s="62" customFormat="1" ht="36" customHeight="1">
      <c r="B75" s="53"/>
      <c r="C75" s="53"/>
      <c r="D75" s="53"/>
      <c r="E75" s="53"/>
      <c r="F75" s="53"/>
      <c r="G75" s="53"/>
      <c r="H75" s="53"/>
      <c r="I75" s="119"/>
      <c r="J75" s="120"/>
      <c r="K75" s="120"/>
      <c r="L75" s="95"/>
      <c r="M75" s="122"/>
      <c r="N75" s="119"/>
      <c r="O75" s="123"/>
      <c r="P75" s="84"/>
      <c r="Q75" s="84"/>
      <c r="R75" s="84"/>
      <c r="S75" s="84"/>
      <c r="T75" s="84"/>
      <c r="U75" s="84"/>
      <c r="V75" s="84"/>
      <c r="W75" s="84"/>
      <c r="X75" s="84"/>
    </row>
    <row r="76" spans="2:24" s="62" customFormat="1" ht="36" customHeight="1">
      <c r="B76" s="53"/>
      <c r="C76" s="53"/>
      <c r="D76" s="53"/>
      <c r="E76" s="53"/>
      <c r="F76" s="53"/>
      <c r="G76" s="53"/>
      <c r="H76" s="53"/>
      <c r="I76" s="119"/>
      <c r="J76" s="120"/>
      <c r="K76" s="120"/>
      <c r="L76" s="121"/>
      <c r="M76" s="122"/>
      <c r="N76" s="119"/>
      <c r="O76" s="123"/>
      <c r="P76" s="84"/>
      <c r="Q76" s="84"/>
      <c r="R76" s="84"/>
      <c r="S76" s="84"/>
      <c r="T76" s="84"/>
      <c r="U76" s="84"/>
      <c r="V76" s="84"/>
      <c r="W76" s="84"/>
      <c r="X76" s="84"/>
    </row>
    <row r="77" spans="2:24" s="62" customFormat="1" ht="36" customHeight="1">
      <c r="B77" s="53"/>
      <c r="C77" s="53"/>
      <c r="D77" s="53"/>
      <c r="E77" s="53"/>
      <c r="F77" s="53"/>
      <c r="G77" s="53"/>
      <c r="H77" s="53"/>
      <c r="I77" s="119"/>
      <c r="J77" s="120"/>
      <c r="K77" s="120"/>
      <c r="L77" s="121"/>
      <c r="M77" s="122"/>
      <c r="N77" s="119"/>
      <c r="O77" s="123"/>
      <c r="P77" s="84"/>
      <c r="Q77" s="84"/>
      <c r="R77" s="84"/>
      <c r="S77" s="84"/>
      <c r="T77" s="84"/>
      <c r="U77" s="84"/>
      <c r="V77" s="84"/>
      <c r="W77" s="84"/>
      <c r="X77" s="84"/>
    </row>
    <row r="78" spans="2:24" s="62" customFormat="1" ht="36" customHeight="1">
      <c r="B78" s="53"/>
      <c r="C78" s="53"/>
      <c r="D78" s="53"/>
      <c r="E78" s="53"/>
      <c r="F78" s="53"/>
      <c r="G78" s="53"/>
      <c r="H78" s="53"/>
      <c r="I78" s="119"/>
      <c r="J78" s="120"/>
      <c r="K78" s="120"/>
      <c r="L78" s="121"/>
      <c r="M78" s="122"/>
      <c r="N78" s="119"/>
      <c r="O78" s="123"/>
      <c r="P78" s="84"/>
      <c r="Q78" s="84"/>
      <c r="R78" s="84"/>
      <c r="S78" s="84"/>
      <c r="T78" s="84"/>
      <c r="U78" s="84"/>
      <c r="V78" s="84"/>
      <c r="W78" s="84"/>
      <c r="X78" s="84"/>
    </row>
    <row r="79" spans="2:24" s="62" customFormat="1" ht="61.15" customHeight="1">
      <c r="B79" s="53"/>
      <c r="C79" s="53"/>
      <c r="D79" s="53"/>
      <c r="E79" s="53"/>
      <c r="F79" s="53"/>
      <c r="G79" s="53"/>
      <c r="H79" s="53"/>
      <c r="I79" s="119"/>
      <c r="J79" s="120"/>
      <c r="K79" s="120"/>
      <c r="L79" s="121"/>
      <c r="M79" s="122"/>
      <c r="N79" s="119"/>
      <c r="O79" s="123"/>
      <c r="P79" s="84"/>
      <c r="Q79" s="84"/>
      <c r="R79" s="84"/>
      <c r="S79" s="84"/>
      <c r="T79" s="84"/>
      <c r="U79" s="84"/>
      <c r="V79" s="84"/>
      <c r="W79" s="84"/>
      <c r="X79" s="84"/>
    </row>
    <row r="80" spans="2:24" s="62" customFormat="1" ht="66.599999999999994" customHeight="1">
      <c r="B80" s="53"/>
      <c r="C80" s="53"/>
      <c r="D80" s="53"/>
      <c r="E80" s="53"/>
      <c r="F80" s="53"/>
      <c r="G80" s="53"/>
      <c r="H80" s="53"/>
      <c r="I80" s="119"/>
      <c r="J80" s="120"/>
      <c r="K80" s="120"/>
      <c r="L80" s="121"/>
      <c r="M80" s="122"/>
      <c r="N80" s="119"/>
      <c r="O80" s="123"/>
      <c r="P80" s="84"/>
      <c r="Q80" s="84"/>
      <c r="R80" s="84"/>
      <c r="S80" s="84"/>
      <c r="T80" s="84"/>
      <c r="U80" s="84"/>
      <c r="V80" s="84"/>
      <c r="W80" s="84"/>
      <c r="X80" s="84"/>
    </row>
    <row r="81" spans="2:24" s="62" customFormat="1" ht="61.9" customHeight="1">
      <c r="B81" s="53"/>
      <c r="C81" s="53"/>
      <c r="D81" s="53"/>
      <c r="E81" s="53"/>
      <c r="F81" s="53"/>
      <c r="G81" s="53"/>
      <c r="H81" s="53"/>
      <c r="I81" s="119"/>
      <c r="J81" s="120"/>
      <c r="K81" s="120"/>
      <c r="L81" s="121"/>
      <c r="M81" s="122"/>
      <c r="N81" s="119"/>
      <c r="O81" s="123"/>
      <c r="P81" s="84"/>
      <c r="Q81" s="84"/>
      <c r="R81" s="84"/>
      <c r="S81" s="84"/>
      <c r="T81" s="84"/>
      <c r="U81" s="84"/>
      <c r="V81" s="84"/>
      <c r="W81" s="84"/>
      <c r="X81" s="84"/>
    </row>
    <row r="82" spans="2:24" s="62" customFormat="1" ht="69.599999999999994" customHeight="1">
      <c r="B82" s="53"/>
      <c r="C82" s="53"/>
      <c r="D82" s="53"/>
      <c r="E82" s="53"/>
      <c r="F82" s="53"/>
      <c r="G82" s="53"/>
      <c r="H82" s="53"/>
      <c r="I82" s="119"/>
      <c r="J82" s="120"/>
      <c r="K82" s="120"/>
      <c r="L82" s="121"/>
      <c r="M82" s="122"/>
      <c r="N82" s="119"/>
      <c r="O82" s="123"/>
      <c r="P82" s="84"/>
      <c r="Q82" s="84"/>
      <c r="R82" s="84"/>
      <c r="S82" s="84"/>
      <c r="T82" s="84"/>
      <c r="U82" s="84"/>
      <c r="V82" s="84"/>
      <c r="W82" s="84"/>
      <c r="X82" s="84"/>
    </row>
    <row r="83" spans="2:24" s="62" customFormat="1" ht="36" customHeight="1">
      <c r="B83" s="53"/>
      <c r="C83" s="53"/>
      <c r="D83" s="53"/>
      <c r="E83" s="53"/>
      <c r="F83" s="53"/>
      <c r="G83" s="53"/>
      <c r="H83" s="53"/>
      <c r="I83" s="124"/>
      <c r="J83" s="120"/>
      <c r="K83" s="116"/>
      <c r="L83" s="121"/>
      <c r="M83" s="122"/>
      <c r="N83" s="124"/>
      <c r="O83" s="123"/>
      <c r="P83" s="84"/>
      <c r="Q83" s="84"/>
      <c r="R83" s="84"/>
      <c r="S83" s="84"/>
      <c r="T83" s="84"/>
      <c r="U83" s="84"/>
      <c r="V83" s="84"/>
      <c r="W83" s="84"/>
      <c r="X83" s="84"/>
    </row>
    <row r="84" spans="2:24" s="62" customFormat="1" ht="36" customHeight="1">
      <c r="B84" s="53"/>
      <c r="C84" s="53"/>
      <c r="D84" s="53"/>
      <c r="E84" s="53"/>
      <c r="F84" s="53"/>
      <c r="G84" s="53"/>
      <c r="H84" s="53"/>
      <c r="I84" s="124"/>
      <c r="J84" s="120"/>
      <c r="K84" s="116"/>
      <c r="L84" s="121"/>
      <c r="M84" s="122"/>
      <c r="N84" s="124"/>
      <c r="O84" s="123"/>
      <c r="P84" s="84"/>
      <c r="Q84" s="84"/>
      <c r="R84" s="84"/>
      <c r="S84" s="84"/>
      <c r="T84" s="84"/>
      <c r="U84" s="84"/>
      <c r="V84" s="84"/>
      <c r="W84" s="84"/>
      <c r="X84" s="84"/>
    </row>
    <row r="85" spans="2:24" s="62" customFormat="1" ht="36" customHeight="1">
      <c r="B85" s="53"/>
      <c r="C85" s="53"/>
      <c r="D85" s="53"/>
      <c r="E85" s="53"/>
      <c r="F85" s="53"/>
      <c r="G85" s="53"/>
      <c r="H85" s="53"/>
      <c r="I85" s="124"/>
      <c r="J85" s="120"/>
      <c r="K85" s="116"/>
      <c r="L85" s="121"/>
      <c r="M85" s="122"/>
      <c r="N85" s="124"/>
      <c r="O85" s="123"/>
      <c r="P85" s="84"/>
      <c r="Q85" s="84"/>
      <c r="R85" s="84"/>
      <c r="S85" s="84"/>
      <c r="T85" s="84"/>
      <c r="U85" s="84"/>
      <c r="V85" s="84"/>
      <c r="W85" s="84"/>
      <c r="X85" s="84"/>
    </row>
    <row r="86" spans="2:24" s="62" customFormat="1" ht="36" customHeight="1">
      <c r="B86" s="53"/>
      <c r="C86" s="53"/>
      <c r="D86" s="53"/>
      <c r="E86" s="53"/>
      <c r="F86" s="53"/>
      <c r="G86" s="53"/>
      <c r="H86" s="53"/>
      <c r="I86" s="124"/>
      <c r="J86" s="120"/>
      <c r="K86" s="116"/>
      <c r="L86" s="121"/>
      <c r="M86" s="122"/>
      <c r="N86" s="124"/>
      <c r="O86" s="123"/>
      <c r="P86" s="84"/>
      <c r="Q86" s="84"/>
      <c r="R86" s="84"/>
      <c r="S86" s="84"/>
      <c r="T86" s="84"/>
      <c r="U86" s="84"/>
      <c r="V86" s="84"/>
      <c r="W86" s="84"/>
      <c r="X86" s="84"/>
    </row>
    <row r="87" spans="2:24" s="62" customFormat="1" ht="36" customHeight="1">
      <c r="B87" s="53"/>
      <c r="C87" s="53"/>
      <c r="D87" s="53"/>
      <c r="E87" s="53"/>
      <c r="F87" s="53"/>
      <c r="G87" s="53"/>
      <c r="H87" s="53"/>
      <c r="I87" s="124"/>
      <c r="J87" s="120"/>
      <c r="K87" s="116"/>
      <c r="L87" s="121"/>
      <c r="M87" s="122"/>
      <c r="N87" s="124"/>
      <c r="O87" s="123"/>
      <c r="P87" s="84"/>
      <c r="Q87" s="84"/>
      <c r="R87" s="84"/>
      <c r="S87" s="84"/>
      <c r="T87" s="84"/>
      <c r="U87" s="84"/>
      <c r="V87" s="84"/>
      <c r="W87" s="84"/>
      <c r="X87" s="84"/>
    </row>
    <row r="88" spans="2:24" s="62" customFormat="1" ht="36" customHeight="1">
      <c r="B88" s="53"/>
      <c r="C88" s="53"/>
      <c r="D88" s="53"/>
      <c r="E88" s="53"/>
      <c r="F88" s="53"/>
      <c r="G88" s="53"/>
      <c r="H88" s="53"/>
      <c r="I88" s="124"/>
      <c r="J88" s="120"/>
      <c r="K88" s="116"/>
      <c r="L88" s="121"/>
      <c r="M88" s="122"/>
      <c r="N88" s="124"/>
      <c r="O88" s="123"/>
      <c r="P88" s="84"/>
      <c r="Q88" s="84"/>
      <c r="R88" s="84"/>
      <c r="S88" s="84"/>
      <c r="T88" s="84"/>
      <c r="U88" s="84"/>
      <c r="V88" s="84"/>
      <c r="W88" s="84"/>
      <c r="X88" s="84"/>
    </row>
    <row r="89" spans="2:24" s="62" customFormat="1" ht="36" customHeight="1">
      <c r="B89" s="53"/>
      <c r="C89" s="53"/>
      <c r="D89" s="53"/>
      <c r="E89" s="53"/>
      <c r="F89" s="53"/>
      <c r="G89" s="53"/>
      <c r="H89" s="53"/>
      <c r="I89" s="125"/>
      <c r="J89" s="100"/>
      <c r="K89" s="101"/>
      <c r="L89" s="101"/>
      <c r="M89" s="102"/>
      <c r="N89" s="103"/>
      <c r="O89" s="104"/>
      <c r="P89" s="84"/>
      <c r="Q89" s="84"/>
      <c r="R89" s="84"/>
      <c r="S89" s="84"/>
      <c r="T89" s="84"/>
      <c r="U89" s="84"/>
      <c r="V89" s="84"/>
      <c r="W89" s="84"/>
      <c r="X89" s="84"/>
    </row>
    <row r="90" spans="2:24" s="62" customFormat="1" ht="36" customHeight="1">
      <c r="B90" s="53"/>
      <c r="C90" s="53"/>
      <c r="D90" s="53"/>
      <c r="E90" s="53"/>
      <c r="F90" s="53"/>
      <c r="G90" s="53"/>
      <c r="H90" s="53"/>
      <c r="I90" s="125"/>
      <c r="J90" s="100"/>
      <c r="K90" s="101"/>
      <c r="L90" s="101"/>
      <c r="M90" s="102"/>
      <c r="N90" s="103"/>
      <c r="O90" s="104"/>
      <c r="P90" s="84"/>
      <c r="Q90" s="84"/>
      <c r="R90" s="84"/>
      <c r="S90" s="84"/>
      <c r="T90" s="84"/>
      <c r="U90" s="84"/>
      <c r="V90" s="84"/>
      <c r="W90" s="84"/>
      <c r="X90" s="84"/>
    </row>
    <row r="91" spans="2:24" s="62" customFormat="1" ht="36" customHeight="1">
      <c r="B91" s="53"/>
      <c r="C91" s="53"/>
      <c r="D91" s="53"/>
      <c r="E91" s="53"/>
      <c r="F91" s="53"/>
      <c r="G91" s="53"/>
      <c r="H91" s="53"/>
      <c r="I91" s="126"/>
      <c r="J91" s="120"/>
      <c r="K91" s="95"/>
      <c r="L91" s="95"/>
      <c r="M91" s="53"/>
      <c r="N91" s="54"/>
      <c r="O91" s="97"/>
      <c r="P91" s="84"/>
      <c r="Q91" s="84"/>
      <c r="R91" s="84"/>
      <c r="S91" s="84"/>
      <c r="T91" s="84"/>
      <c r="U91" s="84"/>
      <c r="V91" s="84"/>
      <c r="W91" s="84"/>
      <c r="X91" s="84"/>
    </row>
    <row r="92" spans="2:24" s="62" customFormat="1" ht="36" customHeight="1">
      <c r="B92" s="53"/>
      <c r="C92" s="53"/>
      <c r="D92" s="53"/>
      <c r="E92" s="53"/>
      <c r="F92" s="53"/>
      <c r="G92" s="53"/>
      <c r="H92" s="53"/>
      <c r="I92" s="126"/>
      <c r="J92" s="120"/>
      <c r="K92" s="93"/>
      <c r="L92" s="95"/>
      <c r="M92" s="53"/>
      <c r="N92" s="54"/>
      <c r="O92" s="97"/>
      <c r="P92" s="84"/>
      <c r="Q92" s="84"/>
      <c r="R92" s="84"/>
      <c r="S92" s="84"/>
      <c r="T92" s="84"/>
      <c r="U92" s="84"/>
      <c r="V92" s="84"/>
      <c r="W92" s="84"/>
      <c r="X92" s="84"/>
    </row>
    <row r="93" spans="2:24" s="62" customFormat="1" ht="36" customHeight="1">
      <c r="B93" s="53"/>
      <c r="C93" s="53"/>
      <c r="D93" s="53"/>
      <c r="E93" s="53"/>
      <c r="F93" s="53"/>
      <c r="G93" s="53"/>
      <c r="H93" s="53"/>
      <c r="I93" s="126"/>
      <c r="J93" s="120"/>
      <c r="K93" s="93"/>
      <c r="L93" s="95"/>
      <c r="M93" s="53"/>
      <c r="N93" s="54"/>
      <c r="O93" s="97"/>
      <c r="P93" s="84"/>
      <c r="Q93" s="84"/>
      <c r="R93" s="84"/>
      <c r="S93" s="84"/>
      <c r="T93" s="84"/>
      <c r="U93" s="84"/>
      <c r="V93" s="84"/>
      <c r="W93" s="84"/>
      <c r="X93" s="84"/>
    </row>
    <row r="94" spans="2:24" s="62" customFormat="1" ht="36" customHeight="1">
      <c r="B94" s="53"/>
      <c r="C94" s="53"/>
      <c r="D94" s="53"/>
      <c r="E94" s="53"/>
      <c r="F94" s="53"/>
      <c r="G94" s="53"/>
      <c r="H94" s="53"/>
      <c r="I94" s="127"/>
      <c r="J94" s="100"/>
      <c r="K94" s="100"/>
      <c r="L94" s="101"/>
      <c r="M94" s="102"/>
      <c r="N94" s="103"/>
      <c r="O94" s="104"/>
      <c r="P94" s="84"/>
      <c r="Q94" s="84"/>
      <c r="R94" s="84"/>
      <c r="S94" s="84"/>
      <c r="T94" s="84"/>
      <c r="U94" s="84"/>
      <c r="V94" s="84"/>
      <c r="W94" s="84"/>
      <c r="X94" s="84"/>
    </row>
    <row r="95" spans="2:24" s="62" customFormat="1" ht="36" customHeight="1">
      <c r="B95" s="53"/>
      <c r="C95" s="53"/>
      <c r="D95" s="53"/>
      <c r="E95" s="53"/>
      <c r="F95" s="53"/>
      <c r="G95" s="53"/>
      <c r="H95" s="53"/>
      <c r="I95" s="127"/>
      <c r="J95" s="100"/>
      <c r="K95" s="100"/>
      <c r="L95" s="101"/>
      <c r="M95" s="102"/>
      <c r="N95" s="103"/>
      <c r="O95" s="104"/>
      <c r="P95" s="84"/>
      <c r="Q95" s="84"/>
      <c r="R95" s="84"/>
      <c r="S95" s="84"/>
      <c r="T95" s="84"/>
      <c r="U95" s="84"/>
      <c r="V95" s="84"/>
      <c r="W95" s="84"/>
      <c r="X95" s="84"/>
    </row>
    <row r="96" spans="2:24" s="62" customFormat="1" ht="36" customHeight="1">
      <c r="B96" s="53"/>
      <c r="C96" s="53"/>
      <c r="D96" s="53"/>
      <c r="E96" s="53"/>
      <c r="F96" s="53"/>
      <c r="G96" s="53"/>
      <c r="H96" s="53"/>
      <c r="I96" s="127"/>
      <c r="J96" s="100"/>
      <c r="K96" s="100"/>
      <c r="L96" s="101"/>
      <c r="M96" s="102"/>
      <c r="N96" s="103"/>
      <c r="O96" s="104"/>
      <c r="P96" s="84"/>
      <c r="Q96" s="84"/>
      <c r="R96" s="84"/>
      <c r="S96" s="84"/>
      <c r="T96" s="84"/>
      <c r="U96" s="84"/>
      <c r="V96" s="84"/>
      <c r="W96" s="84"/>
      <c r="X96" s="84"/>
    </row>
    <row r="97" spans="2:24" s="62" customFormat="1" ht="36" customHeight="1">
      <c r="B97" s="53"/>
      <c r="C97" s="53"/>
      <c r="D97" s="53"/>
      <c r="E97" s="53"/>
      <c r="F97" s="53"/>
      <c r="G97" s="53"/>
      <c r="H97" s="53"/>
      <c r="I97" s="127"/>
      <c r="J97" s="100"/>
      <c r="K97" s="100"/>
      <c r="L97" s="101"/>
      <c r="M97" s="102"/>
      <c r="N97" s="103"/>
      <c r="O97" s="104"/>
      <c r="P97" s="84"/>
      <c r="Q97" s="84"/>
      <c r="R97" s="84"/>
      <c r="S97" s="84"/>
      <c r="T97" s="84"/>
      <c r="U97" s="84"/>
      <c r="V97" s="84"/>
      <c r="W97" s="84"/>
      <c r="X97" s="84"/>
    </row>
    <row r="98" spans="2:24" s="62" customFormat="1" ht="36" customHeight="1">
      <c r="B98" s="53"/>
      <c r="C98" s="53"/>
      <c r="D98" s="53"/>
      <c r="E98" s="53"/>
      <c r="F98" s="53"/>
      <c r="G98" s="53"/>
      <c r="H98" s="53"/>
      <c r="I98" s="127"/>
      <c r="J98" s="100"/>
      <c r="K98" s="100"/>
      <c r="L98" s="101"/>
      <c r="M98" s="102"/>
      <c r="N98" s="103"/>
      <c r="O98" s="104"/>
      <c r="P98" s="84"/>
      <c r="Q98" s="84"/>
      <c r="R98" s="84"/>
      <c r="S98" s="84"/>
      <c r="T98" s="84"/>
      <c r="U98" s="84"/>
      <c r="V98" s="84"/>
      <c r="W98" s="84"/>
      <c r="X98" s="84"/>
    </row>
    <row r="99" spans="2:24" s="62" customFormat="1" ht="36" customHeight="1">
      <c r="B99" s="53"/>
      <c r="C99" s="53"/>
      <c r="D99" s="53"/>
      <c r="E99" s="53"/>
      <c r="F99" s="53"/>
      <c r="G99" s="53"/>
      <c r="H99" s="53"/>
      <c r="I99" s="127"/>
      <c r="J99" s="100"/>
      <c r="K99" s="100"/>
      <c r="L99" s="101"/>
      <c r="M99" s="102"/>
      <c r="N99" s="103"/>
      <c r="O99" s="104"/>
      <c r="P99" s="84"/>
      <c r="Q99" s="84"/>
      <c r="R99" s="84"/>
      <c r="S99" s="84"/>
      <c r="T99" s="84"/>
      <c r="U99" s="84"/>
      <c r="V99" s="84"/>
      <c r="W99" s="84"/>
      <c r="X99" s="84"/>
    </row>
    <row r="100" spans="2:24" s="62" customFormat="1" ht="36" customHeight="1">
      <c r="B100" s="53"/>
      <c r="C100" s="53"/>
      <c r="D100" s="53"/>
      <c r="E100" s="53"/>
      <c r="F100" s="53"/>
      <c r="G100" s="53"/>
      <c r="H100" s="53"/>
      <c r="I100" s="127"/>
      <c r="J100" s="100"/>
      <c r="K100" s="100"/>
      <c r="L100" s="101"/>
      <c r="M100" s="102"/>
      <c r="N100" s="103"/>
      <c r="O100" s="104"/>
      <c r="P100" s="84"/>
      <c r="Q100" s="84"/>
      <c r="R100" s="84"/>
      <c r="S100" s="84"/>
      <c r="T100" s="84"/>
      <c r="U100" s="84"/>
      <c r="V100" s="84"/>
      <c r="W100" s="84"/>
      <c r="X100" s="84"/>
    </row>
    <row r="101" spans="2:24" s="62" customFormat="1" ht="36" customHeight="1">
      <c r="B101" s="53"/>
      <c r="C101" s="53"/>
      <c r="D101" s="53"/>
      <c r="E101" s="53"/>
      <c r="F101" s="53"/>
      <c r="G101" s="53"/>
      <c r="H101" s="53"/>
      <c r="I101" s="127"/>
      <c r="J101" s="100"/>
      <c r="K101" s="100"/>
      <c r="L101" s="101"/>
      <c r="M101" s="102"/>
      <c r="N101" s="103"/>
      <c r="O101" s="104"/>
      <c r="P101" s="84"/>
      <c r="Q101" s="84"/>
      <c r="R101" s="84"/>
      <c r="S101" s="84"/>
      <c r="T101" s="84"/>
      <c r="U101" s="84"/>
      <c r="V101" s="84"/>
      <c r="W101" s="84"/>
      <c r="X101" s="84"/>
    </row>
    <row r="102" spans="2:24" s="62" customFormat="1" ht="53.45" customHeight="1">
      <c r="B102" s="53"/>
      <c r="C102" s="53"/>
      <c r="D102" s="53"/>
      <c r="E102" s="53"/>
      <c r="F102" s="53"/>
      <c r="G102" s="53"/>
      <c r="H102" s="53"/>
      <c r="I102" s="127"/>
      <c r="J102" s="100"/>
      <c r="K102" s="100"/>
      <c r="L102" s="101"/>
      <c r="M102" s="102"/>
      <c r="N102" s="103"/>
      <c r="O102" s="104"/>
      <c r="P102" s="84"/>
      <c r="Q102" s="84"/>
      <c r="R102" s="84"/>
      <c r="S102" s="84"/>
      <c r="T102" s="84"/>
      <c r="U102" s="84"/>
      <c r="V102" s="84"/>
      <c r="W102" s="84"/>
      <c r="X102" s="84"/>
    </row>
    <row r="103" spans="2:24" s="62" customFormat="1" ht="36" customHeight="1">
      <c r="B103" s="53"/>
      <c r="C103" s="53"/>
      <c r="D103" s="53"/>
      <c r="E103" s="53"/>
      <c r="F103" s="53"/>
      <c r="G103" s="53"/>
      <c r="H103" s="53"/>
      <c r="I103" s="127"/>
      <c r="J103" s="100"/>
      <c r="K103" s="100"/>
      <c r="L103" s="101"/>
      <c r="M103" s="102"/>
      <c r="N103" s="103"/>
      <c r="O103" s="104"/>
      <c r="P103" s="84"/>
      <c r="Q103" s="84"/>
      <c r="R103" s="84"/>
      <c r="S103" s="84"/>
      <c r="T103" s="84"/>
      <c r="U103" s="84"/>
      <c r="V103" s="84"/>
      <c r="W103" s="84"/>
      <c r="X103" s="84"/>
    </row>
    <row r="104" spans="2:24" s="62" customFormat="1" ht="36" customHeight="1">
      <c r="B104" s="53"/>
      <c r="C104" s="53"/>
      <c r="D104" s="53"/>
      <c r="E104" s="53"/>
      <c r="F104" s="53"/>
      <c r="G104" s="53"/>
      <c r="H104" s="53"/>
      <c r="I104" s="127"/>
      <c r="J104" s="100"/>
      <c r="K104" s="100"/>
      <c r="L104" s="101"/>
      <c r="M104" s="102"/>
      <c r="N104" s="103"/>
      <c r="O104" s="104"/>
      <c r="P104" s="84"/>
      <c r="Q104" s="84"/>
      <c r="R104" s="84"/>
      <c r="S104" s="84"/>
      <c r="T104" s="84"/>
      <c r="U104" s="84"/>
      <c r="V104" s="84"/>
      <c r="W104" s="84"/>
      <c r="X104" s="84"/>
    </row>
    <row r="105" spans="2:24" s="62" customFormat="1" ht="36" customHeight="1">
      <c r="B105" s="53"/>
      <c r="C105" s="53"/>
      <c r="D105" s="53"/>
      <c r="E105" s="53"/>
      <c r="F105" s="53"/>
      <c r="G105" s="53"/>
      <c r="H105" s="53"/>
      <c r="I105" s="127"/>
      <c r="J105" s="100"/>
      <c r="K105" s="100"/>
      <c r="L105" s="101"/>
      <c r="M105" s="102"/>
      <c r="N105" s="103"/>
      <c r="O105" s="104"/>
      <c r="P105" s="84"/>
      <c r="Q105" s="84"/>
      <c r="R105" s="84"/>
      <c r="S105" s="84"/>
      <c r="T105" s="84"/>
      <c r="U105" s="84"/>
      <c r="V105" s="84"/>
      <c r="W105" s="84"/>
      <c r="X105" s="84"/>
    </row>
    <row r="106" spans="2:24" s="62" customFormat="1" ht="36" customHeight="1">
      <c r="B106" s="53"/>
      <c r="C106" s="53"/>
      <c r="D106" s="53"/>
      <c r="E106" s="53"/>
      <c r="F106" s="53"/>
      <c r="G106" s="53"/>
      <c r="H106" s="53"/>
      <c r="I106" s="127"/>
      <c r="J106" s="100"/>
      <c r="K106" s="100"/>
      <c r="L106" s="101"/>
      <c r="M106" s="102"/>
      <c r="N106" s="103"/>
      <c r="O106" s="104"/>
      <c r="P106" s="84"/>
      <c r="Q106" s="84"/>
      <c r="R106" s="84"/>
      <c r="S106" s="84"/>
      <c r="T106" s="84"/>
      <c r="U106" s="84"/>
      <c r="V106" s="84"/>
      <c r="W106" s="84"/>
      <c r="X106" s="84"/>
    </row>
    <row r="107" spans="2:24" s="62" customFormat="1" ht="36" customHeight="1">
      <c r="B107" s="53"/>
      <c r="C107" s="53"/>
      <c r="D107" s="53"/>
      <c r="E107" s="53"/>
      <c r="F107" s="53"/>
      <c r="G107" s="53"/>
      <c r="H107" s="53"/>
      <c r="I107" s="127"/>
      <c r="J107" s="100"/>
      <c r="K107" s="100"/>
      <c r="L107" s="101"/>
      <c r="M107" s="102"/>
      <c r="N107" s="103"/>
      <c r="O107" s="104"/>
      <c r="P107" s="84"/>
      <c r="Q107" s="84"/>
      <c r="R107" s="84"/>
      <c r="S107" s="84"/>
      <c r="T107" s="84"/>
      <c r="U107" s="84"/>
      <c r="V107" s="84"/>
      <c r="W107" s="84"/>
      <c r="X107" s="84"/>
    </row>
    <row r="108" spans="2:24" s="62" customFormat="1" ht="36" customHeight="1">
      <c r="B108" s="53"/>
      <c r="C108" s="85"/>
      <c r="D108" s="53"/>
      <c r="E108" s="84"/>
      <c r="F108" s="84"/>
      <c r="G108" s="84"/>
      <c r="H108" s="84"/>
      <c r="I108" s="84"/>
      <c r="J108" s="84"/>
      <c r="K108" s="84"/>
      <c r="L108" s="84"/>
      <c r="M108" s="84"/>
      <c r="N108" s="53"/>
      <c r="O108" s="53"/>
      <c r="P108" s="53"/>
      <c r="Q108" s="93"/>
      <c r="R108" s="126"/>
      <c r="S108" s="93"/>
      <c r="T108" s="93"/>
      <c r="U108" s="95"/>
      <c r="V108" s="53"/>
      <c r="W108" s="54"/>
      <c r="X108" s="97"/>
    </row>
    <row r="109" spans="2:24" s="62" customFormat="1" ht="36" customHeight="1">
      <c r="B109" s="53"/>
      <c r="C109" s="85"/>
      <c r="D109" s="53"/>
      <c r="E109" s="84"/>
      <c r="F109" s="84"/>
      <c r="G109" s="84"/>
      <c r="H109" s="84"/>
      <c r="I109" s="84"/>
      <c r="J109" s="84"/>
      <c r="K109" s="84"/>
      <c r="L109" s="84"/>
      <c r="M109" s="84"/>
      <c r="N109" s="53"/>
      <c r="O109" s="53"/>
      <c r="P109" s="53"/>
      <c r="Q109" s="93"/>
      <c r="R109" s="126"/>
      <c r="S109" s="93"/>
      <c r="T109" s="93"/>
      <c r="U109" s="95"/>
      <c r="V109" s="53"/>
      <c r="W109" s="54"/>
      <c r="X109" s="97"/>
    </row>
    <row r="110" spans="2:24" s="62" customFormat="1" ht="36" customHeight="1">
      <c r="B110" s="53"/>
      <c r="C110" s="85"/>
      <c r="D110" s="53"/>
      <c r="E110" s="84"/>
      <c r="F110" s="84"/>
      <c r="G110" s="84"/>
      <c r="H110" s="84"/>
      <c r="I110" s="84"/>
      <c r="J110" s="84"/>
      <c r="K110" s="84"/>
      <c r="L110" s="84"/>
      <c r="M110" s="84"/>
      <c r="N110" s="53"/>
      <c r="O110" s="53"/>
      <c r="P110" s="53"/>
      <c r="Q110" s="93"/>
      <c r="R110" s="126"/>
      <c r="S110" s="93"/>
      <c r="T110" s="93"/>
      <c r="U110" s="95"/>
      <c r="V110" s="53"/>
      <c r="W110" s="54"/>
      <c r="X110" s="97"/>
    </row>
    <row r="111" spans="2:24" s="62" customFormat="1" ht="36" customHeight="1">
      <c r="B111" s="53"/>
      <c r="C111" s="85"/>
      <c r="D111" s="53"/>
      <c r="E111" s="84"/>
      <c r="F111" s="84"/>
      <c r="G111" s="84"/>
      <c r="H111" s="84"/>
      <c r="I111" s="84"/>
      <c r="J111" s="84"/>
      <c r="K111" s="84"/>
      <c r="L111" s="84"/>
      <c r="M111" s="84"/>
      <c r="N111" s="53"/>
      <c r="O111" s="53"/>
      <c r="P111" s="53"/>
      <c r="Q111" s="93"/>
      <c r="R111" s="126"/>
      <c r="S111" s="93"/>
      <c r="T111" s="93"/>
      <c r="U111" s="95"/>
      <c r="V111" s="53"/>
      <c r="W111" s="54"/>
      <c r="X111" s="97"/>
    </row>
    <row r="112" spans="2:24" s="62" customFormat="1" ht="36" customHeight="1">
      <c r="B112" s="53"/>
      <c r="C112" s="85"/>
      <c r="D112" s="53"/>
      <c r="E112" s="84"/>
      <c r="F112" s="84"/>
      <c r="G112" s="84"/>
      <c r="H112" s="84"/>
      <c r="I112" s="84"/>
      <c r="J112" s="84"/>
      <c r="K112" s="84"/>
      <c r="L112" s="84"/>
      <c r="M112" s="84"/>
      <c r="N112" s="53"/>
      <c r="O112" s="53"/>
      <c r="P112" s="53"/>
      <c r="Q112" s="93"/>
      <c r="R112" s="93"/>
      <c r="S112" s="93"/>
      <c r="T112" s="93"/>
      <c r="U112" s="95"/>
      <c r="V112" s="53"/>
      <c r="W112" s="53"/>
      <c r="X112" s="97"/>
    </row>
    <row r="113" spans="2:24" s="62" customFormat="1" ht="36" customHeight="1">
      <c r="B113" s="53"/>
      <c r="C113" s="85"/>
      <c r="D113" s="53"/>
      <c r="E113" s="84"/>
      <c r="F113" s="84"/>
      <c r="G113" s="84"/>
      <c r="H113" s="84"/>
      <c r="I113" s="84"/>
      <c r="J113" s="84"/>
      <c r="K113" s="84"/>
      <c r="L113" s="84"/>
      <c r="M113" s="84"/>
      <c r="N113" s="53"/>
      <c r="O113" s="53"/>
      <c r="P113" s="53"/>
      <c r="Q113" s="93"/>
      <c r="R113" s="126"/>
      <c r="S113" s="93"/>
      <c r="T113" s="93"/>
      <c r="U113" s="95"/>
      <c r="V113" s="53"/>
      <c r="W113" s="54"/>
      <c r="X113" s="97"/>
    </row>
    <row r="114" spans="2:24" s="62" customFormat="1" ht="36" customHeight="1">
      <c r="B114" s="53"/>
      <c r="C114" s="85"/>
      <c r="D114" s="53"/>
      <c r="E114" s="84"/>
      <c r="F114" s="84"/>
      <c r="G114" s="84"/>
      <c r="H114" s="84"/>
      <c r="I114" s="84"/>
      <c r="J114" s="84"/>
      <c r="K114" s="84"/>
      <c r="L114" s="84"/>
      <c r="M114" s="84"/>
      <c r="N114" s="53"/>
      <c r="O114" s="53"/>
      <c r="P114" s="53"/>
      <c r="Q114" s="93"/>
      <c r="R114" s="93"/>
      <c r="S114" s="93"/>
      <c r="T114" s="93"/>
      <c r="U114" s="95"/>
      <c r="V114" s="53"/>
      <c r="W114" s="54"/>
      <c r="X114" s="97"/>
    </row>
    <row r="115" spans="2:24" s="62" customFormat="1" ht="36" customHeight="1">
      <c r="B115" s="53"/>
      <c r="C115" s="85"/>
      <c r="D115" s="53"/>
      <c r="E115" s="53"/>
      <c r="F115" s="54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93"/>
      <c r="R115" s="126"/>
      <c r="S115" s="93"/>
      <c r="T115" s="93"/>
      <c r="U115" s="95"/>
      <c r="V115" s="53"/>
      <c r="W115" s="54"/>
      <c r="X115" s="97"/>
    </row>
    <row r="116" spans="2:24" s="62" customFormat="1" ht="36" customHeight="1">
      <c r="B116" s="53"/>
      <c r="C116" s="85"/>
      <c r="D116" s="53"/>
      <c r="E116" s="53"/>
      <c r="F116" s="54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93"/>
      <c r="R116" s="126"/>
      <c r="S116" s="93"/>
      <c r="T116" s="93"/>
      <c r="U116" s="95"/>
      <c r="V116" s="53"/>
      <c r="W116" s="54"/>
      <c r="X116" s="97"/>
    </row>
    <row r="117" spans="2:24" s="62" customFormat="1" ht="36" customHeight="1">
      <c r="B117" s="53"/>
      <c r="C117" s="85"/>
      <c r="D117" s="53"/>
      <c r="E117" s="53"/>
      <c r="F117" s="54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93"/>
      <c r="R117" s="126"/>
      <c r="S117" s="93"/>
      <c r="T117" s="93"/>
      <c r="U117" s="95"/>
      <c r="V117" s="53"/>
      <c r="W117" s="54"/>
      <c r="X117" s="97"/>
    </row>
    <row r="118" spans="2:24" s="62" customFormat="1" ht="36" customHeight="1">
      <c r="B118" s="53"/>
      <c r="C118" s="85"/>
      <c r="D118" s="53"/>
      <c r="E118" s="53"/>
      <c r="F118" s="54"/>
      <c r="G118" s="53"/>
      <c r="H118" s="53"/>
      <c r="I118" s="53"/>
      <c r="J118" s="53"/>
      <c r="K118" s="13"/>
      <c r="L118" s="53"/>
      <c r="M118" s="53"/>
      <c r="N118" s="53"/>
      <c r="O118" s="53"/>
      <c r="P118" s="53"/>
      <c r="Q118" s="93"/>
      <c r="R118" s="126"/>
      <c r="S118" s="93"/>
      <c r="T118" s="93"/>
      <c r="U118" s="95"/>
      <c r="V118" s="53"/>
      <c r="W118" s="54"/>
      <c r="X118" s="97"/>
    </row>
    <row r="119" spans="2:24" s="62" customFormat="1" ht="36" customHeight="1">
      <c r="B119" s="53"/>
      <c r="C119" s="86"/>
      <c r="D119" s="53"/>
      <c r="E119" s="53"/>
      <c r="F119" s="54"/>
      <c r="G119" s="53"/>
      <c r="H119" s="53"/>
      <c r="I119" s="53"/>
      <c r="J119" s="53"/>
      <c r="K119" s="12"/>
      <c r="L119" s="53"/>
      <c r="M119" s="53"/>
      <c r="N119" s="53"/>
      <c r="O119" s="53"/>
      <c r="P119" s="53"/>
      <c r="Q119" s="93"/>
      <c r="R119" s="126"/>
      <c r="S119" s="93"/>
      <c r="T119" s="93"/>
      <c r="U119" s="95"/>
      <c r="V119" s="53"/>
      <c r="W119" s="54"/>
      <c r="X119" s="97"/>
    </row>
    <row r="120" spans="2:24" s="62" customFormat="1" ht="36" customHeight="1">
      <c r="B120" s="87"/>
      <c r="C120" s="86"/>
      <c r="D120" s="53"/>
      <c r="E120" s="87"/>
      <c r="F120" s="87"/>
      <c r="G120" s="87"/>
      <c r="H120" s="87"/>
      <c r="I120" s="53"/>
      <c r="J120" s="87"/>
      <c r="K120" s="87"/>
      <c r="L120" s="87"/>
      <c r="M120" s="53"/>
      <c r="N120" s="87"/>
      <c r="O120" s="53"/>
      <c r="P120" s="87"/>
      <c r="Q120" s="128"/>
      <c r="R120" s="128"/>
      <c r="S120" s="128"/>
      <c r="T120" s="128"/>
      <c r="U120" s="129"/>
      <c r="V120" s="87"/>
      <c r="W120" s="87"/>
      <c r="X120" s="130"/>
    </row>
    <row r="121" spans="2:24" s="62" customFormat="1" ht="36" customHeight="1">
      <c r="B121" s="53"/>
      <c r="C121" s="86"/>
      <c r="D121" s="53"/>
      <c r="E121" s="53"/>
      <c r="F121" s="54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93"/>
      <c r="R121" s="93"/>
      <c r="S121" s="93"/>
      <c r="T121" s="93"/>
      <c r="U121" s="95"/>
      <c r="V121" s="53"/>
      <c r="W121" s="53"/>
      <c r="X121" s="97"/>
    </row>
    <row r="122" spans="2:24" s="62" customFormat="1" ht="36" customHeight="1">
      <c r="B122" s="53"/>
      <c r="C122" s="86"/>
      <c r="D122" s="53"/>
      <c r="E122" s="53"/>
      <c r="F122" s="54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93"/>
      <c r="R122" s="93"/>
      <c r="S122" s="93"/>
      <c r="T122" s="93"/>
      <c r="U122" s="95"/>
      <c r="V122" s="53"/>
      <c r="W122" s="53"/>
      <c r="X122" s="97"/>
    </row>
    <row r="123" spans="2:24" s="62" customFormat="1" ht="36" customHeight="1">
      <c r="B123" s="53"/>
      <c r="C123" s="86"/>
      <c r="D123" s="53"/>
      <c r="E123" s="53"/>
      <c r="F123" s="54"/>
      <c r="G123" s="53"/>
      <c r="H123" s="53"/>
      <c r="I123" s="53"/>
      <c r="J123" s="53"/>
      <c r="K123" s="13"/>
      <c r="L123" s="53"/>
      <c r="M123" s="53"/>
      <c r="N123" s="53"/>
      <c r="O123" s="53"/>
      <c r="P123" s="53"/>
      <c r="Q123" s="93"/>
      <c r="R123" s="126"/>
      <c r="S123" s="93"/>
      <c r="T123" s="93"/>
      <c r="U123" s="95"/>
      <c r="V123" s="53"/>
      <c r="W123" s="54"/>
      <c r="X123" s="97"/>
    </row>
    <row r="124" spans="2:24" s="62" customFormat="1" ht="36" customHeight="1">
      <c r="B124" s="53"/>
      <c r="C124" s="86"/>
      <c r="D124" s="53"/>
      <c r="E124" s="53"/>
      <c r="F124" s="54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93"/>
      <c r="R124" s="93"/>
      <c r="S124" s="93"/>
      <c r="T124" s="93"/>
      <c r="U124" s="95"/>
      <c r="V124" s="53"/>
      <c r="W124" s="53"/>
      <c r="X124" s="97"/>
    </row>
    <row r="125" spans="2:24" s="62" customFormat="1" ht="36" customHeight="1">
      <c r="B125" s="53"/>
      <c r="C125" s="86"/>
      <c r="D125" s="53"/>
      <c r="E125" s="53"/>
      <c r="F125" s="54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93"/>
      <c r="R125" s="93"/>
      <c r="S125" s="93"/>
      <c r="T125" s="93"/>
      <c r="U125" s="95"/>
      <c r="V125" s="53"/>
      <c r="W125" s="53"/>
      <c r="X125" s="97"/>
    </row>
    <row r="126" spans="2:24" s="62" customFormat="1" ht="36" customHeight="1">
      <c r="B126" s="53"/>
      <c r="C126" s="86"/>
      <c r="D126" s="53"/>
      <c r="E126" s="53"/>
      <c r="F126" s="54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93"/>
      <c r="R126" s="93"/>
      <c r="S126" s="93"/>
      <c r="T126" s="93"/>
      <c r="U126" s="95"/>
      <c r="V126" s="53"/>
      <c r="W126" s="53"/>
      <c r="X126" s="97"/>
    </row>
    <row r="127" spans="2:24" s="62" customFormat="1" ht="36" customHeight="1">
      <c r="B127" s="53"/>
      <c r="C127" s="86"/>
      <c r="D127" s="53"/>
      <c r="E127" s="53"/>
      <c r="F127" s="54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93"/>
      <c r="R127" s="126"/>
      <c r="S127" s="93"/>
      <c r="T127" s="93"/>
      <c r="U127" s="95"/>
      <c r="V127" s="53"/>
      <c r="W127" s="54"/>
      <c r="X127" s="97"/>
    </row>
    <row r="128" spans="2:24" s="62" customFormat="1" ht="36" customHeight="1">
      <c r="B128" s="53"/>
      <c r="C128" s="86"/>
      <c r="D128" s="53"/>
      <c r="E128" s="53"/>
      <c r="F128" s="54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93"/>
      <c r="R128" s="126"/>
      <c r="S128" s="93"/>
      <c r="T128" s="93"/>
      <c r="U128" s="95"/>
      <c r="V128" s="53"/>
      <c r="W128" s="54"/>
      <c r="X128" s="97"/>
    </row>
    <row r="129" spans="2:24" s="62" customFormat="1" ht="36" customHeight="1">
      <c r="B129" s="53"/>
      <c r="C129" s="86"/>
      <c r="D129" s="53"/>
      <c r="E129" s="53"/>
      <c r="F129" s="54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93"/>
      <c r="R129" s="126"/>
      <c r="S129" s="93"/>
      <c r="T129" s="93"/>
      <c r="U129" s="95"/>
      <c r="V129" s="53"/>
      <c r="W129" s="54"/>
      <c r="X129" s="97"/>
    </row>
    <row r="130" spans="2:24" s="62" customFormat="1" ht="36" customHeight="1">
      <c r="B130" s="53"/>
      <c r="C130" s="86"/>
      <c r="D130" s="53"/>
      <c r="E130" s="53"/>
      <c r="F130" s="54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93"/>
      <c r="R130" s="126"/>
      <c r="S130" s="93"/>
      <c r="T130" s="93"/>
      <c r="U130" s="95"/>
      <c r="V130" s="53"/>
      <c r="W130" s="54"/>
      <c r="X130" s="97"/>
    </row>
    <row r="131" spans="2:24" s="62" customFormat="1" ht="36" customHeight="1">
      <c r="B131" s="53"/>
      <c r="C131" s="86"/>
      <c r="D131" s="53"/>
      <c r="E131" s="53"/>
      <c r="F131" s="54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93"/>
      <c r="R131" s="126"/>
      <c r="S131" s="93"/>
      <c r="T131" s="93"/>
      <c r="U131" s="95"/>
      <c r="V131" s="53"/>
      <c r="W131" s="54"/>
      <c r="X131" s="97"/>
    </row>
    <row r="132" spans="2:24" s="62" customFormat="1" ht="36" customHeight="1">
      <c r="B132" s="53"/>
      <c r="C132" s="86"/>
      <c r="D132" s="53"/>
      <c r="E132" s="53"/>
      <c r="F132" s="54"/>
      <c r="G132" s="53"/>
      <c r="H132" s="53"/>
      <c r="I132" s="53"/>
      <c r="J132" s="53"/>
      <c r="K132" s="12"/>
      <c r="L132" s="53"/>
      <c r="M132" s="53"/>
      <c r="N132" s="53"/>
      <c r="O132" s="53"/>
      <c r="P132" s="53"/>
      <c r="Q132" s="93"/>
      <c r="R132" s="126"/>
      <c r="S132" s="93"/>
      <c r="T132" s="93"/>
      <c r="U132" s="95"/>
      <c r="V132" s="53"/>
      <c r="W132" s="54"/>
      <c r="X132" s="97"/>
    </row>
    <row r="133" spans="2:24" s="62" customFormat="1" ht="36" customHeight="1">
      <c r="B133" s="53"/>
      <c r="C133" s="86"/>
      <c r="D133" s="53"/>
      <c r="E133" s="53"/>
      <c r="F133" s="54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93"/>
      <c r="R133" s="93"/>
      <c r="S133" s="93"/>
      <c r="T133" s="93"/>
      <c r="U133" s="95"/>
      <c r="V133" s="53"/>
      <c r="W133" s="53"/>
      <c r="X133" s="97"/>
    </row>
    <row r="134" spans="2:24" s="62" customFormat="1" ht="36" customHeight="1">
      <c r="B134" s="53"/>
      <c r="C134" s="86"/>
      <c r="D134" s="53"/>
      <c r="E134" s="53"/>
      <c r="F134" s="54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93"/>
      <c r="R134" s="126"/>
      <c r="S134" s="126"/>
      <c r="T134" s="93"/>
      <c r="U134" s="95"/>
      <c r="V134" s="53"/>
      <c r="W134" s="54"/>
      <c r="X134" s="97"/>
    </row>
    <row r="135" spans="2:24" s="62" customFormat="1" ht="36" customHeight="1">
      <c r="B135" s="53"/>
      <c r="C135" s="86"/>
      <c r="D135" s="53"/>
      <c r="E135" s="53"/>
      <c r="F135" s="54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93"/>
      <c r="R135" s="126"/>
      <c r="S135" s="93"/>
      <c r="T135" s="93"/>
      <c r="U135" s="95"/>
      <c r="V135" s="53"/>
      <c r="W135" s="54"/>
      <c r="X135" s="97"/>
    </row>
    <row r="136" spans="2:24" s="62" customFormat="1" ht="36" customHeight="1">
      <c r="B136" s="53"/>
      <c r="C136" s="86"/>
      <c r="D136" s="53"/>
      <c r="E136" s="53"/>
      <c r="F136" s="54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93"/>
      <c r="R136" s="126"/>
      <c r="S136" s="93"/>
      <c r="T136" s="93"/>
      <c r="U136" s="95"/>
      <c r="V136" s="53"/>
      <c r="W136" s="54"/>
      <c r="X136" s="97"/>
    </row>
    <row r="137" spans="2:24" s="62" customFormat="1" ht="36" customHeight="1">
      <c r="B137" s="53"/>
      <c r="C137" s="86"/>
      <c r="D137" s="53"/>
      <c r="E137" s="53"/>
      <c r="F137" s="54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93"/>
      <c r="R137" s="126"/>
      <c r="S137" s="93"/>
      <c r="T137" s="93"/>
      <c r="U137" s="95"/>
      <c r="V137" s="53"/>
      <c r="W137" s="54"/>
      <c r="X137" s="97"/>
    </row>
    <row r="138" spans="2:24" s="62" customFormat="1" ht="36" customHeight="1">
      <c r="B138" s="53"/>
      <c r="C138" s="86"/>
      <c r="D138" s="53"/>
      <c r="E138" s="53"/>
      <c r="F138" s="54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93"/>
      <c r="R138" s="126"/>
      <c r="S138" s="93"/>
      <c r="T138" s="93"/>
      <c r="U138" s="95"/>
      <c r="V138" s="53"/>
      <c r="W138" s="54"/>
      <c r="X138" s="97"/>
    </row>
    <row r="139" spans="2:24" s="62" customFormat="1" ht="36" customHeight="1">
      <c r="B139" s="53"/>
      <c r="C139" s="86"/>
      <c r="D139" s="88"/>
      <c r="E139" s="88"/>
      <c r="F139" s="54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93"/>
      <c r="R139" s="126"/>
      <c r="S139" s="93"/>
      <c r="T139" s="93"/>
      <c r="U139" s="95"/>
      <c r="V139" s="53"/>
      <c r="W139" s="54"/>
      <c r="X139" s="97"/>
    </row>
    <row r="140" spans="2:24" s="62" customFormat="1" ht="36" customHeight="1">
      <c r="B140" s="53"/>
      <c r="C140" s="86"/>
      <c r="D140" s="88"/>
      <c r="E140" s="88"/>
      <c r="F140" s="54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93"/>
      <c r="R140" s="126"/>
      <c r="S140" s="93"/>
      <c r="T140" s="93"/>
      <c r="U140" s="95"/>
      <c r="V140" s="53"/>
      <c r="W140" s="54"/>
      <c r="X140" s="97"/>
    </row>
    <row r="141" spans="2:24" s="62" customFormat="1" ht="36" customHeight="1">
      <c r="B141" s="53"/>
      <c r="C141" s="86"/>
      <c r="D141" s="88"/>
      <c r="E141" s="88"/>
      <c r="F141" s="54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93"/>
      <c r="R141" s="126"/>
      <c r="S141" s="93"/>
      <c r="T141" s="93"/>
      <c r="U141" s="95"/>
      <c r="V141" s="53"/>
      <c r="W141" s="54"/>
      <c r="X141" s="97"/>
    </row>
    <row r="142" spans="2:24" s="62" customFormat="1" ht="36" customHeight="1">
      <c r="B142" s="53"/>
      <c r="C142" s="86"/>
      <c r="D142" s="88"/>
      <c r="E142" s="88"/>
      <c r="F142" s="54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93"/>
      <c r="R142" s="126"/>
      <c r="S142" s="93"/>
      <c r="T142" s="93"/>
      <c r="U142" s="95"/>
      <c r="V142" s="53"/>
      <c r="W142" s="54"/>
      <c r="X142" s="97"/>
    </row>
    <row r="143" spans="2:24" s="62" customFormat="1" ht="36" customHeight="1">
      <c r="B143" s="53"/>
      <c r="C143" s="86"/>
      <c r="D143" s="88"/>
      <c r="E143" s="88"/>
      <c r="F143" s="54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93"/>
      <c r="R143" s="126"/>
      <c r="S143" s="93"/>
      <c r="T143" s="93"/>
      <c r="U143" s="95"/>
      <c r="V143" s="53"/>
      <c r="W143" s="54"/>
      <c r="X143" s="97"/>
    </row>
    <row r="144" spans="2:24" s="62" customFormat="1" ht="36" customHeight="1">
      <c r="B144" s="53"/>
      <c r="C144" s="86"/>
      <c r="D144" s="88"/>
      <c r="E144" s="88"/>
      <c r="F144" s="54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93"/>
      <c r="R144" s="126"/>
      <c r="S144" s="93"/>
      <c r="T144" s="93"/>
      <c r="U144" s="95"/>
      <c r="V144" s="53"/>
      <c r="W144" s="54"/>
      <c r="X144" s="97"/>
    </row>
    <row r="145" spans="2:24" s="62" customFormat="1" ht="36" customHeight="1">
      <c r="B145" s="53"/>
      <c r="C145" s="86"/>
      <c r="D145" s="53"/>
      <c r="E145" s="53"/>
      <c r="F145" s="54"/>
      <c r="G145" s="54"/>
      <c r="H145" s="54"/>
      <c r="I145" s="53"/>
      <c r="J145" s="53"/>
      <c r="K145" s="53"/>
      <c r="L145" s="53"/>
      <c r="M145" s="53"/>
      <c r="N145" s="53"/>
      <c r="O145" s="53"/>
      <c r="P145" s="53"/>
      <c r="Q145" s="93"/>
      <c r="R145" s="126"/>
      <c r="S145" s="93"/>
      <c r="T145" s="93"/>
      <c r="U145" s="95"/>
      <c r="V145" s="53"/>
      <c r="W145" s="54"/>
      <c r="X145" s="97"/>
    </row>
    <row r="146" spans="2:24" s="62" customFormat="1" ht="36" customHeight="1">
      <c r="B146" s="53"/>
      <c r="C146" s="86"/>
      <c r="D146" s="53"/>
      <c r="E146" s="53"/>
      <c r="F146" s="54"/>
      <c r="G146" s="54"/>
      <c r="H146" s="54"/>
      <c r="I146" s="53"/>
      <c r="J146" s="53"/>
      <c r="K146" s="53"/>
      <c r="L146" s="53"/>
      <c r="M146" s="53"/>
      <c r="N146" s="53"/>
      <c r="O146" s="53"/>
      <c r="P146" s="53"/>
      <c r="Q146" s="93"/>
      <c r="R146" s="126"/>
      <c r="S146" s="93"/>
      <c r="T146" s="93"/>
      <c r="U146" s="95"/>
      <c r="V146" s="53"/>
      <c r="W146" s="54"/>
      <c r="X146" s="97"/>
    </row>
    <row r="147" spans="2:24" s="62" customFormat="1" ht="36" customHeight="1">
      <c r="B147" s="53"/>
      <c r="C147" s="86"/>
      <c r="D147" s="53"/>
      <c r="E147" s="53"/>
      <c r="F147" s="54"/>
      <c r="G147" s="54"/>
      <c r="H147" s="54"/>
      <c r="I147" s="53"/>
      <c r="J147" s="53"/>
      <c r="K147" s="53"/>
      <c r="L147" s="53"/>
      <c r="M147" s="53"/>
      <c r="N147" s="53"/>
      <c r="O147" s="53"/>
      <c r="P147" s="53"/>
      <c r="Q147" s="93"/>
      <c r="R147" s="126"/>
      <c r="S147" s="93"/>
      <c r="T147" s="93"/>
      <c r="U147" s="95"/>
      <c r="V147" s="53"/>
      <c r="W147" s="54"/>
      <c r="X147" s="97"/>
    </row>
    <row r="148" spans="2:24" s="62" customFormat="1" ht="36" customHeight="1">
      <c r="B148" s="53"/>
      <c r="C148" s="86"/>
      <c r="D148" s="53"/>
      <c r="E148" s="53"/>
      <c r="F148" s="54"/>
      <c r="G148" s="54"/>
      <c r="H148" s="54"/>
      <c r="I148" s="53"/>
      <c r="J148" s="53"/>
      <c r="K148" s="53"/>
      <c r="L148" s="53"/>
      <c r="M148" s="53"/>
      <c r="N148" s="53"/>
      <c r="O148" s="53"/>
      <c r="P148" s="53"/>
      <c r="Q148" s="93"/>
      <c r="R148" s="126"/>
      <c r="S148" s="93"/>
      <c r="T148" s="93"/>
      <c r="U148" s="95"/>
      <c r="V148" s="53"/>
      <c r="W148" s="54"/>
      <c r="X148" s="97"/>
    </row>
    <row r="149" spans="2:24" s="62" customFormat="1" ht="36" customHeight="1">
      <c r="B149" s="53"/>
      <c r="C149" s="86"/>
      <c r="D149" s="53"/>
      <c r="E149" s="53"/>
      <c r="F149" s="54"/>
      <c r="G149" s="54"/>
      <c r="H149" s="54"/>
      <c r="I149" s="53"/>
      <c r="J149" s="53"/>
      <c r="K149" s="53"/>
      <c r="L149" s="53"/>
      <c r="M149" s="53"/>
      <c r="N149" s="53"/>
      <c r="O149" s="53"/>
      <c r="P149" s="53"/>
      <c r="Q149" s="93"/>
      <c r="R149" s="126"/>
      <c r="S149" s="93"/>
      <c r="T149" s="93"/>
      <c r="U149" s="95"/>
      <c r="V149" s="53"/>
      <c r="W149" s="54"/>
      <c r="X149" s="97"/>
    </row>
    <row r="150" spans="2:24" s="62" customFormat="1" ht="36" customHeight="1">
      <c r="B150" s="53"/>
      <c r="C150" s="86"/>
      <c r="D150" s="53"/>
      <c r="E150" s="53"/>
      <c r="F150" s="54"/>
      <c r="G150" s="54"/>
      <c r="H150" s="54"/>
      <c r="I150" s="53"/>
      <c r="J150" s="53"/>
      <c r="K150" s="53"/>
      <c r="L150" s="53"/>
      <c r="M150" s="53"/>
      <c r="N150" s="53"/>
      <c r="O150" s="53"/>
      <c r="P150" s="53"/>
      <c r="Q150" s="93"/>
      <c r="R150" s="126"/>
      <c r="S150" s="93"/>
      <c r="T150" s="93"/>
      <c r="U150" s="95"/>
      <c r="V150" s="53"/>
      <c r="W150" s="54"/>
      <c r="X150" s="97"/>
    </row>
    <row r="151" spans="2:24" s="62" customFormat="1" ht="36" customHeight="1">
      <c r="B151" s="53"/>
      <c r="C151" s="86"/>
      <c r="D151" s="53"/>
      <c r="E151" s="53"/>
      <c r="F151" s="54"/>
      <c r="G151" s="54"/>
      <c r="H151" s="54"/>
      <c r="I151" s="53"/>
      <c r="J151" s="53"/>
      <c r="K151" s="53"/>
      <c r="L151" s="53"/>
      <c r="M151" s="53"/>
      <c r="N151" s="53"/>
      <c r="O151" s="53"/>
      <c r="P151" s="53"/>
      <c r="Q151" s="93"/>
      <c r="R151" s="126"/>
      <c r="S151" s="93"/>
      <c r="T151" s="93"/>
      <c r="U151" s="95"/>
      <c r="V151" s="53"/>
      <c r="W151" s="54"/>
      <c r="X151" s="97"/>
    </row>
    <row r="152" spans="2:24" s="62" customFormat="1" ht="36" customHeight="1">
      <c r="B152" s="53"/>
      <c r="C152" s="86"/>
      <c r="D152" s="53"/>
      <c r="E152" s="53"/>
      <c r="F152" s="54"/>
      <c r="G152" s="54"/>
      <c r="H152" s="54"/>
      <c r="I152" s="53"/>
      <c r="J152" s="53"/>
      <c r="K152" s="53"/>
      <c r="L152" s="53"/>
      <c r="M152" s="53"/>
      <c r="N152" s="53"/>
      <c r="O152" s="53"/>
      <c r="P152" s="53"/>
      <c r="Q152" s="93"/>
      <c r="R152" s="126"/>
      <c r="S152" s="93"/>
      <c r="T152" s="93"/>
      <c r="U152" s="95"/>
      <c r="V152" s="53"/>
      <c r="W152" s="54"/>
      <c r="X152" s="97"/>
    </row>
    <row r="153" spans="2:24" s="62" customFormat="1" ht="36" customHeight="1">
      <c r="B153" s="53"/>
      <c r="C153" s="86"/>
      <c r="D153" s="53"/>
      <c r="E153" s="53"/>
      <c r="F153" s="54"/>
      <c r="G153" s="54"/>
      <c r="H153" s="54"/>
      <c r="I153" s="53"/>
      <c r="J153" s="53"/>
      <c r="K153" s="53"/>
      <c r="L153" s="53"/>
      <c r="M153" s="53"/>
      <c r="N153" s="53"/>
      <c r="O153" s="53"/>
      <c r="P153" s="53"/>
      <c r="Q153" s="93"/>
      <c r="R153" s="126"/>
      <c r="S153" s="93"/>
      <c r="T153" s="93"/>
      <c r="U153" s="95"/>
      <c r="V153" s="53"/>
      <c r="W153" s="54"/>
      <c r="X153" s="97"/>
    </row>
    <row r="154" spans="2:24" s="62" customFormat="1" ht="36" customHeight="1">
      <c r="B154" s="53"/>
      <c r="C154" s="86"/>
      <c r="D154" s="53"/>
      <c r="E154" s="53"/>
      <c r="F154" s="54"/>
      <c r="G154" s="54"/>
      <c r="H154" s="54"/>
      <c r="I154" s="53"/>
      <c r="J154" s="53"/>
      <c r="K154" s="53"/>
      <c r="L154" s="53"/>
      <c r="M154" s="53"/>
      <c r="N154" s="53"/>
      <c r="O154" s="53"/>
      <c r="P154" s="53"/>
      <c r="Q154" s="93"/>
      <c r="R154" s="126"/>
      <c r="S154" s="93"/>
      <c r="T154" s="93"/>
      <c r="U154" s="95"/>
      <c r="V154" s="53"/>
      <c r="W154" s="54"/>
      <c r="X154" s="97"/>
    </row>
    <row r="155" spans="2:24" s="62" customFormat="1" ht="36" customHeight="1">
      <c r="B155" s="53"/>
      <c r="C155" s="86"/>
      <c r="D155" s="53"/>
      <c r="E155" s="53"/>
      <c r="F155" s="54"/>
      <c r="G155" s="54"/>
      <c r="H155" s="54"/>
      <c r="I155" s="53"/>
      <c r="J155" s="53"/>
      <c r="K155" s="53"/>
      <c r="L155" s="53"/>
      <c r="M155" s="53"/>
      <c r="N155" s="53"/>
      <c r="O155" s="53"/>
      <c r="P155" s="53"/>
      <c r="Q155" s="93"/>
      <c r="R155" s="126"/>
      <c r="S155" s="93"/>
      <c r="T155" s="93"/>
      <c r="U155" s="95"/>
      <c r="V155" s="53"/>
      <c r="W155" s="54"/>
      <c r="X155" s="97"/>
    </row>
    <row r="156" spans="2:24" s="62" customFormat="1" ht="36" customHeight="1">
      <c r="B156" s="53"/>
      <c r="C156" s="86"/>
      <c r="D156" s="53"/>
      <c r="E156" s="53"/>
      <c r="F156" s="54"/>
      <c r="G156" s="54"/>
      <c r="H156" s="54"/>
      <c r="I156" s="53"/>
      <c r="J156" s="53"/>
      <c r="K156" s="53"/>
      <c r="L156" s="53"/>
      <c r="M156" s="53"/>
      <c r="N156" s="53"/>
      <c r="O156" s="53"/>
      <c r="P156" s="53"/>
      <c r="Q156" s="93"/>
      <c r="R156" s="126"/>
      <c r="S156" s="93"/>
      <c r="T156" s="93"/>
      <c r="U156" s="95"/>
      <c r="V156" s="53"/>
      <c r="W156" s="54"/>
      <c r="X156" s="97"/>
    </row>
    <row r="157" spans="2:24" s="62" customFormat="1" ht="36" customHeight="1">
      <c r="B157" s="53"/>
      <c r="C157" s="86"/>
      <c r="D157" s="53"/>
      <c r="E157" s="53"/>
      <c r="F157" s="54"/>
      <c r="G157" s="54"/>
      <c r="H157" s="54"/>
      <c r="I157" s="53"/>
      <c r="J157" s="53"/>
      <c r="K157" s="53"/>
      <c r="L157" s="53"/>
      <c r="M157" s="53"/>
      <c r="N157" s="53"/>
      <c r="O157" s="53"/>
      <c r="P157" s="53"/>
      <c r="Q157" s="93"/>
      <c r="R157" s="126"/>
      <c r="S157" s="93"/>
      <c r="T157" s="93"/>
      <c r="U157" s="95"/>
      <c r="V157" s="53"/>
      <c r="W157" s="54"/>
      <c r="X157" s="97"/>
    </row>
    <row r="158" spans="2:24" s="62" customFormat="1" ht="36" customHeight="1">
      <c r="B158" s="53"/>
      <c r="C158" s="86"/>
      <c r="D158" s="53"/>
      <c r="E158" s="53"/>
      <c r="F158" s="54"/>
      <c r="G158" s="54"/>
      <c r="H158" s="54"/>
      <c r="I158" s="53"/>
      <c r="J158" s="53"/>
      <c r="K158" s="53"/>
      <c r="L158" s="53"/>
      <c r="M158" s="53"/>
      <c r="N158" s="53"/>
      <c r="O158" s="53"/>
      <c r="P158" s="53"/>
      <c r="Q158" s="93"/>
      <c r="R158" s="126"/>
      <c r="S158" s="93"/>
      <c r="T158" s="93"/>
      <c r="U158" s="95"/>
      <c r="V158" s="53"/>
      <c r="W158" s="54"/>
      <c r="X158" s="97"/>
    </row>
    <row r="159" spans="2:24" s="62" customFormat="1" ht="36" customHeight="1">
      <c r="B159" s="53"/>
      <c r="C159" s="86"/>
      <c r="D159" s="53"/>
      <c r="E159" s="53"/>
      <c r="F159" s="54"/>
      <c r="G159" s="54"/>
      <c r="H159" s="54"/>
      <c r="I159" s="53"/>
      <c r="J159" s="53"/>
      <c r="K159" s="53"/>
      <c r="L159" s="53"/>
      <c r="M159" s="53"/>
      <c r="N159" s="53"/>
      <c r="O159" s="53"/>
      <c r="P159" s="53"/>
      <c r="Q159" s="93"/>
      <c r="R159" s="126"/>
      <c r="S159" s="93"/>
      <c r="T159" s="93"/>
      <c r="U159" s="95"/>
      <c r="V159" s="53"/>
      <c r="W159" s="54"/>
      <c r="X159" s="97"/>
    </row>
    <row r="160" spans="2:24" s="62" customFormat="1" ht="36" customHeight="1">
      <c r="B160" s="53"/>
      <c r="C160" s="86"/>
      <c r="D160" s="53"/>
      <c r="E160" s="53"/>
      <c r="F160" s="54"/>
      <c r="G160" s="54"/>
      <c r="H160" s="54"/>
      <c r="I160" s="53"/>
      <c r="J160" s="53"/>
      <c r="K160" s="53"/>
      <c r="L160" s="53"/>
      <c r="M160" s="53"/>
      <c r="N160" s="53"/>
      <c r="O160" s="53"/>
      <c r="P160" s="53"/>
      <c r="Q160" s="93"/>
      <c r="R160" s="126"/>
      <c r="S160" s="93"/>
      <c r="T160" s="93"/>
      <c r="U160" s="95"/>
      <c r="V160" s="53"/>
      <c r="W160" s="54"/>
      <c r="X160" s="97"/>
    </row>
    <row r="161" spans="2:24" s="62" customFormat="1" ht="36" customHeight="1">
      <c r="B161" s="53"/>
      <c r="C161" s="86"/>
      <c r="D161" s="53"/>
      <c r="E161" s="53"/>
      <c r="F161" s="54"/>
      <c r="G161" s="54"/>
      <c r="H161" s="54"/>
      <c r="I161" s="53"/>
      <c r="J161" s="53"/>
      <c r="K161" s="53"/>
      <c r="L161" s="53"/>
      <c r="M161" s="53"/>
      <c r="N161" s="53"/>
      <c r="O161" s="53"/>
      <c r="P161" s="53"/>
      <c r="Q161" s="93"/>
      <c r="R161" s="126"/>
      <c r="S161" s="93"/>
      <c r="T161" s="93"/>
      <c r="U161" s="95"/>
      <c r="V161" s="53"/>
      <c r="W161" s="54"/>
      <c r="X161" s="97"/>
    </row>
    <row r="162" spans="2:24" s="62" customFormat="1" ht="36" customHeight="1">
      <c r="B162" s="53"/>
      <c r="C162" s="86"/>
      <c r="D162" s="53"/>
      <c r="E162" s="53"/>
      <c r="F162" s="54"/>
      <c r="G162" s="54"/>
      <c r="H162" s="54"/>
      <c r="I162" s="53"/>
      <c r="J162" s="53"/>
      <c r="K162" s="53"/>
      <c r="L162" s="53"/>
      <c r="M162" s="53"/>
      <c r="N162" s="53"/>
      <c r="O162" s="53"/>
      <c r="P162" s="53"/>
      <c r="Q162" s="93"/>
      <c r="R162" s="126"/>
      <c r="S162" s="93"/>
      <c r="T162" s="93"/>
      <c r="U162" s="95"/>
      <c r="V162" s="53"/>
      <c r="W162" s="54"/>
      <c r="X162" s="97"/>
    </row>
    <row r="163" spans="2:24" s="62" customFormat="1" ht="36" customHeight="1">
      <c r="B163" s="53"/>
      <c r="C163" s="86"/>
      <c r="D163" s="53"/>
      <c r="E163" s="53"/>
      <c r="F163" s="54"/>
      <c r="G163" s="54"/>
      <c r="H163" s="54"/>
      <c r="I163" s="53"/>
      <c r="J163" s="53"/>
      <c r="K163" s="53"/>
      <c r="L163" s="53"/>
      <c r="M163" s="53"/>
      <c r="N163" s="53"/>
      <c r="O163" s="53"/>
      <c r="P163" s="53"/>
      <c r="Q163" s="93"/>
      <c r="R163" s="126"/>
      <c r="S163" s="93"/>
      <c r="T163" s="93"/>
      <c r="U163" s="95"/>
      <c r="V163" s="53"/>
      <c r="W163" s="126"/>
      <c r="X163" s="97"/>
    </row>
    <row r="164" spans="2:24" s="62" customFormat="1" ht="36" customHeight="1">
      <c r="B164" s="53"/>
      <c r="C164" s="86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93"/>
      <c r="R164" s="93"/>
      <c r="S164" s="93"/>
      <c r="T164" s="93"/>
      <c r="U164" s="95"/>
      <c r="V164" s="53"/>
      <c r="W164" s="53"/>
      <c r="X164" s="97"/>
    </row>
    <row r="165" spans="2:24" s="62" customFormat="1" ht="36" customHeight="1">
      <c r="B165" s="53"/>
      <c r="C165" s="86"/>
      <c r="D165" s="53"/>
      <c r="E165" s="53"/>
      <c r="F165" s="54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93"/>
      <c r="R165" s="126"/>
      <c r="S165" s="93"/>
      <c r="T165" s="93"/>
      <c r="U165" s="95"/>
      <c r="V165" s="53"/>
      <c r="W165" s="54"/>
      <c r="X165" s="97"/>
    </row>
    <row r="166" spans="2:24" s="62" customFormat="1" ht="36" customHeight="1">
      <c r="B166" s="53"/>
      <c r="C166" s="86"/>
      <c r="D166" s="84"/>
      <c r="E166" s="84"/>
      <c r="F166" s="54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93"/>
      <c r="R166" s="126"/>
      <c r="S166" s="93"/>
      <c r="T166" s="93"/>
      <c r="U166" s="95"/>
      <c r="V166" s="53"/>
      <c r="W166" s="54"/>
      <c r="X166" s="97"/>
    </row>
    <row r="167" spans="2:24" s="62" customFormat="1" ht="36" customHeight="1">
      <c r="B167" s="53"/>
      <c r="C167" s="86"/>
      <c r="D167" s="84"/>
      <c r="E167" s="84"/>
      <c r="F167" s="54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93"/>
      <c r="R167" s="126"/>
      <c r="S167" s="93"/>
      <c r="T167" s="93"/>
      <c r="U167" s="95"/>
      <c r="V167" s="53"/>
      <c r="W167" s="54"/>
      <c r="X167" s="97"/>
    </row>
    <row r="168" spans="2:24" s="62" customFormat="1" ht="36" customHeight="1">
      <c r="B168" s="84"/>
      <c r="C168" s="84"/>
      <c r="D168" s="84"/>
      <c r="E168" s="8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131"/>
      <c r="W168" s="131"/>
      <c r="X168" s="131"/>
    </row>
    <row r="169" spans="2:24" s="62" customFormat="1" ht="36" customHeight="1">
      <c r="B169" s="84"/>
      <c r="C169" s="84"/>
      <c r="D169" s="84"/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131"/>
      <c r="W169" s="131"/>
      <c r="X169" s="131"/>
    </row>
    <row r="170" spans="2:24" s="62" customFormat="1" ht="36" customHeight="1">
      <c r="B170" s="84"/>
      <c r="C170" s="84"/>
      <c r="D170" s="84"/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131"/>
      <c r="W170" s="131"/>
      <c r="X170" s="131"/>
    </row>
    <row r="171" spans="2:24" s="62" customFormat="1" ht="36" customHeight="1">
      <c r="B171" s="84"/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131"/>
      <c r="W171" s="131"/>
      <c r="X171" s="131"/>
    </row>
    <row r="172" spans="2:24" s="62" customFormat="1" ht="36" customHeight="1">
      <c r="B172" s="84"/>
      <c r="C172" s="84"/>
      <c r="D172" s="84"/>
      <c r="E172" s="84"/>
      <c r="F172" s="84"/>
      <c r="V172" s="63"/>
      <c r="W172" s="63"/>
      <c r="X172" s="63"/>
    </row>
    <row r="173" spans="2:24" s="62" customFormat="1" ht="36" customHeight="1">
      <c r="B173" s="84"/>
      <c r="C173" s="84"/>
      <c r="D173" s="84"/>
      <c r="E173" s="84"/>
      <c r="F173" s="84"/>
      <c r="V173" s="63"/>
      <c r="W173" s="63"/>
      <c r="X173" s="63"/>
    </row>
    <row r="174" spans="2:24" s="62" customFormat="1" ht="36" customHeight="1">
      <c r="B174" s="84"/>
      <c r="C174" s="84"/>
      <c r="D174" s="84"/>
      <c r="E174" s="84"/>
      <c r="F174" s="84"/>
      <c r="V174" s="63"/>
      <c r="W174" s="63"/>
      <c r="X174" s="63"/>
    </row>
    <row r="175" spans="2:24" s="62" customFormat="1" ht="36" customHeight="1">
      <c r="B175" s="84"/>
      <c r="C175" s="84"/>
      <c r="D175" s="84"/>
      <c r="E175" s="84"/>
      <c r="F175" s="84"/>
      <c r="V175" s="63"/>
      <c r="W175" s="63"/>
      <c r="X175" s="63"/>
    </row>
    <row r="176" spans="2:24" s="62" customFormat="1" ht="36" customHeight="1">
      <c r="B176" s="84"/>
      <c r="C176" s="84"/>
      <c r="D176" s="84"/>
      <c r="E176" s="84"/>
      <c r="F176" s="84"/>
      <c r="V176" s="63"/>
      <c r="W176" s="63"/>
      <c r="X176" s="63"/>
    </row>
    <row r="177" spans="2:24" s="62" customFormat="1" ht="36" customHeight="1">
      <c r="B177" s="84"/>
      <c r="C177" s="84"/>
      <c r="D177" s="84"/>
      <c r="E177" s="84"/>
      <c r="F177" s="84"/>
      <c r="V177" s="63"/>
      <c r="W177" s="63"/>
      <c r="X177" s="63"/>
    </row>
    <row r="178" spans="2:24" s="62" customFormat="1" ht="36" customHeight="1">
      <c r="B178" s="84"/>
      <c r="C178" s="84"/>
      <c r="D178" s="84"/>
      <c r="E178" s="84"/>
      <c r="F178" s="84"/>
      <c r="V178" s="63"/>
      <c r="W178" s="63"/>
      <c r="X178" s="63"/>
    </row>
    <row r="179" spans="2:24" s="62" customFormat="1" ht="36" customHeight="1">
      <c r="B179" s="84"/>
      <c r="C179" s="84"/>
      <c r="D179" s="84"/>
      <c r="E179" s="84"/>
      <c r="F179" s="84"/>
      <c r="V179" s="63"/>
      <c r="W179" s="63"/>
      <c r="X179" s="63"/>
    </row>
    <row r="180" spans="2:24" s="62" customFormat="1" ht="36" customHeight="1">
      <c r="B180" s="84"/>
      <c r="C180" s="84"/>
      <c r="D180" s="84"/>
      <c r="E180" s="84"/>
      <c r="F180" s="84"/>
      <c r="V180" s="63"/>
      <c r="W180" s="63"/>
      <c r="X180" s="63"/>
    </row>
    <row r="181" spans="2:24" s="62" customFormat="1" ht="36" customHeight="1">
      <c r="B181" s="84"/>
      <c r="C181" s="84"/>
      <c r="D181" s="84"/>
      <c r="E181" s="84"/>
      <c r="F181" s="84"/>
      <c r="V181" s="63"/>
      <c r="W181" s="63"/>
      <c r="X181" s="63"/>
    </row>
    <row r="182" spans="2:24" s="62" customFormat="1" ht="36" customHeight="1">
      <c r="B182" s="84"/>
      <c r="C182" s="84"/>
      <c r="D182" s="84"/>
      <c r="E182" s="84"/>
      <c r="F182" s="84"/>
      <c r="V182" s="63"/>
      <c r="W182" s="63"/>
      <c r="X182" s="63"/>
    </row>
    <row r="183" spans="2:24" s="62" customFormat="1" ht="36" customHeight="1">
      <c r="B183" s="84"/>
      <c r="C183" s="84"/>
      <c r="D183" s="84"/>
      <c r="E183" s="84"/>
      <c r="F183" s="84"/>
      <c r="V183" s="63"/>
      <c r="W183" s="63"/>
      <c r="X183" s="63"/>
    </row>
    <row r="184" spans="2:24" s="62" customFormat="1" ht="36" customHeight="1">
      <c r="B184" s="84"/>
      <c r="C184" s="84"/>
      <c r="D184" s="84"/>
      <c r="E184" s="84"/>
      <c r="F184" s="84"/>
      <c r="V184" s="63"/>
      <c r="W184" s="63"/>
      <c r="X184" s="63"/>
    </row>
    <row r="185" spans="2:24" s="62" customFormat="1" ht="36" customHeight="1">
      <c r="B185" s="84"/>
      <c r="C185" s="84"/>
      <c r="D185" s="84"/>
      <c r="E185" s="84"/>
      <c r="F185" s="84"/>
      <c r="V185" s="63"/>
      <c r="W185" s="63"/>
      <c r="X185" s="63"/>
    </row>
    <row r="186" spans="2:24" s="62" customFormat="1" ht="36" customHeight="1">
      <c r="B186" s="84"/>
      <c r="C186" s="84"/>
      <c r="D186" s="84"/>
      <c r="E186" s="84"/>
      <c r="F186" s="84"/>
      <c r="V186" s="63"/>
      <c r="W186" s="63"/>
      <c r="X186" s="63"/>
    </row>
    <row r="187" spans="2:24" s="62" customFormat="1" ht="36" customHeight="1">
      <c r="B187" s="84"/>
      <c r="C187" s="84"/>
      <c r="D187" s="84"/>
      <c r="E187" s="84"/>
      <c r="F187" s="84"/>
      <c r="V187" s="63"/>
      <c r="W187" s="63"/>
      <c r="X187" s="63"/>
    </row>
    <row r="188" spans="2:24" s="62" customFormat="1" ht="36" customHeight="1">
      <c r="B188" s="84"/>
      <c r="C188" s="84"/>
      <c r="D188" s="84"/>
      <c r="E188" s="84"/>
      <c r="F188" s="84"/>
      <c r="V188" s="63"/>
      <c r="W188" s="63"/>
      <c r="X188" s="63"/>
    </row>
    <row r="189" spans="2:24" s="62" customFormat="1" ht="36" customHeight="1">
      <c r="B189" s="84"/>
      <c r="C189" s="84"/>
      <c r="D189" s="84"/>
      <c r="E189" s="84"/>
      <c r="F189" s="84"/>
      <c r="V189" s="63"/>
      <c r="W189" s="63"/>
      <c r="X189" s="63"/>
    </row>
    <row r="190" spans="2:24" s="62" customFormat="1" ht="36" customHeight="1">
      <c r="B190" s="84"/>
      <c r="C190" s="84"/>
      <c r="D190" s="84"/>
      <c r="E190" s="84"/>
      <c r="F190" s="84"/>
      <c r="V190" s="63"/>
      <c r="W190" s="63"/>
      <c r="X190" s="63"/>
    </row>
    <row r="191" spans="2:24" s="62" customFormat="1" ht="36" customHeight="1">
      <c r="B191" s="84"/>
      <c r="C191" s="84"/>
      <c r="D191" s="84"/>
      <c r="E191" s="84"/>
      <c r="F191" s="84"/>
      <c r="V191" s="63"/>
      <c r="W191" s="63"/>
      <c r="X191" s="63"/>
    </row>
    <row r="192" spans="2:24" s="62" customFormat="1" ht="36" customHeight="1">
      <c r="B192" s="84"/>
      <c r="C192" s="84"/>
      <c r="D192" s="84"/>
      <c r="E192" s="84"/>
      <c r="F192" s="84"/>
      <c r="V192" s="63"/>
      <c r="W192" s="63"/>
      <c r="X192" s="63"/>
    </row>
    <row r="193" spans="2:24" s="62" customFormat="1" ht="36" customHeight="1">
      <c r="B193" s="84"/>
      <c r="C193" s="84"/>
      <c r="D193" s="84"/>
      <c r="E193" s="84"/>
      <c r="F193" s="84"/>
      <c r="V193" s="63"/>
      <c r="W193" s="63"/>
      <c r="X193" s="63"/>
    </row>
    <row r="194" spans="2:24" s="62" customFormat="1" ht="36" customHeight="1">
      <c r="B194" s="84"/>
      <c r="C194" s="84"/>
      <c r="D194" s="84"/>
      <c r="E194" s="84"/>
      <c r="F194" s="84"/>
      <c r="V194" s="63"/>
      <c r="W194" s="63"/>
      <c r="X194" s="63"/>
    </row>
    <row r="195" spans="2:24" s="62" customFormat="1" ht="36" customHeight="1">
      <c r="B195" s="84"/>
      <c r="C195" s="84"/>
      <c r="D195" s="84"/>
      <c r="E195" s="84"/>
      <c r="F195" s="84"/>
      <c r="V195" s="63"/>
      <c r="W195" s="63"/>
      <c r="X195" s="63"/>
    </row>
    <row r="196" spans="2:24" s="62" customFormat="1" ht="36" customHeight="1">
      <c r="B196" s="84"/>
      <c r="C196" s="84"/>
      <c r="D196" s="84"/>
      <c r="E196" s="84"/>
      <c r="F196" s="84"/>
      <c r="V196" s="63"/>
      <c r="W196" s="63"/>
      <c r="X196" s="63"/>
    </row>
    <row r="197" spans="2:24" s="62" customFormat="1" ht="36" customHeight="1">
      <c r="B197" s="84"/>
      <c r="C197" s="84"/>
      <c r="D197" s="84"/>
      <c r="E197" s="84"/>
      <c r="F197" s="84"/>
      <c r="V197" s="63"/>
      <c r="W197" s="63"/>
      <c r="X197" s="63"/>
    </row>
    <row r="198" spans="2:24" s="62" customFormat="1" ht="36" customHeight="1">
      <c r="B198" s="84"/>
      <c r="C198" s="84"/>
      <c r="D198" s="84"/>
      <c r="E198" s="84"/>
      <c r="F198" s="84"/>
      <c r="V198" s="63"/>
      <c r="W198" s="63"/>
      <c r="X198" s="63"/>
    </row>
    <row r="199" spans="2:24" s="62" customFormat="1" ht="36" customHeight="1">
      <c r="B199" s="84"/>
      <c r="C199" s="84"/>
      <c r="D199" s="84"/>
      <c r="E199" s="84"/>
      <c r="F199" s="84"/>
      <c r="V199" s="63"/>
      <c r="W199" s="63"/>
      <c r="X199" s="63"/>
    </row>
    <row r="200" spans="2:24" s="62" customFormat="1" ht="36" customHeight="1">
      <c r="B200" s="84"/>
      <c r="C200" s="84"/>
      <c r="D200" s="84"/>
      <c r="E200" s="84"/>
      <c r="F200" s="84"/>
      <c r="V200" s="63"/>
      <c r="W200" s="63"/>
      <c r="X200" s="63"/>
    </row>
    <row r="201" spans="2:24" s="62" customFormat="1" ht="36" customHeight="1">
      <c r="B201" s="84"/>
      <c r="C201" s="84"/>
      <c r="D201" s="84"/>
      <c r="E201" s="84"/>
      <c r="F201" s="84"/>
      <c r="V201" s="63"/>
      <c r="W201" s="63"/>
      <c r="X201" s="63"/>
    </row>
    <row r="202" spans="2:24" s="62" customFormat="1" ht="36" customHeight="1">
      <c r="B202" s="84"/>
      <c r="C202" s="84"/>
      <c r="D202" s="84"/>
      <c r="E202" s="84"/>
      <c r="F202" s="84"/>
      <c r="V202" s="63"/>
      <c r="W202" s="63"/>
      <c r="X202" s="63"/>
    </row>
    <row r="203" spans="2:24" s="62" customFormat="1" ht="36" customHeight="1">
      <c r="B203" s="84"/>
      <c r="C203" s="84"/>
      <c r="D203" s="84"/>
      <c r="E203" s="84"/>
      <c r="F203" s="84"/>
      <c r="V203" s="63"/>
      <c r="W203" s="63"/>
      <c r="X203" s="63"/>
    </row>
    <row r="204" spans="2:24" s="62" customFormat="1" ht="36" customHeight="1">
      <c r="B204" s="84"/>
      <c r="C204" s="84"/>
      <c r="D204" s="84"/>
      <c r="E204" s="84"/>
      <c r="F204" s="84"/>
      <c r="V204" s="63"/>
      <c r="W204" s="63"/>
      <c r="X204" s="63"/>
    </row>
    <row r="205" spans="2:24" s="62" customFormat="1" ht="36" customHeight="1">
      <c r="B205" s="84"/>
      <c r="C205" s="84"/>
      <c r="D205" s="84"/>
      <c r="E205" s="84"/>
      <c r="F205" s="84"/>
      <c r="V205" s="63"/>
      <c r="W205" s="63"/>
      <c r="X205" s="63"/>
    </row>
    <row r="206" spans="2:24" s="62" customFormat="1" ht="36" customHeight="1">
      <c r="B206" s="84"/>
      <c r="C206" s="84"/>
      <c r="D206" s="84"/>
      <c r="E206" s="84"/>
      <c r="F206" s="84"/>
      <c r="V206" s="63"/>
      <c r="W206" s="63"/>
      <c r="X206" s="63"/>
    </row>
    <row r="207" spans="2:24" s="62" customFormat="1" ht="36" customHeight="1">
      <c r="B207" s="84"/>
      <c r="C207" s="84"/>
      <c r="D207" s="84"/>
      <c r="E207" s="84"/>
      <c r="F207" s="84"/>
      <c r="V207" s="63"/>
      <c r="W207" s="63"/>
      <c r="X207" s="63"/>
    </row>
    <row r="208" spans="2:24" s="62" customFormat="1" ht="36" customHeight="1">
      <c r="B208" s="84"/>
      <c r="C208" s="84"/>
      <c r="D208" s="84"/>
      <c r="E208" s="84"/>
      <c r="F208" s="84"/>
      <c r="V208" s="63"/>
      <c r="W208" s="63"/>
      <c r="X208" s="63"/>
    </row>
    <row r="209" spans="2:24" s="62" customFormat="1" ht="36" customHeight="1">
      <c r="B209" s="84"/>
      <c r="C209" s="84"/>
      <c r="D209" s="84"/>
      <c r="E209" s="84"/>
      <c r="F209" s="84"/>
      <c r="V209" s="63"/>
      <c r="W209" s="63"/>
      <c r="X209" s="63"/>
    </row>
    <row r="210" spans="2:24" s="62" customFormat="1" ht="36" customHeight="1">
      <c r="B210" s="84"/>
      <c r="C210" s="84"/>
      <c r="D210" s="84"/>
      <c r="E210" s="84"/>
      <c r="F210" s="84"/>
      <c r="V210" s="63"/>
      <c r="W210" s="63"/>
      <c r="X210" s="63"/>
    </row>
    <row r="211" spans="2:24" s="62" customFormat="1" ht="36" customHeight="1">
      <c r="B211" s="84"/>
      <c r="C211" s="84"/>
      <c r="D211" s="84"/>
      <c r="E211" s="84"/>
      <c r="F211" s="84"/>
      <c r="V211" s="63"/>
      <c r="W211" s="63"/>
      <c r="X211" s="63"/>
    </row>
    <row r="212" spans="2:24" s="62" customFormat="1" ht="36" customHeight="1">
      <c r="B212" s="84"/>
      <c r="C212" s="84"/>
      <c r="D212" s="84"/>
      <c r="E212" s="84"/>
      <c r="F212" s="84"/>
      <c r="V212" s="63"/>
      <c r="W212" s="63"/>
      <c r="X212" s="63"/>
    </row>
    <row r="213" spans="2:24" s="62" customFormat="1" ht="36" customHeight="1">
      <c r="B213" s="84"/>
      <c r="C213" s="84"/>
      <c r="D213" s="84"/>
      <c r="E213" s="84"/>
      <c r="F213" s="84"/>
      <c r="V213" s="63"/>
      <c r="W213" s="63"/>
      <c r="X213" s="63"/>
    </row>
    <row r="214" spans="2:24" s="62" customFormat="1" ht="36" customHeight="1">
      <c r="B214" s="84"/>
      <c r="C214" s="84"/>
      <c r="D214" s="84"/>
      <c r="E214" s="84"/>
      <c r="F214" s="84"/>
      <c r="V214" s="63"/>
      <c r="W214" s="63"/>
      <c r="X214" s="63"/>
    </row>
    <row r="215" spans="2:24" s="62" customFormat="1" ht="36" customHeight="1">
      <c r="B215" s="84"/>
      <c r="C215" s="84"/>
      <c r="D215" s="84"/>
      <c r="E215" s="84"/>
      <c r="F215" s="84"/>
      <c r="V215" s="63"/>
      <c r="W215" s="63"/>
      <c r="X215" s="63"/>
    </row>
    <row r="216" spans="2:24" s="62" customFormat="1" ht="36" customHeight="1">
      <c r="B216" s="84"/>
      <c r="C216" s="84"/>
      <c r="D216" s="84"/>
      <c r="E216" s="84"/>
      <c r="F216" s="84"/>
      <c r="V216" s="63"/>
      <c r="W216" s="63"/>
      <c r="X216" s="63"/>
    </row>
    <row r="217" spans="2:24" s="62" customFormat="1" ht="36" customHeight="1">
      <c r="B217" s="84"/>
      <c r="C217" s="84"/>
      <c r="D217" s="84"/>
      <c r="E217" s="84"/>
      <c r="F217" s="84"/>
      <c r="V217" s="63"/>
      <c r="W217" s="63"/>
      <c r="X217" s="63"/>
    </row>
    <row r="218" spans="2:24" s="62" customFormat="1" ht="36" customHeight="1">
      <c r="B218" s="84"/>
      <c r="C218" s="84"/>
      <c r="D218" s="84"/>
      <c r="E218" s="84"/>
      <c r="F218" s="84"/>
      <c r="V218" s="63"/>
      <c r="W218" s="63"/>
      <c r="X218" s="63"/>
    </row>
    <row r="219" spans="2:24" s="62" customFormat="1" ht="36" customHeight="1">
      <c r="B219" s="84"/>
      <c r="C219" s="84"/>
      <c r="D219" s="84"/>
      <c r="E219" s="84"/>
      <c r="F219" s="84"/>
      <c r="V219" s="63"/>
      <c r="W219" s="63"/>
      <c r="X219" s="63"/>
    </row>
    <row r="220" spans="2:24" s="62" customFormat="1" ht="36" customHeight="1">
      <c r="B220" s="84"/>
      <c r="C220" s="84"/>
      <c r="D220" s="84"/>
      <c r="E220" s="84"/>
      <c r="F220" s="84"/>
      <c r="V220" s="63"/>
      <c r="W220" s="63"/>
      <c r="X220" s="63"/>
    </row>
    <row r="221" spans="2:24" s="62" customFormat="1" ht="36" customHeight="1">
      <c r="B221" s="84"/>
      <c r="C221" s="84"/>
      <c r="D221" s="84"/>
      <c r="E221" s="84"/>
      <c r="F221" s="84"/>
      <c r="V221" s="63"/>
      <c r="W221" s="63"/>
      <c r="X221" s="63"/>
    </row>
    <row r="222" spans="2:24" s="62" customFormat="1" ht="36" customHeight="1">
      <c r="B222" s="89"/>
      <c r="C222" s="89"/>
      <c r="D222" s="89"/>
      <c r="E222" s="89"/>
      <c r="F222" s="89"/>
      <c r="V222" s="63"/>
      <c r="W222" s="63"/>
      <c r="X222" s="63"/>
    </row>
    <row r="223" spans="2:24" s="62" customFormat="1" ht="36" customHeight="1">
      <c r="B223" s="89"/>
      <c r="C223" s="89"/>
      <c r="D223" s="89"/>
      <c r="E223" s="89"/>
      <c r="F223" s="89"/>
      <c r="V223" s="63"/>
      <c r="W223" s="63"/>
      <c r="X223" s="63"/>
    </row>
    <row r="224" spans="2:24" s="62" customFormat="1" ht="36" customHeight="1">
      <c r="B224" s="89"/>
      <c r="C224" s="89"/>
      <c r="D224" s="89"/>
      <c r="E224" s="89"/>
      <c r="F224" s="89"/>
      <c r="V224" s="63"/>
      <c r="W224" s="63"/>
      <c r="X224" s="63"/>
    </row>
    <row r="225" spans="2:24" s="62" customFormat="1" ht="36" customHeight="1">
      <c r="B225" s="89"/>
      <c r="C225" s="89"/>
      <c r="D225" s="89"/>
      <c r="E225" s="89"/>
      <c r="F225" s="89"/>
      <c r="V225" s="63"/>
      <c r="W225" s="63"/>
      <c r="X225" s="63"/>
    </row>
    <row r="226" spans="2:24" s="62" customFormat="1" ht="36" customHeight="1">
      <c r="B226" s="89"/>
      <c r="C226" s="89"/>
      <c r="D226" s="89"/>
      <c r="E226" s="89"/>
      <c r="F226" s="89"/>
      <c r="V226" s="63"/>
      <c r="W226" s="63"/>
      <c r="X226" s="63"/>
    </row>
    <row r="227" spans="2:24" s="62" customFormat="1" ht="36" customHeight="1">
      <c r="B227" s="89"/>
      <c r="C227" s="89"/>
      <c r="D227" s="89"/>
      <c r="E227" s="89"/>
      <c r="F227" s="89"/>
      <c r="V227" s="63"/>
      <c r="W227" s="63"/>
      <c r="X227" s="63"/>
    </row>
    <row r="228" spans="2:24" s="62" customFormat="1" ht="36" customHeight="1">
      <c r="B228" s="89"/>
      <c r="C228" s="89"/>
      <c r="D228" s="89"/>
      <c r="E228" s="89"/>
      <c r="F228" s="89"/>
      <c r="V228" s="63"/>
      <c r="W228" s="63"/>
      <c r="X228" s="63"/>
    </row>
    <row r="229" spans="2:24" s="62" customFormat="1" ht="36" customHeight="1">
      <c r="B229" s="89"/>
      <c r="C229" s="89"/>
      <c r="D229" s="89"/>
      <c r="E229" s="89"/>
      <c r="F229" s="89"/>
      <c r="V229" s="63"/>
      <c r="W229" s="63"/>
      <c r="X229" s="63"/>
    </row>
    <row r="230" spans="2:24" s="62" customFormat="1" ht="36" customHeight="1">
      <c r="B230" s="89"/>
      <c r="C230" s="89"/>
      <c r="D230" s="89"/>
      <c r="E230" s="89"/>
      <c r="F230" s="89"/>
      <c r="V230" s="63"/>
      <c r="W230" s="63"/>
      <c r="X230" s="63"/>
    </row>
    <row r="231" spans="2:24" s="62" customFormat="1" ht="36" customHeight="1">
      <c r="B231" s="89"/>
      <c r="C231" s="89"/>
      <c r="D231" s="89"/>
      <c r="E231" s="89"/>
      <c r="F231" s="89"/>
      <c r="V231" s="63"/>
      <c r="W231" s="63"/>
      <c r="X231" s="63"/>
    </row>
    <row r="232" spans="2:24" s="62" customFormat="1" ht="36" customHeight="1">
      <c r="B232" s="89"/>
      <c r="C232" s="89"/>
      <c r="D232" s="89"/>
      <c r="E232" s="89"/>
      <c r="F232" s="89"/>
      <c r="V232" s="63"/>
      <c r="W232" s="63"/>
      <c r="X232" s="63"/>
    </row>
    <row r="233" spans="2:24" s="62" customFormat="1" ht="36" customHeight="1">
      <c r="B233" s="89"/>
      <c r="C233" s="89"/>
      <c r="D233" s="89"/>
      <c r="E233" s="89"/>
      <c r="F233" s="89"/>
      <c r="V233" s="63"/>
      <c r="W233" s="63"/>
      <c r="X233" s="63"/>
    </row>
    <row r="234" spans="2:24" s="62" customFormat="1" ht="36" customHeight="1">
      <c r="B234" s="89"/>
      <c r="C234" s="89"/>
      <c r="D234" s="89"/>
      <c r="E234" s="89"/>
      <c r="F234" s="89"/>
      <c r="V234" s="63"/>
      <c r="W234" s="63"/>
      <c r="X234" s="63"/>
    </row>
    <row r="235" spans="2:24" s="62" customFormat="1" ht="36" customHeight="1">
      <c r="B235" s="89"/>
      <c r="C235" s="89"/>
      <c r="D235" s="89"/>
      <c r="E235" s="89"/>
      <c r="F235" s="89"/>
      <c r="V235" s="63"/>
      <c r="W235" s="63"/>
      <c r="X235" s="63"/>
    </row>
    <row r="236" spans="2:24" s="62" customFormat="1" ht="36" customHeight="1">
      <c r="B236" s="89"/>
      <c r="C236" s="89"/>
      <c r="D236" s="89"/>
      <c r="E236" s="89"/>
      <c r="F236" s="89"/>
      <c r="V236" s="63"/>
      <c r="W236" s="63"/>
      <c r="X236" s="63"/>
    </row>
    <row r="237" spans="2:24" s="62" customFormat="1" ht="36" customHeight="1">
      <c r="B237" s="89"/>
      <c r="C237" s="89"/>
      <c r="D237" s="89"/>
      <c r="E237" s="89"/>
      <c r="F237" s="89"/>
      <c r="V237" s="63"/>
      <c r="W237" s="63"/>
      <c r="X237" s="63"/>
    </row>
    <row r="238" spans="2:24" s="62" customFormat="1" ht="36" customHeight="1">
      <c r="B238" s="89"/>
      <c r="C238" s="89"/>
      <c r="D238" s="89"/>
      <c r="E238" s="89"/>
      <c r="F238" s="89"/>
      <c r="V238" s="63"/>
      <c r="W238" s="63"/>
      <c r="X238" s="63"/>
    </row>
    <row r="239" spans="2:24" s="62" customFormat="1" ht="36" customHeight="1">
      <c r="B239" s="89"/>
      <c r="C239" s="89"/>
      <c r="D239" s="89"/>
      <c r="E239" s="89"/>
      <c r="F239" s="89"/>
      <c r="V239" s="63"/>
      <c r="W239" s="63"/>
      <c r="X239" s="63"/>
    </row>
    <row r="240" spans="2:24" s="62" customFormat="1" ht="36" customHeight="1">
      <c r="B240" s="89"/>
      <c r="C240" s="89"/>
      <c r="D240" s="89"/>
      <c r="E240" s="89"/>
      <c r="F240" s="89"/>
      <c r="V240" s="63"/>
      <c r="W240" s="63"/>
      <c r="X240" s="63"/>
    </row>
    <row r="241" spans="2:24" s="62" customFormat="1" ht="36" customHeight="1">
      <c r="B241" s="89"/>
      <c r="C241" s="89"/>
      <c r="D241" s="89"/>
      <c r="E241" s="89"/>
      <c r="F241" s="89"/>
      <c r="V241" s="63"/>
      <c r="W241" s="63"/>
      <c r="X241" s="63"/>
    </row>
    <row r="242" spans="2:24" s="62" customFormat="1" ht="36" customHeight="1">
      <c r="B242" s="89"/>
      <c r="C242" s="89"/>
      <c r="D242" s="89"/>
      <c r="E242" s="89"/>
      <c r="F242" s="89"/>
      <c r="V242" s="63"/>
      <c r="W242" s="63"/>
      <c r="X242" s="63"/>
    </row>
    <row r="243" spans="2:24" s="62" customFormat="1" ht="36" customHeight="1">
      <c r="B243" s="89"/>
      <c r="C243" s="89"/>
      <c r="D243" s="89"/>
      <c r="E243" s="89"/>
      <c r="F243" s="89"/>
      <c r="V243" s="63"/>
      <c r="W243" s="63"/>
      <c r="X243" s="63"/>
    </row>
    <row r="244" spans="2:24" s="62" customFormat="1" ht="36" customHeight="1">
      <c r="B244" s="89"/>
      <c r="C244" s="89"/>
      <c r="D244" s="89"/>
      <c r="E244" s="89"/>
      <c r="F244" s="89"/>
      <c r="V244" s="63"/>
      <c r="W244" s="63"/>
      <c r="X244" s="63"/>
    </row>
    <row r="245" spans="2:24" s="62" customFormat="1" ht="36" customHeight="1">
      <c r="B245" s="89"/>
      <c r="C245" s="89"/>
      <c r="D245" s="89"/>
      <c r="E245" s="89"/>
      <c r="F245" s="89"/>
      <c r="V245" s="63"/>
      <c r="W245" s="63"/>
      <c r="X245" s="63"/>
    </row>
    <row r="246" spans="2:24" s="62" customFormat="1" ht="36" customHeight="1">
      <c r="B246" s="89"/>
      <c r="C246" s="89"/>
      <c r="D246" s="89"/>
      <c r="E246" s="89"/>
      <c r="F246" s="89"/>
      <c r="V246" s="63"/>
      <c r="W246" s="63"/>
      <c r="X246" s="63"/>
    </row>
    <row r="247" spans="2:24" s="62" customFormat="1" ht="36" customHeight="1">
      <c r="B247" s="89"/>
      <c r="C247" s="89"/>
      <c r="D247" s="89"/>
      <c r="E247" s="89"/>
      <c r="F247" s="89"/>
      <c r="V247" s="63"/>
      <c r="W247" s="63"/>
      <c r="X247" s="63"/>
    </row>
    <row r="248" spans="2:24" s="62" customFormat="1" ht="36" customHeight="1">
      <c r="B248" s="89"/>
      <c r="C248" s="89"/>
      <c r="D248" s="89"/>
      <c r="E248" s="89"/>
      <c r="F248" s="89"/>
      <c r="V248" s="63"/>
      <c r="W248" s="63"/>
      <c r="X248" s="63"/>
    </row>
    <row r="249" spans="2:24" s="62" customFormat="1" ht="36" customHeight="1">
      <c r="B249" s="89"/>
      <c r="C249" s="89"/>
      <c r="D249" s="89"/>
      <c r="E249" s="89"/>
      <c r="F249" s="89"/>
      <c r="V249" s="63"/>
      <c r="W249" s="63"/>
      <c r="X249" s="63"/>
    </row>
    <row r="250" spans="2:24" s="62" customFormat="1" ht="36" customHeight="1">
      <c r="B250" s="89"/>
      <c r="C250" s="89"/>
      <c r="D250" s="89"/>
      <c r="E250" s="89"/>
      <c r="F250" s="89"/>
      <c r="V250" s="63"/>
      <c r="W250" s="63"/>
      <c r="X250" s="63"/>
    </row>
    <row r="251" spans="2:24" s="62" customFormat="1" ht="36" customHeight="1">
      <c r="B251" s="89"/>
      <c r="C251" s="89"/>
      <c r="D251" s="89"/>
      <c r="E251" s="89"/>
      <c r="F251" s="89"/>
      <c r="V251" s="63"/>
      <c r="W251" s="63"/>
      <c r="X251" s="63"/>
    </row>
    <row r="252" spans="2:24" s="62" customFormat="1" ht="36" customHeight="1">
      <c r="V252" s="63"/>
      <c r="W252" s="63"/>
      <c r="X252" s="63"/>
    </row>
    <row r="253" spans="2:24" s="62" customFormat="1" ht="36" customHeight="1">
      <c r="V253" s="63"/>
      <c r="W253" s="63"/>
      <c r="X253" s="63"/>
    </row>
    <row r="254" spans="2:24" s="62" customFormat="1" ht="36" customHeight="1">
      <c r="V254" s="63"/>
      <c r="W254" s="63"/>
      <c r="X254" s="63"/>
    </row>
    <row r="255" spans="2:24" s="62" customFormat="1" ht="36" customHeight="1">
      <c r="V255" s="63"/>
      <c r="W255" s="63"/>
      <c r="X255" s="63"/>
    </row>
    <row r="256" spans="2:24" s="62" customFormat="1" ht="36" customHeight="1">
      <c r="V256" s="63"/>
      <c r="W256" s="63"/>
      <c r="X256" s="63"/>
    </row>
    <row r="257" spans="22:24" s="62" customFormat="1" ht="36" customHeight="1">
      <c r="V257" s="63"/>
      <c r="W257" s="63"/>
      <c r="X257" s="63"/>
    </row>
    <row r="258" spans="22:24" s="62" customFormat="1" ht="36" customHeight="1">
      <c r="V258" s="63"/>
      <c r="W258" s="63"/>
      <c r="X258" s="63"/>
    </row>
    <row r="259" spans="22:24" s="62" customFormat="1" ht="36" customHeight="1">
      <c r="V259" s="63"/>
      <c r="W259" s="63"/>
      <c r="X259" s="63"/>
    </row>
    <row r="260" spans="22:24" s="62" customFormat="1" ht="36" customHeight="1">
      <c r="V260" s="63"/>
      <c r="W260" s="63"/>
      <c r="X260" s="63"/>
    </row>
    <row r="261" spans="22:24" s="62" customFormat="1" ht="36" customHeight="1">
      <c r="V261" s="63"/>
      <c r="W261" s="63"/>
      <c r="X261" s="63"/>
    </row>
    <row r="262" spans="22:24" s="62" customFormat="1" ht="36" customHeight="1">
      <c r="V262" s="63"/>
      <c r="W262" s="63"/>
      <c r="X262" s="63"/>
    </row>
    <row r="263" spans="22:24" s="62" customFormat="1" ht="36" customHeight="1">
      <c r="V263" s="63"/>
      <c r="W263" s="63"/>
      <c r="X263" s="63"/>
    </row>
    <row r="264" spans="22:24" s="62" customFormat="1" ht="36" customHeight="1">
      <c r="V264" s="63"/>
      <c r="W264" s="63"/>
      <c r="X264" s="63"/>
    </row>
    <row r="265" spans="22:24" s="62" customFormat="1" ht="36" customHeight="1">
      <c r="V265" s="63"/>
      <c r="W265" s="63"/>
      <c r="X265" s="63"/>
    </row>
    <row r="266" spans="22:24" s="62" customFormat="1" ht="36" customHeight="1">
      <c r="V266" s="63"/>
      <c r="W266" s="63"/>
      <c r="X266" s="63"/>
    </row>
    <row r="267" spans="22:24" s="62" customFormat="1" ht="36" customHeight="1">
      <c r="V267" s="63"/>
      <c r="W267" s="63"/>
      <c r="X267" s="63"/>
    </row>
    <row r="268" spans="22:24" s="62" customFormat="1" ht="36" customHeight="1">
      <c r="V268" s="63"/>
      <c r="W268" s="63"/>
      <c r="X268" s="63"/>
    </row>
    <row r="269" spans="22:24" s="62" customFormat="1" ht="36" customHeight="1">
      <c r="V269" s="63"/>
      <c r="W269" s="63"/>
      <c r="X269" s="63"/>
    </row>
    <row r="270" spans="22:24" s="62" customFormat="1" ht="36" customHeight="1">
      <c r="V270" s="63"/>
      <c r="W270" s="63"/>
      <c r="X270" s="63"/>
    </row>
    <row r="271" spans="22:24" s="62" customFormat="1" ht="36" customHeight="1">
      <c r="V271" s="63"/>
      <c r="W271" s="63"/>
      <c r="X271" s="63"/>
    </row>
    <row r="272" spans="22:24" s="62" customFormat="1" ht="36" customHeight="1">
      <c r="V272" s="63"/>
      <c r="W272" s="63"/>
      <c r="X272" s="63"/>
    </row>
    <row r="273" spans="22:24" s="62" customFormat="1" ht="36" customHeight="1">
      <c r="V273" s="63"/>
      <c r="W273" s="63"/>
      <c r="X273" s="63"/>
    </row>
    <row r="274" spans="22:24" s="62" customFormat="1" ht="36" customHeight="1">
      <c r="V274" s="63"/>
      <c r="W274" s="63"/>
      <c r="X274" s="63"/>
    </row>
    <row r="275" spans="22:24" s="62" customFormat="1" ht="36" customHeight="1">
      <c r="V275" s="63"/>
      <c r="W275" s="63"/>
      <c r="X275" s="63"/>
    </row>
    <row r="276" spans="22:24" s="62" customFormat="1" ht="36" customHeight="1">
      <c r="V276" s="63"/>
      <c r="W276" s="63"/>
      <c r="X276" s="63"/>
    </row>
    <row r="277" spans="22:24" s="62" customFormat="1" ht="36" customHeight="1">
      <c r="V277" s="63"/>
      <c r="W277" s="63"/>
      <c r="X277" s="63"/>
    </row>
    <row r="278" spans="22:24" s="62" customFormat="1" ht="36" customHeight="1">
      <c r="V278" s="63"/>
      <c r="W278" s="63"/>
      <c r="X278" s="63"/>
    </row>
    <row r="279" spans="22:24" s="62" customFormat="1" ht="36" customHeight="1">
      <c r="V279" s="63"/>
      <c r="W279" s="63"/>
      <c r="X279" s="63"/>
    </row>
    <row r="280" spans="22:24" s="62" customFormat="1" ht="36" customHeight="1">
      <c r="V280" s="63"/>
      <c r="W280" s="63"/>
      <c r="X280" s="63"/>
    </row>
    <row r="281" spans="22:24" s="62" customFormat="1" ht="36" customHeight="1">
      <c r="V281" s="63"/>
      <c r="W281" s="63"/>
      <c r="X281" s="63"/>
    </row>
    <row r="282" spans="22:24" s="62" customFormat="1" ht="36" customHeight="1">
      <c r="V282" s="63"/>
      <c r="W282" s="63"/>
      <c r="X282" s="63"/>
    </row>
    <row r="283" spans="22:24" s="62" customFormat="1" ht="36" customHeight="1">
      <c r="V283" s="63"/>
      <c r="W283" s="63"/>
      <c r="X283" s="63"/>
    </row>
    <row r="284" spans="22:24" s="62" customFormat="1" ht="36" customHeight="1">
      <c r="V284" s="63"/>
      <c r="W284" s="63"/>
      <c r="X284" s="63"/>
    </row>
    <row r="285" spans="22:24" s="62" customFormat="1" ht="36" customHeight="1">
      <c r="V285" s="63"/>
      <c r="W285" s="63"/>
      <c r="X285" s="63"/>
    </row>
    <row r="286" spans="22:24" s="62" customFormat="1" ht="36" customHeight="1">
      <c r="V286" s="63"/>
      <c r="W286" s="63"/>
      <c r="X286" s="63"/>
    </row>
    <row r="287" spans="22:24" s="62" customFormat="1" ht="36" customHeight="1">
      <c r="V287" s="63"/>
      <c r="W287" s="63"/>
      <c r="X287" s="63"/>
    </row>
    <row r="288" spans="22:24" s="62" customFormat="1" ht="36" customHeight="1">
      <c r="V288" s="63"/>
      <c r="W288" s="63"/>
      <c r="X288" s="63"/>
    </row>
    <row r="289" spans="22:24" s="62" customFormat="1" ht="36" customHeight="1">
      <c r="V289" s="63"/>
      <c r="W289" s="63"/>
      <c r="X289" s="63"/>
    </row>
    <row r="290" spans="22:24" s="62" customFormat="1" ht="36" customHeight="1">
      <c r="V290" s="63"/>
      <c r="W290" s="63"/>
      <c r="X290" s="63"/>
    </row>
    <row r="291" spans="22:24" s="62" customFormat="1" ht="36" customHeight="1">
      <c r="V291" s="63"/>
      <c r="W291" s="63"/>
      <c r="X291" s="63"/>
    </row>
    <row r="292" spans="22:24" s="62" customFormat="1" ht="36" customHeight="1">
      <c r="V292" s="63"/>
      <c r="W292" s="63"/>
      <c r="X292" s="63"/>
    </row>
    <row r="293" spans="22:24" s="62" customFormat="1" ht="36" customHeight="1">
      <c r="V293" s="63"/>
      <c r="W293" s="63"/>
      <c r="X293" s="63"/>
    </row>
    <row r="294" spans="22:24" s="62" customFormat="1" ht="36" customHeight="1">
      <c r="V294" s="63"/>
      <c r="W294" s="63"/>
      <c r="X294" s="63"/>
    </row>
    <row r="295" spans="22:24" s="62" customFormat="1" ht="36" customHeight="1">
      <c r="V295" s="63"/>
      <c r="W295" s="63"/>
      <c r="X295" s="63"/>
    </row>
    <row r="296" spans="22:24" s="62" customFormat="1" ht="36" customHeight="1">
      <c r="V296" s="63"/>
      <c r="W296" s="63"/>
      <c r="X296" s="63"/>
    </row>
    <row r="297" spans="22:24" s="62" customFormat="1" ht="36" customHeight="1">
      <c r="V297" s="63"/>
      <c r="W297" s="63"/>
      <c r="X297" s="63"/>
    </row>
    <row r="298" spans="22:24" s="62" customFormat="1" ht="36" customHeight="1">
      <c r="V298" s="63"/>
      <c r="W298" s="63"/>
      <c r="X298" s="63"/>
    </row>
    <row r="299" spans="22:24" s="62" customFormat="1" ht="36" customHeight="1">
      <c r="V299" s="63"/>
      <c r="W299" s="63"/>
      <c r="X299" s="63"/>
    </row>
    <row r="300" spans="22:24" s="62" customFormat="1" ht="36" customHeight="1">
      <c r="V300" s="63"/>
      <c r="W300" s="63"/>
      <c r="X300" s="63"/>
    </row>
    <row r="301" spans="22:24" s="62" customFormat="1" ht="36" customHeight="1">
      <c r="V301" s="63"/>
      <c r="W301" s="63"/>
      <c r="X301" s="63"/>
    </row>
    <row r="302" spans="22:24" s="62" customFormat="1" ht="36" customHeight="1">
      <c r="V302" s="63"/>
      <c r="W302" s="63"/>
      <c r="X302" s="63"/>
    </row>
    <row r="303" spans="22:24" s="62" customFormat="1" ht="36" customHeight="1">
      <c r="V303" s="63"/>
      <c r="W303" s="63"/>
      <c r="X303" s="63"/>
    </row>
    <row r="304" spans="22:24" s="62" customFormat="1" ht="36" customHeight="1">
      <c r="V304" s="63"/>
      <c r="W304" s="63"/>
      <c r="X304" s="63"/>
    </row>
    <row r="305" spans="22:24" s="62" customFormat="1" ht="36" customHeight="1">
      <c r="V305" s="63"/>
      <c r="W305" s="63"/>
      <c r="X305" s="63"/>
    </row>
    <row r="306" spans="22:24" s="62" customFormat="1" ht="36" customHeight="1">
      <c r="V306" s="63"/>
      <c r="W306" s="63"/>
      <c r="X306" s="63"/>
    </row>
    <row r="307" spans="22:24" s="62" customFormat="1" ht="36" customHeight="1">
      <c r="V307" s="63"/>
      <c r="W307" s="63"/>
      <c r="X307" s="63"/>
    </row>
    <row r="308" spans="22:24" s="62" customFormat="1" ht="36" customHeight="1">
      <c r="V308" s="63"/>
      <c r="W308" s="63"/>
      <c r="X308" s="63"/>
    </row>
    <row r="309" spans="22:24" s="62" customFormat="1" ht="36" customHeight="1">
      <c r="V309" s="63"/>
      <c r="W309" s="63"/>
      <c r="X309" s="63"/>
    </row>
    <row r="310" spans="22:24" s="62" customFormat="1" ht="36" customHeight="1">
      <c r="V310" s="63"/>
      <c r="W310" s="63"/>
      <c r="X310" s="63"/>
    </row>
    <row r="311" spans="22:24" s="62" customFormat="1" ht="36" customHeight="1">
      <c r="V311" s="63"/>
      <c r="W311" s="63"/>
      <c r="X311" s="63"/>
    </row>
    <row r="312" spans="22:24" s="62" customFormat="1" ht="36" customHeight="1">
      <c r="V312" s="63"/>
      <c r="W312" s="63"/>
      <c r="X312" s="63"/>
    </row>
    <row r="313" spans="22:24" s="62" customFormat="1" ht="36" customHeight="1">
      <c r="V313" s="63"/>
      <c r="W313" s="63"/>
      <c r="X313" s="63"/>
    </row>
    <row r="314" spans="22:24" s="62" customFormat="1" ht="36" customHeight="1">
      <c r="V314" s="63"/>
      <c r="W314" s="63"/>
      <c r="X314" s="63"/>
    </row>
    <row r="315" spans="22:24" s="62" customFormat="1" ht="36" customHeight="1">
      <c r="V315" s="63"/>
      <c r="W315" s="63"/>
      <c r="X315" s="63"/>
    </row>
    <row r="316" spans="22:24" s="62" customFormat="1" ht="36" customHeight="1">
      <c r="V316" s="63"/>
      <c r="W316" s="63"/>
      <c r="X316" s="63"/>
    </row>
    <row r="317" spans="22:24" s="62" customFormat="1" ht="36" customHeight="1">
      <c r="V317" s="63"/>
      <c r="W317" s="63"/>
      <c r="X317" s="63"/>
    </row>
    <row r="318" spans="22:24" s="62" customFormat="1" ht="36" customHeight="1">
      <c r="V318" s="63"/>
      <c r="W318" s="63"/>
      <c r="X318" s="63"/>
    </row>
    <row r="319" spans="22:24" s="62" customFormat="1" ht="36" customHeight="1">
      <c r="V319" s="63"/>
      <c r="W319" s="63"/>
      <c r="X319" s="63"/>
    </row>
    <row r="320" spans="22:24" s="62" customFormat="1" ht="36" customHeight="1">
      <c r="V320" s="63"/>
      <c r="W320" s="63"/>
      <c r="X320" s="63"/>
    </row>
    <row r="321" spans="22:24" s="62" customFormat="1" ht="36" customHeight="1">
      <c r="V321" s="63"/>
      <c r="W321" s="63"/>
      <c r="X321" s="63"/>
    </row>
    <row r="322" spans="22:24" s="62" customFormat="1" ht="36" customHeight="1">
      <c r="V322" s="63"/>
      <c r="W322" s="63"/>
      <c r="X322" s="63"/>
    </row>
    <row r="323" spans="22:24" s="62" customFormat="1" ht="36" customHeight="1">
      <c r="V323" s="63"/>
      <c r="W323" s="63"/>
      <c r="X323" s="63"/>
    </row>
    <row r="324" spans="22:24" s="62" customFormat="1" ht="36" customHeight="1">
      <c r="V324" s="63"/>
      <c r="W324" s="63"/>
      <c r="X324" s="63"/>
    </row>
    <row r="325" spans="22:24" s="62" customFormat="1" ht="36" customHeight="1">
      <c r="V325" s="63"/>
      <c r="W325" s="63"/>
      <c r="X325" s="63"/>
    </row>
    <row r="326" spans="22:24" s="62" customFormat="1" ht="36" customHeight="1">
      <c r="V326" s="63"/>
      <c r="W326" s="63"/>
      <c r="X326" s="63"/>
    </row>
    <row r="327" spans="22:24" s="62" customFormat="1" ht="36" customHeight="1">
      <c r="V327" s="63"/>
      <c r="W327" s="63"/>
      <c r="X327" s="63"/>
    </row>
    <row r="328" spans="22:24" s="62" customFormat="1" ht="36" customHeight="1">
      <c r="V328" s="63"/>
      <c r="W328" s="63"/>
      <c r="X328" s="63"/>
    </row>
    <row r="329" spans="22:24" s="62" customFormat="1" ht="36" customHeight="1">
      <c r="V329" s="63"/>
      <c r="W329" s="63"/>
      <c r="X329" s="63"/>
    </row>
    <row r="330" spans="22:24" s="62" customFormat="1" ht="36" customHeight="1">
      <c r="V330" s="63"/>
      <c r="W330" s="63"/>
      <c r="X330" s="63"/>
    </row>
    <row r="331" spans="22:24" s="62" customFormat="1" ht="36" customHeight="1">
      <c r="V331" s="63"/>
      <c r="W331" s="63"/>
      <c r="X331" s="63"/>
    </row>
    <row r="332" spans="22:24" s="62" customFormat="1" ht="36" customHeight="1">
      <c r="V332" s="63"/>
      <c r="W332" s="63"/>
      <c r="X332" s="63"/>
    </row>
    <row r="333" spans="22:24" s="62" customFormat="1" ht="36" customHeight="1">
      <c r="V333" s="63"/>
      <c r="W333" s="63"/>
      <c r="X333" s="63"/>
    </row>
    <row r="334" spans="22:24" s="62" customFormat="1" ht="36" customHeight="1">
      <c r="V334" s="63"/>
      <c r="W334" s="63"/>
      <c r="X334" s="63"/>
    </row>
    <row r="335" spans="22:24" s="62" customFormat="1" ht="36" customHeight="1">
      <c r="V335" s="63"/>
      <c r="W335" s="63"/>
      <c r="X335" s="63"/>
    </row>
    <row r="336" spans="22:24" s="62" customFormat="1" ht="36" customHeight="1">
      <c r="V336" s="63"/>
      <c r="W336" s="63"/>
      <c r="X336" s="63"/>
    </row>
    <row r="337" spans="22:24" s="62" customFormat="1" ht="36" customHeight="1">
      <c r="V337" s="63"/>
      <c r="W337" s="63"/>
      <c r="X337" s="63"/>
    </row>
    <row r="338" spans="22:24" s="62" customFormat="1" ht="36" customHeight="1">
      <c r="V338" s="63"/>
      <c r="W338" s="63"/>
      <c r="X338" s="63"/>
    </row>
    <row r="339" spans="22:24" s="62" customFormat="1" ht="36" customHeight="1">
      <c r="V339" s="63"/>
      <c r="W339" s="63"/>
      <c r="X339" s="63"/>
    </row>
    <row r="340" spans="22:24" s="62" customFormat="1" ht="36" customHeight="1">
      <c r="V340" s="63"/>
      <c r="W340" s="63"/>
      <c r="X340" s="63"/>
    </row>
    <row r="341" spans="22:24" s="62" customFormat="1" ht="36" customHeight="1">
      <c r="V341" s="63"/>
      <c r="W341" s="63"/>
      <c r="X341" s="63"/>
    </row>
    <row r="342" spans="22:24" s="62" customFormat="1" ht="36" customHeight="1">
      <c r="V342" s="63"/>
      <c r="W342" s="63"/>
      <c r="X342" s="63"/>
    </row>
    <row r="343" spans="22:24" s="62" customFormat="1" ht="36" customHeight="1">
      <c r="V343" s="63"/>
      <c r="W343" s="63"/>
      <c r="X343" s="63"/>
    </row>
    <row r="344" spans="22:24" s="62" customFormat="1" ht="36" customHeight="1">
      <c r="V344" s="63"/>
      <c r="W344" s="63"/>
      <c r="X344" s="63"/>
    </row>
    <row r="345" spans="22:24" s="62" customFormat="1" ht="36" customHeight="1">
      <c r="V345" s="63"/>
      <c r="W345" s="63"/>
      <c r="X345" s="63"/>
    </row>
    <row r="346" spans="22:24" s="62" customFormat="1" ht="36" customHeight="1">
      <c r="V346" s="63"/>
      <c r="W346" s="63"/>
      <c r="X346" s="63"/>
    </row>
    <row r="347" spans="22:24" s="62" customFormat="1" ht="36" customHeight="1">
      <c r="V347" s="63"/>
      <c r="W347" s="63"/>
      <c r="X347" s="63"/>
    </row>
    <row r="348" spans="22:24" s="62" customFormat="1" ht="36" customHeight="1">
      <c r="V348" s="63"/>
      <c r="W348" s="63"/>
      <c r="X348" s="63"/>
    </row>
    <row r="349" spans="22:24" s="62" customFormat="1" ht="36" customHeight="1">
      <c r="V349" s="63"/>
      <c r="W349" s="63"/>
      <c r="X349" s="63"/>
    </row>
    <row r="350" spans="22:24" s="62" customFormat="1" ht="36" customHeight="1">
      <c r="V350" s="63"/>
      <c r="W350" s="63"/>
      <c r="X350" s="63"/>
    </row>
    <row r="351" spans="22:24" s="62" customFormat="1" ht="36" customHeight="1">
      <c r="V351" s="63"/>
      <c r="W351" s="63"/>
      <c r="X351" s="63"/>
    </row>
    <row r="352" spans="22:24" s="62" customFormat="1" ht="36" customHeight="1">
      <c r="V352" s="63"/>
      <c r="W352" s="63"/>
      <c r="X352" s="63"/>
    </row>
    <row r="353" spans="22:24" s="62" customFormat="1" ht="36" customHeight="1">
      <c r="V353" s="63"/>
      <c r="W353" s="63"/>
      <c r="X353" s="63"/>
    </row>
    <row r="354" spans="22:24" s="62" customFormat="1" ht="36" customHeight="1">
      <c r="V354" s="63"/>
      <c r="W354" s="63"/>
      <c r="X354" s="63"/>
    </row>
    <row r="355" spans="22:24" s="62" customFormat="1" ht="36" customHeight="1">
      <c r="V355" s="63"/>
      <c r="W355" s="63"/>
      <c r="X355" s="63"/>
    </row>
    <row r="356" spans="22:24" s="62" customFormat="1" ht="36" customHeight="1">
      <c r="V356" s="63"/>
      <c r="W356" s="63"/>
      <c r="X356" s="63"/>
    </row>
    <row r="357" spans="22:24" s="62" customFormat="1" ht="36" customHeight="1">
      <c r="V357" s="63"/>
      <c r="W357" s="63"/>
      <c r="X357" s="63"/>
    </row>
    <row r="358" spans="22:24" s="62" customFormat="1" ht="36" customHeight="1">
      <c r="V358" s="63"/>
      <c r="W358" s="63"/>
      <c r="X358" s="63"/>
    </row>
    <row r="359" spans="22:24" s="62" customFormat="1" ht="36" customHeight="1">
      <c r="V359" s="63"/>
      <c r="W359" s="63"/>
      <c r="X359" s="63"/>
    </row>
    <row r="360" spans="22:24" s="62" customFormat="1" ht="36" customHeight="1">
      <c r="V360" s="63"/>
      <c r="W360" s="63"/>
      <c r="X360" s="63"/>
    </row>
    <row r="361" spans="22:24" s="62" customFormat="1" ht="36" customHeight="1">
      <c r="V361" s="63"/>
      <c r="W361" s="63"/>
      <c r="X361" s="63"/>
    </row>
    <row r="362" spans="22:24" s="62" customFormat="1" ht="36" customHeight="1">
      <c r="V362" s="63"/>
      <c r="W362" s="63"/>
      <c r="X362" s="63"/>
    </row>
    <row r="363" spans="22:24" s="62" customFormat="1" ht="36" customHeight="1">
      <c r="V363" s="63"/>
      <c r="W363" s="63"/>
      <c r="X363" s="63"/>
    </row>
    <row r="364" spans="22:24" s="62" customFormat="1" ht="36" customHeight="1">
      <c r="V364" s="63"/>
      <c r="W364" s="63"/>
      <c r="X364" s="63"/>
    </row>
    <row r="365" spans="22:24" s="62" customFormat="1" ht="36" customHeight="1">
      <c r="V365" s="63"/>
      <c r="W365" s="63"/>
      <c r="X365" s="63"/>
    </row>
    <row r="366" spans="22:24" s="62" customFormat="1" ht="36" customHeight="1">
      <c r="V366" s="63"/>
      <c r="W366" s="63"/>
      <c r="X366" s="63"/>
    </row>
    <row r="367" spans="22:24" s="62" customFormat="1" ht="36" customHeight="1">
      <c r="V367" s="63"/>
      <c r="W367" s="63"/>
      <c r="X367" s="63"/>
    </row>
    <row r="368" spans="22:24" s="62" customFormat="1" ht="36" customHeight="1">
      <c r="V368" s="63"/>
      <c r="W368" s="63"/>
      <c r="X368" s="63"/>
    </row>
    <row r="369" spans="22:24" s="62" customFormat="1" ht="36" customHeight="1">
      <c r="V369" s="63"/>
      <c r="W369" s="63"/>
      <c r="X369" s="63"/>
    </row>
    <row r="370" spans="22:24" s="62" customFormat="1" ht="36" customHeight="1">
      <c r="V370" s="63"/>
      <c r="W370" s="63"/>
      <c r="X370" s="63"/>
    </row>
    <row r="371" spans="22:24" s="62" customFormat="1" ht="36" customHeight="1">
      <c r="V371" s="63"/>
      <c r="W371" s="63"/>
      <c r="X371" s="63"/>
    </row>
    <row r="372" spans="22:24" s="62" customFormat="1" ht="36" customHeight="1">
      <c r="V372" s="63"/>
      <c r="W372" s="63"/>
      <c r="X372" s="63"/>
    </row>
    <row r="373" spans="22:24" s="62" customFormat="1" ht="36" customHeight="1">
      <c r="V373" s="63"/>
      <c r="W373" s="63"/>
      <c r="X373" s="63"/>
    </row>
    <row r="374" spans="22:24" s="62" customFormat="1" ht="36" customHeight="1">
      <c r="V374" s="63"/>
      <c r="W374" s="63"/>
      <c r="X374" s="63"/>
    </row>
    <row r="375" spans="22:24" s="62" customFormat="1" ht="36" customHeight="1">
      <c r="V375" s="63"/>
      <c r="W375" s="63"/>
      <c r="X375" s="63"/>
    </row>
    <row r="376" spans="22:24" s="62" customFormat="1" ht="36" customHeight="1">
      <c r="V376" s="63"/>
      <c r="W376" s="63"/>
      <c r="X376" s="63"/>
    </row>
    <row r="377" spans="22:24" s="62" customFormat="1" ht="36" customHeight="1">
      <c r="V377" s="63"/>
      <c r="W377" s="63"/>
      <c r="X377" s="63"/>
    </row>
    <row r="378" spans="22:24" s="62" customFormat="1" ht="36" customHeight="1">
      <c r="V378" s="63"/>
      <c r="W378" s="63"/>
      <c r="X378" s="63"/>
    </row>
    <row r="379" spans="22:24" s="62" customFormat="1" ht="36" customHeight="1">
      <c r="V379" s="63"/>
      <c r="W379" s="63"/>
      <c r="X379" s="63"/>
    </row>
    <row r="380" spans="22:24" s="62" customFormat="1" ht="36" customHeight="1">
      <c r="V380" s="63"/>
      <c r="W380" s="63"/>
      <c r="X380" s="63"/>
    </row>
    <row r="381" spans="22:24" s="62" customFormat="1" ht="36" customHeight="1">
      <c r="V381" s="63"/>
      <c r="W381" s="63"/>
      <c r="X381" s="63"/>
    </row>
    <row r="382" spans="22:24" s="62" customFormat="1" ht="36" customHeight="1">
      <c r="V382" s="63"/>
      <c r="W382" s="63"/>
      <c r="X382" s="63"/>
    </row>
    <row r="383" spans="22:24" s="62" customFormat="1" ht="36" customHeight="1">
      <c r="V383" s="63"/>
      <c r="W383" s="63"/>
      <c r="X383" s="63"/>
    </row>
    <row r="384" spans="22:24" s="62" customFormat="1" ht="36" customHeight="1">
      <c r="V384" s="63"/>
      <c r="W384" s="63"/>
      <c r="X384" s="63"/>
    </row>
    <row r="385" spans="22:24" s="62" customFormat="1" ht="36" customHeight="1">
      <c r="V385" s="63"/>
      <c r="W385" s="63"/>
      <c r="X385" s="63"/>
    </row>
    <row r="386" spans="22:24" s="62" customFormat="1" ht="36" customHeight="1">
      <c r="V386" s="63"/>
      <c r="W386" s="63"/>
      <c r="X386" s="63"/>
    </row>
    <row r="387" spans="22:24" s="62" customFormat="1" ht="36" customHeight="1">
      <c r="V387" s="63"/>
      <c r="W387" s="63"/>
      <c r="X387" s="63"/>
    </row>
    <row r="388" spans="22:24" s="62" customFormat="1" ht="36" customHeight="1">
      <c r="V388" s="63"/>
      <c r="W388" s="63"/>
      <c r="X388" s="63"/>
    </row>
    <row r="389" spans="22:24" s="62" customFormat="1" ht="36" customHeight="1">
      <c r="V389" s="63"/>
      <c r="W389" s="63"/>
      <c r="X389" s="63"/>
    </row>
    <row r="390" spans="22:24" s="62" customFormat="1" ht="36" customHeight="1">
      <c r="V390" s="63"/>
      <c r="W390" s="63"/>
      <c r="X390" s="63"/>
    </row>
    <row r="391" spans="22:24" s="62" customFormat="1" ht="36" customHeight="1">
      <c r="V391" s="63"/>
      <c r="W391" s="63"/>
      <c r="X391" s="63"/>
    </row>
    <row r="392" spans="22:24" s="62" customFormat="1" ht="36" customHeight="1">
      <c r="V392" s="63"/>
      <c r="W392" s="63"/>
      <c r="X392" s="63"/>
    </row>
    <row r="393" spans="22:24" s="62" customFormat="1" ht="36" customHeight="1">
      <c r="V393" s="63"/>
      <c r="W393" s="63"/>
      <c r="X393" s="63"/>
    </row>
    <row r="394" spans="22:24" s="62" customFormat="1" ht="36" customHeight="1">
      <c r="V394" s="63"/>
      <c r="W394" s="63"/>
      <c r="X394" s="63"/>
    </row>
    <row r="395" spans="22:24" s="62" customFormat="1" ht="36" customHeight="1">
      <c r="V395" s="63"/>
      <c r="W395" s="63"/>
      <c r="X395" s="63"/>
    </row>
    <row r="396" spans="22:24" s="62" customFormat="1" ht="36" customHeight="1">
      <c r="V396" s="63"/>
      <c r="W396" s="63"/>
      <c r="X396" s="63"/>
    </row>
    <row r="397" spans="22:24" s="62" customFormat="1" ht="36" customHeight="1">
      <c r="V397" s="63"/>
      <c r="W397" s="63"/>
      <c r="X397" s="63"/>
    </row>
    <row r="398" spans="22:24" s="62" customFormat="1" ht="36" customHeight="1">
      <c r="V398" s="63"/>
      <c r="W398" s="63"/>
      <c r="X398" s="63"/>
    </row>
    <row r="399" spans="22:24" s="62" customFormat="1" ht="36" customHeight="1">
      <c r="V399" s="63"/>
      <c r="W399" s="63"/>
      <c r="X399" s="63"/>
    </row>
    <row r="400" spans="22:24" s="62" customFormat="1" ht="36" customHeight="1">
      <c r="V400" s="63"/>
      <c r="W400" s="63"/>
      <c r="X400" s="63"/>
    </row>
    <row r="401" spans="22:24" s="62" customFormat="1" ht="30" customHeight="1">
      <c r="V401" s="63"/>
      <c r="W401" s="63"/>
      <c r="X401" s="63"/>
    </row>
    <row r="402" spans="22:24" s="62" customFormat="1" ht="30" customHeight="1">
      <c r="V402" s="63"/>
      <c r="W402" s="63"/>
      <c r="X402" s="63"/>
    </row>
    <row r="403" spans="22:24" s="62" customFormat="1" ht="30" customHeight="1">
      <c r="V403" s="63"/>
      <c r="W403" s="63"/>
      <c r="X403" s="63"/>
    </row>
    <row r="404" spans="22:24" s="62" customFormat="1" ht="30" customHeight="1">
      <c r="V404" s="63"/>
      <c r="W404" s="63"/>
      <c r="X404" s="63"/>
    </row>
    <row r="405" spans="22:24" s="62" customFormat="1" ht="30" customHeight="1">
      <c r="V405" s="63"/>
      <c r="W405" s="63"/>
      <c r="X405" s="63"/>
    </row>
    <row r="406" spans="22:24" s="62" customFormat="1" ht="30" customHeight="1">
      <c r="V406" s="63"/>
      <c r="W406" s="63"/>
      <c r="X406" s="63"/>
    </row>
    <row r="407" spans="22:24" s="62" customFormat="1" ht="30" customHeight="1">
      <c r="V407" s="63"/>
      <c r="W407" s="63"/>
      <c r="X407" s="63"/>
    </row>
    <row r="408" spans="22:24" s="62" customFormat="1" ht="30" customHeight="1">
      <c r="V408" s="63"/>
      <c r="W408" s="63"/>
      <c r="X408" s="63"/>
    </row>
    <row r="409" spans="22:24" s="62" customFormat="1" ht="30" customHeight="1">
      <c r="V409" s="63"/>
      <c r="W409" s="63"/>
      <c r="X409" s="63"/>
    </row>
    <row r="410" spans="22:24" s="62" customFormat="1" ht="30" customHeight="1">
      <c r="V410" s="63"/>
      <c r="W410" s="63"/>
      <c r="X410" s="63"/>
    </row>
    <row r="411" spans="22:24" s="62" customFormat="1" ht="30" customHeight="1">
      <c r="V411" s="63"/>
      <c r="W411" s="63"/>
      <c r="X411" s="63"/>
    </row>
    <row r="412" spans="22:24" s="62" customFormat="1" ht="30" customHeight="1">
      <c r="V412" s="63"/>
      <c r="W412" s="63"/>
      <c r="X412" s="63"/>
    </row>
    <row r="413" spans="22:24" s="62" customFormat="1" ht="30" customHeight="1">
      <c r="V413" s="63"/>
      <c r="W413" s="63"/>
      <c r="X413" s="63"/>
    </row>
    <row r="414" spans="22:24" s="62" customFormat="1" ht="30" customHeight="1">
      <c r="V414" s="63"/>
      <c r="W414" s="63"/>
      <c r="X414" s="63"/>
    </row>
    <row r="415" spans="22:24" s="62" customFormat="1" ht="30" customHeight="1">
      <c r="V415" s="63"/>
      <c r="W415" s="63"/>
      <c r="X415" s="63"/>
    </row>
    <row r="416" spans="22:24" s="62" customFormat="1" ht="30" customHeight="1">
      <c r="V416" s="63"/>
      <c r="W416" s="63"/>
      <c r="X416" s="63"/>
    </row>
    <row r="417" spans="22:24" s="62" customFormat="1" ht="30" customHeight="1">
      <c r="V417" s="63"/>
      <c r="W417" s="63"/>
      <c r="X417" s="63"/>
    </row>
    <row r="418" spans="22:24" s="62" customFormat="1" ht="30" customHeight="1">
      <c r="V418" s="63"/>
      <c r="W418" s="63"/>
      <c r="X418" s="63"/>
    </row>
    <row r="419" spans="22:24" s="62" customFormat="1" ht="30" customHeight="1">
      <c r="V419" s="63"/>
      <c r="W419" s="63"/>
      <c r="X419" s="63"/>
    </row>
    <row r="420" spans="22:24" s="62" customFormat="1" ht="30" customHeight="1">
      <c r="V420" s="63"/>
      <c r="W420" s="63"/>
      <c r="X420" s="63"/>
    </row>
    <row r="421" spans="22:24" s="62" customFormat="1" ht="30" customHeight="1">
      <c r="V421" s="63"/>
      <c r="W421" s="63"/>
      <c r="X421" s="63"/>
    </row>
    <row r="422" spans="22:24" s="62" customFormat="1" ht="30" customHeight="1">
      <c r="V422" s="63"/>
      <c r="W422" s="63"/>
      <c r="X422" s="63"/>
    </row>
    <row r="423" spans="22:24" s="62" customFormat="1" ht="30" customHeight="1">
      <c r="V423" s="63"/>
      <c r="W423" s="63"/>
      <c r="X423" s="63"/>
    </row>
    <row r="424" spans="22:24" s="62" customFormat="1" ht="30" customHeight="1">
      <c r="V424" s="63"/>
      <c r="W424" s="63"/>
      <c r="X424" s="63"/>
    </row>
    <row r="425" spans="22:24" s="62" customFormat="1" ht="30" customHeight="1">
      <c r="V425" s="63"/>
      <c r="W425" s="63"/>
      <c r="X425" s="63"/>
    </row>
    <row r="426" spans="22:24" s="62" customFormat="1" ht="30" customHeight="1">
      <c r="V426" s="63"/>
      <c r="W426" s="63"/>
      <c r="X426" s="63"/>
    </row>
    <row r="427" spans="22:24" s="62" customFormat="1" ht="30" customHeight="1">
      <c r="V427" s="63"/>
      <c r="W427" s="63"/>
      <c r="X427" s="63"/>
    </row>
    <row r="428" spans="22:24" s="62" customFormat="1" ht="30" customHeight="1">
      <c r="V428" s="63"/>
      <c r="W428" s="63"/>
      <c r="X428" s="63"/>
    </row>
    <row r="429" spans="22:24" s="62" customFormat="1" ht="30" customHeight="1">
      <c r="V429" s="63"/>
      <c r="W429" s="63"/>
      <c r="X429" s="63"/>
    </row>
    <row r="430" spans="22:24" s="62" customFormat="1" ht="30" customHeight="1">
      <c r="V430" s="63"/>
      <c r="W430" s="63"/>
      <c r="X430" s="63"/>
    </row>
    <row r="431" spans="22:24" s="62" customFormat="1" ht="30" customHeight="1">
      <c r="V431" s="63"/>
      <c r="W431" s="63"/>
      <c r="X431" s="63"/>
    </row>
    <row r="432" spans="22:24" s="62" customFormat="1" ht="30" customHeight="1">
      <c r="V432" s="63"/>
      <c r="W432" s="63"/>
      <c r="X432" s="63"/>
    </row>
    <row r="433" spans="22:24" s="62" customFormat="1" ht="30" customHeight="1">
      <c r="V433" s="63"/>
      <c r="W433" s="63"/>
      <c r="X433" s="63"/>
    </row>
    <row r="434" spans="22:24" s="62" customFormat="1" ht="30" customHeight="1">
      <c r="V434" s="63"/>
      <c r="W434" s="63"/>
      <c r="X434" s="63"/>
    </row>
    <row r="435" spans="22:24" s="62" customFormat="1" ht="30" customHeight="1">
      <c r="V435" s="63"/>
      <c r="W435" s="63"/>
      <c r="X435" s="63"/>
    </row>
    <row r="436" spans="22:24" s="62" customFormat="1" ht="30" customHeight="1">
      <c r="V436" s="63"/>
      <c r="W436" s="63"/>
      <c r="X436" s="63"/>
    </row>
    <row r="437" spans="22:24" s="62" customFormat="1" ht="30" customHeight="1">
      <c r="V437" s="63"/>
      <c r="W437" s="63"/>
      <c r="X437" s="63"/>
    </row>
    <row r="438" spans="22:24" s="62" customFormat="1" ht="30" customHeight="1">
      <c r="V438" s="63"/>
      <c r="W438" s="63"/>
      <c r="X438" s="63"/>
    </row>
    <row r="439" spans="22:24" s="62" customFormat="1" ht="30" customHeight="1">
      <c r="V439" s="63"/>
      <c r="W439" s="63"/>
      <c r="X439" s="63"/>
    </row>
    <row r="440" spans="22:24" s="62" customFormat="1" ht="30" customHeight="1">
      <c r="V440" s="63"/>
      <c r="W440" s="63"/>
      <c r="X440" s="63"/>
    </row>
    <row r="441" spans="22:24" s="62" customFormat="1" ht="30" customHeight="1">
      <c r="V441" s="63"/>
      <c r="W441" s="63"/>
      <c r="X441" s="63"/>
    </row>
    <row r="442" spans="22:24" s="62" customFormat="1" ht="30" customHeight="1">
      <c r="V442" s="63"/>
      <c r="W442" s="63"/>
      <c r="X442" s="63"/>
    </row>
    <row r="443" spans="22:24" s="62" customFormat="1" ht="30" customHeight="1">
      <c r="V443" s="63"/>
      <c r="W443" s="63"/>
      <c r="X443" s="63"/>
    </row>
    <row r="444" spans="22:24" s="62" customFormat="1" ht="30" customHeight="1">
      <c r="V444" s="63"/>
      <c r="W444" s="63"/>
      <c r="X444" s="63"/>
    </row>
    <row r="445" spans="22:24" s="62" customFormat="1" ht="30" customHeight="1">
      <c r="V445" s="63"/>
      <c r="W445" s="63"/>
      <c r="X445" s="63"/>
    </row>
    <row r="446" spans="22:24" s="62" customFormat="1" ht="30" customHeight="1">
      <c r="V446" s="63"/>
      <c r="W446" s="63"/>
      <c r="X446" s="63"/>
    </row>
    <row r="447" spans="22:24" s="62" customFormat="1" ht="30" customHeight="1">
      <c r="V447" s="63"/>
      <c r="W447" s="63"/>
      <c r="X447" s="63"/>
    </row>
    <row r="448" spans="22:24" s="62" customFormat="1" ht="30" customHeight="1">
      <c r="V448" s="63"/>
      <c r="W448" s="63"/>
      <c r="X448" s="63"/>
    </row>
    <row r="449" spans="22:24" s="62" customFormat="1" ht="30" customHeight="1">
      <c r="V449" s="63"/>
      <c r="W449" s="63"/>
      <c r="X449" s="63"/>
    </row>
    <row r="450" spans="22:24" s="62" customFormat="1" ht="30" customHeight="1">
      <c r="V450" s="63"/>
      <c r="W450" s="63"/>
      <c r="X450" s="63"/>
    </row>
    <row r="451" spans="22:24" s="62" customFormat="1" ht="30" customHeight="1">
      <c r="V451" s="63"/>
      <c r="W451" s="63"/>
      <c r="X451" s="63"/>
    </row>
    <row r="452" spans="22:24" s="62" customFormat="1" ht="30" customHeight="1">
      <c r="V452" s="63"/>
      <c r="W452" s="63"/>
      <c r="X452" s="63"/>
    </row>
    <row r="453" spans="22:24" s="62" customFormat="1" ht="30" customHeight="1">
      <c r="V453" s="63"/>
      <c r="W453" s="63"/>
      <c r="X453" s="63"/>
    </row>
    <row r="454" spans="22:24" s="62" customFormat="1" ht="30" customHeight="1">
      <c r="V454" s="63"/>
      <c r="W454" s="63"/>
      <c r="X454" s="63"/>
    </row>
    <row r="455" spans="22:24" s="62" customFormat="1" ht="30" customHeight="1">
      <c r="V455" s="63"/>
      <c r="W455" s="63"/>
      <c r="X455" s="63"/>
    </row>
    <row r="456" spans="22:24" s="62" customFormat="1" ht="30" customHeight="1">
      <c r="V456" s="63"/>
      <c r="W456" s="63"/>
      <c r="X456" s="63"/>
    </row>
    <row r="457" spans="22:24" s="62" customFormat="1" ht="30" customHeight="1">
      <c r="V457" s="63"/>
      <c r="W457" s="63"/>
      <c r="X457" s="63"/>
    </row>
    <row r="458" spans="22:24" s="62" customFormat="1" ht="30" customHeight="1">
      <c r="V458" s="63"/>
      <c r="W458" s="63"/>
      <c r="X458" s="63"/>
    </row>
    <row r="459" spans="22:24" s="62" customFormat="1" ht="30" customHeight="1">
      <c r="V459" s="63"/>
      <c r="W459" s="63"/>
      <c r="X459" s="63"/>
    </row>
    <row r="460" spans="22:24" s="62" customFormat="1" ht="30" customHeight="1">
      <c r="V460" s="63"/>
      <c r="W460" s="63"/>
      <c r="X460" s="63"/>
    </row>
    <row r="461" spans="22:24" s="62" customFormat="1" ht="30" customHeight="1">
      <c r="V461" s="63"/>
      <c r="W461" s="63"/>
      <c r="X461" s="63"/>
    </row>
    <row r="462" spans="22:24" s="62" customFormat="1" ht="30" customHeight="1">
      <c r="V462" s="63"/>
      <c r="W462" s="63"/>
      <c r="X462" s="63"/>
    </row>
    <row r="463" spans="22:24" s="62" customFormat="1" ht="30" customHeight="1">
      <c r="V463" s="63"/>
      <c r="W463" s="63"/>
      <c r="X463" s="63"/>
    </row>
    <row r="464" spans="22:24" s="62" customFormat="1" ht="30" customHeight="1">
      <c r="V464" s="63"/>
      <c r="W464" s="63"/>
      <c r="X464" s="63"/>
    </row>
    <row r="465" spans="22:24" s="62" customFormat="1" ht="30" customHeight="1">
      <c r="V465" s="63"/>
      <c r="W465" s="63"/>
      <c r="X465" s="63"/>
    </row>
    <row r="466" spans="22:24" s="62" customFormat="1" ht="30" customHeight="1">
      <c r="V466" s="63"/>
      <c r="W466" s="63"/>
      <c r="X466" s="63"/>
    </row>
    <row r="467" spans="22:24" s="62" customFormat="1" ht="30" customHeight="1">
      <c r="V467" s="63"/>
      <c r="W467" s="63"/>
      <c r="X467" s="63"/>
    </row>
    <row r="468" spans="22:24" s="62" customFormat="1" ht="30" customHeight="1">
      <c r="V468" s="63"/>
      <c r="W468" s="63"/>
      <c r="X468" s="63"/>
    </row>
    <row r="469" spans="22:24" s="62" customFormat="1" ht="30" customHeight="1">
      <c r="V469" s="63"/>
      <c r="W469" s="63"/>
      <c r="X469" s="63"/>
    </row>
    <row r="470" spans="22:24" s="62" customFormat="1" ht="30" customHeight="1">
      <c r="V470" s="63"/>
      <c r="W470" s="63"/>
      <c r="X470" s="63"/>
    </row>
    <row r="471" spans="22:24" s="62" customFormat="1" ht="30" customHeight="1">
      <c r="V471" s="63"/>
      <c r="W471" s="63"/>
      <c r="X471" s="63"/>
    </row>
    <row r="472" spans="22:24" s="62" customFormat="1" ht="30" customHeight="1">
      <c r="V472" s="63"/>
      <c r="W472" s="63"/>
      <c r="X472" s="63"/>
    </row>
    <row r="473" spans="22:24" s="62" customFormat="1" ht="30" customHeight="1">
      <c r="V473" s="63"/>
      <c r="W473" s="63"/>
      <c r="X473" s="63"/>
    </row>
    <row r="474" spans="22:24" s="62" customFormat="1" ht="30" customHeight="1">
      <c r="V474" s="63"/>
      <c r="W474" s="63"/>
      <c r="X474" s="63"/>
    </row>
    <row r="475" spans="22:24" s="62" customFormat="1" ht="30" customHeight="1">
      <c r="V475" s="63"/>
      <c r="W475" s="63"/>
      <c r="X475" s="63"/>
    </row>
    <row r="476" spans="22:24" s="62" customFormat="1" ht="30" customHeight="1">
      <c r="V476" s="63"/>
      <c r="W476" s="63"/>
      <c r="X476" s="63"/>
    </row>
    <row r="477" spans="22:24" s="62" customFormat="1" ht="30" customHeight="1">
      <c r="V477" s="63"/>
      <c r="W477" s="63"/>
      <c r="X477" s="63"/>
    </row>
    <row r="478" spans="22:24" s="62" customFormat="1" ht="30" customHeight="1">
      <c r="V478" s="63"/>
      <c r="W478" s="63"/>
      <c r="X478" s="63"/>
    </row>
    <row r="479" spans="22:24" s="62" customFormat="1" ht="30" customHeight="1">
      <c r="V479" s="63"/>
      <c r="W479" s="63"/>
      <c r="X479" s="63"/>
    </row>
    <row r="480" spans="22:24" s="62" customFormat="1" ht="30" customHeight="1">
      <c r="V480" s="63"/>
      <c r="W480" s="63"/>
      <c r="X480" s="63"/>
    </row>
    <row r="481" spans="22:24" s="62" customFormat="1" ht="30" customHeight="1">
      <c r="V481" s="63"/>
      <c r="W481" s="63"/>
      <c r="X481" s="63"/>
    </row>
    <row r="482" spans="22:24" s="62" customFormat="1" ht="30" customHeight="1">
      <c r="V482" s="63"/>
      <c r="W482" s="63"/>
      <c r="X482" s="63"/>
    </row>
    <row r="483" spans="22:24" s="62" customFormat="1" ht="30" customHeight="1">
      <c r="V483" s="63"/>
      <c r="W483" s="63"/>
      <c r="X483" s="63"/>
    </row>
    <row r="484" spans="22:24" s="62" customFormat="1" ht="30" customHeight="1">
      <c r="V484" s="63"/>
      <c r="W484" s="63"/>
      <c r="X484" s="63"/>
    </row>
    <row r="485" spans="22:24" s="62" customFormat="1" ht="30" customHeight="1">
      <c r="V485" s="63"/>
      <c r="W485" s="63"/>
      <c r="X485" s="63"/>
    </row>
    <row r="486" spans="22:24" s="62" customFormat="1" ht="30" customHeight="1">
      <c r="V486" s="63"/>
      <c r="W486" s="63"/>
      <c r="X486" s="63"/>
    </row>
    <row r="487" spans="22:24" s="62" customFormat="1" ht="30" customHeight="1">
      <c r="V487" s="63"/>
      <c r="W487" s="63"/>
      <c r="X487" s="63"/>
    </row>
    <row r="488" spans="22:24" s="62" customFormat="1" ht="30" customHeight="1">
      <c r="V488" s="63"/>
      <c r="W488" s="63"/>
      <c r="X488" s="63"/>
    </row>
    <row r="489" spans="22:24" s="62" customFormat="1" ht="30" customHeight="1">
      <c r="V489" s="63"/>
      <c r="W489" s="63"/>
      <c r="X489" s="63"/>
    </row>
    <row r="490" spans="22:24" s="62" customFormat="1" ht="30" customHeight="1">
      <c r="V490" s="63"/>
      <c r="W490" s="63"/>
      <c r="X490" s="63"/>
    </row>
    <row r="491" spans="22:24" s="62" customFormat="1" ht="30" customHeight="1">
      <c r="V491" s="63"/>
      <c r="W491" s="63"/>
      <c r="X491" s="63"/>
    </row>
    <row r="492" spans="22:24" s="62" customFormat="1" ht="30" customHeight="1">
      <c r="V492" s="63"/>
      <c r="W492" s="63"/>
      <c r="X492" s="63"/>
    </row>
    <row r="493" spans="22:24" s="62" customFormat="1" ht="30" customHeight="1">
      <c r="V493" s="63"/>
      <c r="W493" s="63"/>
      <c r="X493" s="63"/>
    </row>
    <row r="494" spans="22:24" s="62" customFormat="1" ht="30" customHeight="1">
      <c r="V494" s="63"/>
      <c r="W494" s="63"/>
      <c r="X494" s="63"/>
    </row>
    <row r="495" spans="22:24" s="62" customFormat="1" ht="30" customHeight="1">
      <c r="V495" s="63"/>
      <c r="W495" s="63"/>
      <c r="X495" s="63"/>
    </row>
    <row r="496" spans="22:24" s="62" customFormat="1" ht="30" customHeight="1">
      <c r="V496" s="63"/>
      <c r="W496" s="63"/>
      <c r="X496" s="63"/>
    </row>
    <row r="497" spans="22:24" s="62" customFormat="1" ht="30" customHeight="1">
      <c r="V497" s="63"/>
      <c r="W497" s="63"/>
      <c r="X497" s="63"/>
    </row>
    <row r="498" spans="22:24" s="62" customFormat="1" ht="30" customHeight="1">
      <c r="V498" s="63"/>
      <c r="W498" s="63"/>
      <c r="X498" s="63"/>
    </row>
    <row r="499" spans="22:24" s="62" customFormat="1" ht="30" customHeight="1">
      <c r="V499" s="63"/>
      <c r="W499" s="63"/>
      <c r="X499" s="63"/>
    </row>
    <row r="500" spans="22:24" s="62" customFormat="1" ht="30" customHeight="1">
      <c r="V500" s="63"/>
      <c r="W500" s="63"/>
      <c r="X500" s="63"/>
    </row>
    <row r="501" spans="22:24" s="62" customFormat="1" ht="30" customHeight="1">
      <c r="V501" s="63"/>
      <c r="W501" s="63"/>
      <c r="X501" s="63"/>
    </row>
    <row r="502" spans="22:24" s="62" customFormat="1" ht="30" customHeight="1">
      <c r="V502" s="63"/>
      <c r="W502" s="63"/>
      <c r="X502" s="63"/>
    </row>
    <row r="503" spans="22:24" s="62" customFormat="1" ht="30" customHeight="1">
      <c r="V503" s="63"/>
      <c r="W503" s="63"/>
      <c r="X503" s="63"/>
    </row>
    <row r="504" spans="22:24" s="62" customFormat="1" ht="30" customHeight="1">
      <c r="V504" s="63"/>
      <c r="W504" s="63"/>
      <c r="X504" s="63"/>
    </row>
    <row r="505" spans="22:24" s="62" customFormat="1" ht="30" customHeight="1">
      <c r="V505" s="63"/>
      <c r="W505" s="63"/>
      <c r="X505" s="63"/>
    </row>
    <row r="506" spans="22:24" s="62" customFormat="1" ht="30" customHeight="1">
      <c r="V506" s="63"/>
      <c r="W506" s="63"/>
      <c r="X506" s="63"/>
    </row>
    <row r="507" spans="22:24" s="62" customFormat="1" ht="30" customHeight="1">
      <c r="V507" s="63"/>
      <c r="W507" s="63"/>
      <c r="X507" s="63"/>
    </row>
    <row r="508" spans="22:24" s="62" customFormat="1" ht="30" customHeight="1">
      <c r="V508" s="63"/>
      <c r="W508" s="63"/>
      <c r="X508" s="63"/>
    </row>
    <row r="509" spans="22:24" s="62" customFormat="1" ht="30" customHeight="1">
      <c r="V509" s="63"/>
      <c r="W509" s="63"/>
      <c r="X509" s="63"/>
    </row>
    <row r="510" spans="22:24" s="62" customFormat="1" ht="30" customHeight="1">
      <c r="V510" s="63"/>
      <c r="W510" s="63"/>
      <c r="X510" s="63"/>
    </row>
    <row r="511" spans="22:24" s="62" customFormat="1" ht="30" customHeight="1">
      <c r="V511" s="63"/>
      <c r="W511" s="63"/>
      <c r="X511" s="63"/>
    </row>
    <row r="512" spans="22:24" s="62" customFormat="1" ht="30" customHeight="1">
      <c r="V512" s="63"/>
      <c r="W512" s="63"/>
      <c r="X512" s="63"/>
    </row>
    <row r="513" spans="22:24" s="62" customFormat="1" ht="30" customHeight="1">
      <c r="V513" s="63"/>
      <c r="W513" s="63"/>
      <c r="X513" s="63"/>
    </row>
    <row r="514" spans="22:24" s="62" customFormat="1" ht="30" customHeight="1">
      <c r="V514" s="63"/>
      <c r="W514" s="63"/>
      <c r="X514" s="63"/>
    </row>
    <row r="515" spans="22:24" s="62" customFormat="1" ht="30" customHeight="1">
      <c r="V515" s="63"/>
      <c r="W515" s="63"/>
      <c r="X515" s="63"/>
    </row>
    <row r="516" spans="22:24" s="62" customFormat="1" ht="30" customHeight="1">
      <c r="V516" s="63"/>
      <c r="W516" s="63"/>
      <c r="X516" s="63"/>
    </row>
    <row r="517" spans="22:24" s="62" customFormat="1" ht="30" customHeight="1">
      <c r="V517" s="63"/>
      <c r="W517" s="63"/>
      <c r="X517" s="63"/>
    </row>
    <row r="518" spans="22:24" s="62" customFormat="1" ht="30" customHeight="1">
      <c r="V518" s="63"/>
      <c r="W518" s="63"/>
      <c r="X518" s="63"/>
    </row>
    <row r="519" spans="22:24" s="62" customFormat="1" ht="30" customHeight="1">
      <c r="V519" s="63"/>
      <c r="W519" s="63"/>
      <c r="X519" s="63"/>
    </row>
    <row r="520" spans="22:24" s="62" customFormat="1" ht="30" customHeight="1">
      <c r="V520" s="63"/>
      <c r="W520" s="63"/>
      <c r="X520" s="63"/>
    </row>
    <row r="521" spans="22:24" s="62" customFormat="1" ht="30" customHeight="1">
      <c r="V521" s="63"/>
      <c r="W521" s="63"/>
      <c r="X521" s="63"/>
    </row>
    <row r="522" spans="22:24" s="62" customFormat="1" ht="30" customHeight="1">
      <c r="V522" s="63"/>
      <c r="W522" s="63"/>
      <c r="X522" s="63"/>
    </row>
    <row r="523" spans="22:24" s="62" customFormat="1" ht="30" customHeight="1">
      <c r="V523" s="63"/>
      <c r="W523" s="63"/>
      <c r="X523" s="63"/>
    </row>
    <row r="524" spans="22:24" s="62" customFormat="1" ht="30" customHeight="1">
      <c r="V524" s="63"/>
      <c r="W524" s="63"/>
      <c r="X524" s="63"/>
    </row>
    <row r="525" spans="22:24" s="62" customFormat="1" ht="30" customHeight="1">
      <c r="V525" s="63"/>
      <c r="W525" s="63"/>
      <c r="X525" s="63"/>
    </row>
    <row r="526" spans="22:24" s="62" customFormat="1" ht="30" customHeight="1">
      <c r="V526" s="63"/>
      <c r="W526" s="63"/>
      <c r="X526" s="63"/>
    </row>
    <row r="527" spans="22:24" s="62" customFormat="1" ht="30" customHeight="1">
      <c r="V527" s="63"/>
      <c r="W527" s="63"/>
      <c r="X527" s="63"/>
    </row>
    <row r="528" spans="22:24" s="62" customFormat="1" ht="30" customHeight="1">
      <c r="V528" s="63"/>
      <c r="W528" s="63"/>
      <c r="X528" s="63"/>
    </row>
    <row r="529" spans="22:24" s="62" customFormat="1" ht="30" customHeight="1">
      <c r="V529" s="63"/>
      <c r="W529" s="63"/>
      <c r="X529" s="63"/>
    </row>
    <row r="530" spans="22:24" s="62" customFormat="1" ht="30" customHeight="1">
      <c r="V530" s="63"/>
      <c r="W530" s="63"/>
      <c r="X530" s="63"/>
    </row>
    <row r="531" spans="22:24" s="62" customFormat="1" ht="30" customHeight="1">
      <c r="V531" s="63"/>
      <c r="W531" s="63"/>
      <c r="X531" s="63"/>
    </row>
    <row r="532" spans="22:24" s="62" customFormat="1" ht="30" customHeight="1">
      <c r="V532" s="63"/>
      <c r="W532" s="63"/>
      <c r="X532" s="63"/>
    </row>
    <row r="533" spans="22:24" s="62" customFormat="1" ht="30" customHeight="1">
      <c r="V533" s="63"/>
      <c r="W533" s="63"/>
      <c r="X533" s="63"/>
    </row>
    <row r="534" spans="22:24" s="62" customFormat="1" ht="30" customHeight="1">
      <c r="V534" s="63"/>
      <c r="W534" s="63"/>
      <c r="X534" s="63"/>
    </row>
    <row r="535" spans="22:24" s="62" customFormat="1" ht="30" customHeight="1">
      <c r="V535" s="63"/>
      <c r="W535" s="63"/>
      <c r="X535" s="63"/>
    </row>
    <row r="536" spans="22:24" s="62" customFormat="1" ht="30" customHeight="1">
      <c r="V536" s="63"/>
      <c r="W536" s="63"/>
      <c r="X536" s="63"/>
    </row>
    <row r="537" spans="22:24" s="62" customFormat="1" ht="30" customHeight="1">
      <c r="V537" s="63"/>
      <c r="W537" s="63"/>
      <c r="X537" s="63"/>
    </row>
    <row r="538" spans="22:24" s="62" customFormat="1" ht="30" customHeight="1">
      <c r="V538" s="63"/>
      <c r="W538" s="63"/>
      <c r="X538" s="63"/>
    </row>
    <row r="539" spans="22:24" s="62" customFormat="1" ht="30" customHeight="1">
      <c r="V539" s="63"/>
      <c r="W539" s="63"/>
      <c r="X539" s="63"/>
    </row>
    <row r="540" spans="22:24" s="62" customFormat="1" ht="30" customHeight="1">
      <c r="V540" s="63"/>
      <c r="W540" s="63"/>
      <c r="X540" s="63"/>
    </row>
    <row r="541" spans="22:24" s="62" customFormat="1" ht="30" customHeight="1">
      <c r="V541" s="63"/>
      <c r="W541" s="63"/>
      <c r="X541" s="63"/>
    </row>
    <row r="542" spans="22:24" s="62" customFormat="1" ht="30" customHeight="1">
      <c r="V542" s="63"/>
      <c r="W542" s="63"/>
      <c r="X542" s="63"/>
    </row>
    <row r="543" spans="22:24" s="62" customFormat="1" ht="30" customHeight="1">
      <c r="V543" s="63"/>
      <c r="W543" s="63"/>
      <c r="X543" s="63"/>
    </row>
    <row r="544" spans="22:24" s="62" customFormat="1" ht="30" customHeight="1">
      <c r="V544" s="63"/>
      <c r="W544" s="63"/>
      <c r="X544" s="63"/>
    </row>
    <row r="545" spans="2:24" s="62" customFormat="1" ht="30" customHeight="1">
      <c r="V545" s="63"/>
      <c r="W545" s="63"/>
      <c r="X545" s="63"/>
    </row>
    <row r="546" spans="2:24" s="62" customFormat="1" ht="30" customHeight="1">
      <c r="V546" s="63"/>
      <c r="W546" s="63"/>
      <c r="X546" s="63"/>
    </row>
    <row r="547" spans="2:24" s="62" customFormat="1" ht="30" customHeight="1">
      <c r="V547" s="63"/>
      <c r="W547" s="63"/>
      <c r="X547" s="63"/>
    </row>
    <row r="548" spans="2:24" s="62" customFormat="1" ht="30" customHeight="1">
      <c r="V548" s="63"/>
      <c r="W548" s="63"/>
      <c r="X548" s="63"/>
    </row>
    <row r="549" spans="2:24" s="62" customFormat="1" ht="30" customHeight="1">
      <c r="V549" s="63"/>
      <c r="W549" s="63"/>
      <c r="X549" s="63"/>
    </row>
    <row r="550" spans="2:24" s="62" customFormat="1" ht="30" customHeight="1">
      <c r="V550" s="63"/>
      <c r="W550" s="63"/>
      <c r="X550" s="63"/>
    </row>
    <row r="551" spans="2:24" s="62" customFormat="1" ht="30" customHeight="1">
      <c r="V551" s="63"/>
      <c r="W551" s="63"/>
      <c r="X551" s="63"/>
    </row>
    <row r="552" spans="2:24" s="62" customFormat="1" ht="30" customHeight="1">
      <c r="V552" s="63"/>
      <c r="W552" s="63"/>
      <c r="X552" s="63"/>
    </row>
    <row r="553" spans="2:24" s="62" customFormat="1" ht="30" customHeight="1">
      <c r="V553" s="63"/>
      <c r="W553" s="63"/>
      <c r="X553" s="63"/>
    </row>
    <row r="554" spans="2:24" s="62" customFormat="1" ht="30" customHeight="1">
      <c r="V554" s="63"/>
      <c r="W554" s="63"/>
      <c r="X554" s="63"/>
    </row>
    <row r="555" spans="2:24" ht="30" customHeight="1">
      <c r="B555" s="62"/>
      <c r="C555" s="62"/>
      <c r="D555" s="62"/>
      <c r="E555" s="62"/>
      <c r="F555" s="62"/>
      <c r="G555" s="62"/>
      <c r="H555" s="62"/>
      <c r="I555" s="62"/>
      <c r="J555" s="62"/>
      <c r="K555" s="62"/>
      <c r="L555" s="62"/>
      <c r="M555" s="62"/>
      <c r="N555" s="62"/>
      <c r="O555" s="62"/>
      <c r="P555" s="62"/>
      <c r="Q555" s="62"/>
      <c r="R555" s="62"/>
      <c r="S555" s="62"/>
      <c r="T555" s="62"/>
      <c r="U555" s="62"/>
      <c r="V555" s="63"/>
      <c r="W555" s="63"/>
      <c r="X555" s="63"/>
    </row>
    <row r="556" spans="2:24" ht="30" customHeight="1">
      <c r="B556" s="62"/>
      <c r="C556" s="62"/>
      <c r="D556" s="62"/>
      <c r="E556" s="62"/>
      <c r="F556" s="62"/>
      <c r="G556" s="62"/>
      <c r="H556" s="62"/>
      <c r="I556" s="62"/>
      <c r="J556" s="62"/>
      <c r="K556" s="62"/>
      <c r="L556" s="62"/>
      <c r="M556" s="62"/>
      <c r="N556" s="62"/>
      <c r="O556" s="62"/>
      <c r="P556" s="62"/>
      <c r="Q556" s="62"/>
      <c r="R556" s="62"/>
      <c r="S556" s="62"/>
      <c r="T556" s="62"/>
      <c r="U556" s="62"/>
      <c r="V556" s="63"/>
      <c r="W556" s="63"/>
      <c r="X556" s="63"/>
    </row>
    <row r="557" spans="2:24" ht="30" customHeight="1">
      <c r="B557" s="62"/>
      <c r="C557" s="62"/>
      <c r="D557" s="62"/>
      <c r="E557" s="62"/>
      <c r="F557" s="62"/>
      <c r="G557" s="62"/>
      <c r="H557" s="62"/>
      <c r="I557" s="62"/>
      <c r="J557" s="62"/>
      <c r="K557" s="62"/>
      <c r="L557" s="62"/>
      <c r="M557" s="62"/>
      <c r="N557" s="62"/>
      <c r="O557" s="62"/>
      <c r="P557" s="62"/>
      <c r="Q557" s="62"/>
      <c r="R557" s="62"/>
      <c r="S557" s="62"/>
      <c r="T557" s="62"/>
      <c r="U557" s="62"/>
      <c r="V557" s="63"/>
      <c r="W557" s="63"/>
      <c r="X557" s="63"/>
    </row>
    <row r="558" spans="2:24" ht="30" customHeight="1">
      <c r="B558" s="62"/>
      <c r="C558" s="62"/>
      <c r="D558" s="62"/>
      <c r="E558" s="62"/>
      <c r="F558" s="62"/>
      <c r="G558" s="62"/>
      <c r="H558" s="62"/>
      <c r="I558" s="62"/>
      <c r="J558" s="62"/>
      <c r="K558" s="62"/>
      <c r="L558" s="62"/>
      <c r="M558" s="62"/>
      <c r="N558" s="62"/>
      <c r="O558" s="62"/>
      <c r="P558" s="62"/>
      <c r="Q558" s="62"/>
      <c r="R558" s="62"/>
      <c r="S558" s="62"/>
      <c r="T558" s="62"/>
      <c r="U558" s="62"/>
      <c r="V558" s="63"/>
      <c r="W558" s="63"/>
      <c r="X558" s="63"/>
    </row>
    <row r="559" spans="2:24" ht="30" customHeight="1">
      <c r="B559" s="62"/>
      <c r="C559" s="62"/>
      <c r="D559" s="62"/>
      <c r="E559" s="62"/>
      <c r="F559" s="62"/>
      <c r="G559" s="62"/>
      <c r="H559" s="62"/>
      <c r="I559" s="62"/>
      <c r="J559" s="62"/>
      <c r="K559" s="62"/>
      <c r="L559" s="62"/>
      <c r="M559" s="62"/>
      <c r="N559" s="62"/>
      <c r="O559" s="62"/>
      <c r="P559" s="62"/>
      <c r="Q559" s="62"/>
      <c r="R559" s="62"/>
      <c r="S559" s="62"/>
      <c r="T559" s="62"/>
      <c r="U559" s="62"/>
      <c r="V559" s="63"/>
      <c r="W559" s="63"/>
      <c r="X559" s="63"/>
    </row>
    <row r="560" spans="2:24" ht="30" customHeight="1">
      <c r="B560" s="62"/>
      <c r="C560" s="62"/>
      <c r="D560" s="62"/>
      <c r="E560" s="62"/>
      <c r="F560" s="62"/>
      <c r="G560" s="62"/>
      <c r="H560" s="62"/>
      <c r="I560" s="62"/>
      <c r="J560" s="62"/>
      <c r="K560" s="62"/>
      <c r="L560" s="62"/>
      <c r="M560" s="62"/>
      <c r="N560" s="62"/>
      <c r="O560" s="62"/>
      <c r="P560" s="62"/>
      <c r="Q560" s="62"/>
      <c r="R560" s="62"/>
      <c r="S560" s="62"/>
      <c r="T560" s="62"/>
      <c r="U560" s="62"/>
      <c r="V560" s="63"/>
      <c r="W560" s="63"/>
      <c r="X560" s="63"/>
    </row>
    <row r="561" spans="2:24" ht="30" customHeight="1">
      <c r="B561" s="62"/>
      <c r="C561" s="62"/>
      <c r="D561" s="62"/>
      <c r="E561" s="62"/>
      <c r="F561" s="62"/>
      <c r="G561" s="62"/>
      <c r="H561" s="62"/>
      <c r="I561" s="62"/>
      <c r="J561" s="62"/>
      <c r="K561" s="62"/>
      <c r="L561" s="62"/>
      <c r="M561" s="62"/>
      <c r="N561" s="62"/>
      <c r="O561" s="62"/>
      <c r="P561" s="62"/>
      <c r="Q561" s="62"/>
      <c r="R561" s="62"/>
      <c r="S561" s="62"/>
      <c r="T561" s="62"/>
      <c r="U561" s="62"/>
      <c r="V561" s="63"/>
      <c r="W561" s="63"/>
      <c r="X561" s="63"/>
    </row>
    <row r="562" spans="2:24" ht="30" customHeight="1">
      <c r="B562" s="62"/>
      <c r="C562" s="62"/>
      <c r="D562" s="62"/>
      <c r="E562" s="62"/>
      <c r="F562" s="62"/>
      <c r="G562" s="62"/>
      <c r="H562" s="62"/>
      <c r="I562" s="62"/>
      <c r="J562" s="62"/>
      <c r="K562" s="62"/>
      <c r="L562" s="62"/>
      <c r="M562" s="62"/>
      <c r="N562" s="62"/>
      <c r="O562" s="62"/>
      <c r="P562" s="62"/>
      <c r="Q562" s="62"/>
      <c r="R562" s="62"/>
      <c r="S562" s="62"/>
      <c r="T562" s="62"/>
      <c r="U562" s="62"/>
      <c r="V562" s="63"/>
      <c r="W562" s="63"/>
      <c r="X562" s="63"/>
    </row>
    <row r="563" spans="2:24" ht="30" customHeight="1">
      <c r="B563" s="62"/>
      <c r="C563" s="62"/>
      <c r="D563" s="62"/>
      <c r="E563" s="62"/>
      <c r="F563" s="62"/>
      <c r="G563" s="62"/>
      <c r="H563" s="62"/>
      <c r="I563" s="62"/>
      <c r="J563" s="62"/>
      <c r="K563" s="62"/>
      <c r="L563" s="62"/>
      <c r="M563" s="62"/>
      <c r="N563" s="62"/>
      <c r="O563" s="62"/>
      <c r="P563" s="62"/>
      <c r="Q563" s="62"/>
      <c r="R563" s="62"/>
      <c r="S563" s="62"/>
      <c r="T563" s="62"/>
      <c r="U563" s="62"/>
      <c r="V563" s="63"/>
      <c r="W563" s="63"/>
      <c r="X563" s="63"/>
    </row>
    <row r="564" spans="2:24" ht="30" customHeight="1">
      <c r="B564" s="62"/>
      <c r="C564" s="62"/>
      <c r="D564" s="62"/>
      <c r="E564" s="62"/>
      <c r="F564" s="62"/>
      <c r="G564" s="62"/>
      <c r="H564" s="62"/>
      <c r="I564" s="62"/>
      <c r="J564" s="62"/>
      <c r="K564" s="62"/>
      <c r="L564" s="62"/>
      <c r="M564" s="62"/>
      <c r="N564" s="62"/>
      <c r="O564" s="62"/>
      <c r="P564" s="62"/>
      <c r="Q564" s="62"/>
      <c r="R564" s="62"/>
      <c r="S564" s="62"/>
      <c r="T564" s="62"/>
      <c r="U564" s="62"/>
      <c r="V564" s="63"/>
      <c r="W564" s="63"/>
      <c r="X564" s="63"/>
    </row>
    <row r="565" spans="2:24" ht="30" customHeight="1">
      <c r="B565" s="62"/>
      <c r="C565" s="62"/>
      <c r="D565" s="62"/>
      <c r="E565" s="62"/>
      <c r="F565" s="62"/>
      <c r="G565" s="62"/>
      <c r="H565" s="62"/>
      <c r="I565" s="62"/>
      <c r="J565" s="62"/>
      <c r="K565" s="62"/>
      <c r="L565" s="62"/>
      <c r="M565" s="62"/>
      <c r="N565" s="62"/>
      <c r="O565" s="62"/>
      <c r="P565" s="62"/>
      <c r="Q565" s="62"/>
      <c r="R565" s="62"/>
      <c r="S565" s="62"/>
      <c r="T565" s="62"/>
      <c r="U565" s="62"/>
      <c r="V565" s="63"/>
      <c r="W565" s="63"/>
      <c r="X565" s="63"/>
    </row>
    <row r="566" spans="2:24" ht="30" customHeight="1">
      <c r="B566" s="62"/>
      <c r="C566" s="62"/>
      <c r="D566" s="62"/>
      <c r="E566" s="62"/>
      <c r="F566" s="62"/>
      <c r="G566" s="62"/>
      <c r="H566" s="62"/>
      <c r="I566" s="62"/>
      <c r="J566" s="62"/>
      <c r="K566" s="62"/>
      <c r="L566" s="62"/>
      <c r="M566" s="62"/>
      <c r="N566" s="62"/>
      <c r="O566" s="62"/>
      <c r="P566" s="62"/>
      <c r="Q566" s="62"/>
      <c r="R566" s="62"/>
      <c r="S566" s="62"/>
      <c r="T566" s="62"/>
      <c r="U566" s="62"/>
      <c r="V566" s="63"/>
      <c r="W566" s="63"/>
      <c r="X566" s="63"/>
    </row>
    <row r="567" spans="2:24" ht="30" customHeight="1">
      <c r="B567" s="62"/>
      <c r="C567" s="62"/>
      <c r="D567" s="62"/>
      <c r="E567" s="62"/>
      <c r="F567" s="62"/>
      <c r="G567" s="62"/>
      <c r="H567" s="62"/>
      <c r="I567" s="62"/>
      <c r="J567" s="62"/>
      <c r="K567" s="62"/>
      <c r="L567" s="62"/>
      <c r="M567" s="62"/>
      <c r="N567" s="62"/>
      <c r="O567" s="62"/>
      <c r="P567" s="62"/>
      <c r="Q567" s="62"/>
      <c r="R567" s="62"/>
      <c r="S567" s="62"/>
      <c r="T567" s="62"/>
      <c r="U567" s="62"/>
      <c r="V567" s="63"/>
      <c r="W567" s="63"/>
      <c r="X567" s="63"/>
    </row>
    <row r="568" spans="2:24" ht="30" customHeight="1">
      <c r="B568" s="62"/>
      <c r="C568" s="62"/>
      <c r="D568" s="62"/>
      <c r="E568" s="62"/>
      <c r="F568" s="62"/>
      <c r="G568" s="62"/>
      <c r="H568" s="62"/>
      <c r="I568" s="62"/>
      <c r="J568" s="62"/>
      <c r="K568" s="62"/>
      <c r="L568" s="62"/>
      <c r="M568" s="62"/>
      <c r="N568" s="62"/>
      <c r="O568" s="62"/>
      <c r="P568" s="62"/>
      <c r="Q568" s="62"/>
      <c r="R568" s="62"/>
      <c r="S568" s="62"/>
      <c r="T568" s="62"/>
      <c r="U568" s="62"/>
      <c r="V568" s="63"/>
      <c r="W568" s="63"/>
      <c r="X568" s="63"/>
    </row>
    <row r="569" spans="2:24" ht="30" customHeight="1">
      <c r="B569" s="62"/>
      <c r="C569" s="62"/>
      <c r="D569" s="62"/>
      <c r="E569" s="62"/>
      <c r="F569" s="62"/>
      <c r="G569" s="62"/>
      <c r="H569" s="62"/>
      <c r="I569" s="62"/>
      <c r="J569" s="62"/>
      <c r="K569" s="62"/>
      <c r="L569" s="62"/>
      <c r="M569" s="62"/>
      <c r="N569" s="62"/>
      <c r="O569" s="62"/>
      <c r="P569" s="62"/>
      <c r="Q569" s="62"/>
      <c r="R569" s="62"/>
      <c r="S569" s="62"/>
      <c r="T569" s="62"/>
      <c r="U569" s="62"/>
      <c r="V569" s="63"/>
      <c r="W569" s="63"/>
      <c r="X569" s="63"/>
    </row>
    <row r="570" spans="2:24" ht="30" customHeight="1">
      <c r="B570" s="62"/>
      <c r="C570" s="62"/>
      <c r="D570" s="62"/>
      <c r="E570" s="62"/>
      <c r="F570" s="62"/>
      <c r="G570" s="62"/>
      <c r="H570" s="62"/>
      <c r="I570" s="62"/>
      <c r="J570" s="62"/>
      <c r="K570" s="62"/>
      <c r="L570" s="62"/>
      <c r="M570" s="62"/>
      <c r="N570" s="62"/>
      <c r="O570" s="62"/>
      <c r="P570" s="62"/>
      <c r="Q570" s="62"/>
      <c r="R570" s="62"/>
      <c r="S570" s="62"/>
      <c r="T570" s="62"/>
      <c r="U570" s="62"/>
      <c r="V570" s="63"/>
      <c r="W570" s="63"/>
      <c r="X570" s="63"/>
    </row>
    <row r="571" spans="2:24" ht="30" customHeight="1">
      <c r="B571" s="62"/>
      <c r="C571" s="62"/>
      <c r="D571" s="62"/>
      <c r="E571" s="62"/>
      <c r="F571" s="62"/>
      <c r="G571" s="62"/>
      <c r="H571" s="62"/>
      <c r="I571" s="62"/>
      <c r="J571" s="62"/>
      <c r="K571" s="62"/>
      <c r="L571" s="62"/>
      <c r="M571" s="62"/>
      <c r="N571" s="62"/>
      <c r="O571" s="62"/>
      <c r="P571" s="62"/>
      <c r="Q571" s="62"/>
      <c r="R571" s="62"/>
      <c r="S571" s="62"/>
      <c r="T571" s="62"/>
      <c r="U571" s="62"/>
      <c r="V571" s="63"/>
      <c r="W571" s="63"/>
      <c r="X571" s="63"/>
    </row>
    <row r="572" spans="2:24" ht="30" customHeight="1">
      <c r="B572" s="62"/>
      <c r="C572" s="62"/>
      <c r="D572" s="62"/>
      <c r="E572" s="62"/>
      <c r="F572" s="62"/>
      <c r="G572" s="62"/>
      <c r="H572" s="62"/>
      <c r="I572" s="62"/>
      <c r="J572" s="62"/>
      <c r="K572" s="62"/>
      <c r="L572" s="62"/>
      <c r="M572" s="62"/>
      <c r="N572" s="62"/>
      <c r="O572" s="62"/>
      <c r="P572" s="62"/>
      <c r="Q572" s="62"/>
      <c r="R572" s="62"/>
      <c r="S572" s="62"/>
      <c r="T572" s="62"/>
      <c r="U572" s="62"/>
      <c r="V572" s="63"/>
      <c r="W572" s="63"/>
      <c r="X572" s="63"/>
    </row>
    <row r="573" spans="2:24" ht="30" customHeight="1">
      <c r="B573" s="62"/>
      <c r="C573" s="62"/>
      <c r="D573" s="62"/>
      <c r="E573" s="62"/>
      <c r="F573" s="62"/>
      <c r="G573" s="62"/>
      <c r="H573" s="62"/>
      <c r="I573" s="62"/>
      <c r="J573" s="62"/>
      <c r="K573" s="62"/>
      <c r="L573" s="62"/>
      <c r="M573" s="62"/>
      <c r="N573" s="62"/>
      <c r="O573" s="62"/>
      <c r="P573" s="62"/>
      <c r="Q573" s="62"/>
      <c r="R573" s="62"/>
      <c r="S573" s="62"/>
      <c r="T573" s="62"/>
      <c r="U573" s="62"/>
      <c r="V573" s="63"/>
      <c r="W573" s="63"/>
      <c r="X573" s="63"/>
    </row>
    <row r="574" spans="2:24" ht="30" customHeight="1">
      <c r="B574" s="62"/>
      <c r="C574" s="62"/>
      <c r="D574" s="62"/>
      <c r="E574" s="62"/>
      <c r="F574" s="62"/>
      <c r="G574" s="62"/>
      <c r="H574" s="62"/>
      <c r="I574" s="62"/>
      <c r="J574" s="62"/>
      <c r="K574" s="62"/>
      <c r="L574" s="62"/>
      <c r="M574" s="62"/>
      <c r="N574" s="62"/>
      <c r="O574" s="62"/>
      <c r="P574" s="62"/>
      <c r="Q574" s="62"/>
      <c r="R574" s="62"/>
      <c r="S574" s="62"/>
      <c r="T574" s="62"/>
      <c r="U574" s="62"/>
      <c r="V574" s="63"/>
      <c r="W574" s="63"/>
      <c r="X574" s="63"/>
    </row>
    <row r="575" spans="2:24" ht="30" customHeight="1">
      <c r="B575" s="62"/>
      <c r="C575" s="62"/>
      <c r="D575" s="62"/>
      <c r="E575" s="62"/>
      <c r="F575" s="62"/>
      <c r="G575" s="62"/>
      <c r="H575" s="62"/>
      <c r="I575" s="62"/>
      <c r="J575" s="62"/>
      <c r="K575" s="62"/>
      <c r="L575" s="62"/>
      <c r="M575" s="62"/>
      <c r="N575" s="62"/>
      <c r="O575" s="62"/>
      <c r="P575" s="62"/>
      <c r="Q575" s="62"/>
      <c r="R575" s="62"/>
      <c r="S575" s="62"/>
      <c r="T575" s="62"/>
      <c r="U575" s="62"/>
      <c r="V575" s="63"/>
      <c r="W575" s="63"/>
      <c r="X575" s="63"/>
    </row>
    <row r="576" spans="2:24" ht="30" customHeight="1">
      <c r="B576" s="62"/>
      <c r="C576" s="62"/>
      <c r="D576" s="62"/>
      <c r="E576" s="62"/>
      <c r="F576" s="62"/>
      <c r="G576" s="62"/>
      <c r="H576" s="62"/>
      <c r="I576" s="62"/>
      <c r="J576" s="62"/>
      <c r="K576" s="62"/>
      <c r="L576" s="62"/>
      <c r="M576" s="62"/>
      <c r="N576" s="62"/>
      <c r="O576" s="62"/>
      <c r="P576" s="62"/>
      <c r="Q576" s="62"/>
      <c r="R576" s="62"/>
      <c r="S576" s="62"/>
      <c r="T576" s="62"/>
      <c r="U576" s="62"/>
      <c r="V576" s="63"/>
      <c r="W576" s="63"/>
      <c r="X576" s="63"/>
    </row>
    <row r="577" spans="2:24" ht="30" customHeight="1">
      <c r="B577" s="62"/>
      <c r="C577" s="62"/>
      <c r="D577" s="62"/>
      <c r="E577" s="62"/>
      <c r="F577" s="62"/>
      <c r="G577" s="62"/>
      <c r="H577" s="62"/>
      <c r="I577" s="62"/>
      <c r="J577" s="62"/>
      <c r="K577" s="62"/>
      <c r="L577" s="62"/>
      <c r="M577" s="62"/>
      <c r="N577" s="62"/>
      <c r="O577" s="62"/>
      <c r="P577" s="62"/>
      <c r="Q577" s="62"/>
      <c r="R577" s="62"/>
      <c r="S577" s="62"/>
      <c r="T577" s="62"/>
      <c r="U577" s="62"/>
      <c r="V577" s="63"/>
      <c r="W577" s="63"/>
      <c r="X577" s="63"/>
    </row>
    <row r="578" spans="2:24" ht="30" customHeight="1">
      <c r="B578" s="62"/>
      <c r="C578" s="62"/>
      <c r="D578" s="62"/>
      <c r="E578" s="62"/>
      <c r="F578" s="62"/>
      <c r="G578" s="62"/>
      <c r="H578" s="62"/>
      <c r="I578" s="62"/>
      <c r="J578" s="62"/>
      <c r="K578" s="62"/>
      <c r="L578" s="62"/>
      <c r="M578" s="62"/>
      <c r="N578" s="62"/>
      <c r="O578" s="62"/>
      <c r="P578" s="62"/>
      <c r="Q578" s="62"/>
      <c r="R578" s="62"/>
      <c r="S578" s="62"/>
      <c r="T578" s="62"/>
      <c r="U578" s="62"/>
      <c r="V578" s="63"/>
      <c r="W578" s="63"/>
      <c r="X578" s="63"/>
    </row>
    <row r="579" spans="2:24" ht="30" customHeight="1">
      <c r="B579" s="62"/>
      <c r="C579" s="62"/>
      <c r="D579" s="62"/>
      <c r="E579" s="62"/>
      <c r="F579" s="62"/>
      <c r="G579" s="62"/>
      <c r="H579" s="62"/>
      <c r="I579" s="62"/>
      <c r="J579" s="62"/>
      <c r="K579" s="62"/>
      <c r="L579" s="62"/>
      <c r="M579" s="62"/>
      <c r="N579" s="62"/>
      <c r="O579" s="62"/>
      <c r="P579" s="62"/>
      <c r="Q579" s="62"/>
      <c r="R579" s="62"/>
      <c r="S579" s="62"/>
      <c r="T579" s="62"/>
      <c r="U579" s="62"/>
      <c r="V579" s="63"/>
      <c r="W579" s="63"/>
      <c r="X579" s="63"/>
    </row>
    <row r="580" spans="2:24" ht="30" customHeight="1">
      <c r="B580" s="62"/>
      <c r="C580" s="62"/>
      <c r="D580" s="62"/>
      <c r="E580" s="62"/>
      <c r="F580" s="62"/>
      <c r="G580" s="62"/>
      <c r="H580" s="62"/>
      <c r="I580" s="62"/>
      <c r="J580" s="62"/>
      <c r="K580" s="62"/>
      <c r="L580" s="62"/>
      <c r="M580" s="62"/>
      <c r="N580" s="62"/>
      <c r="O580" s="62"/>
      <c r="P580" s="62"/>
      <c r="Q580" s="62"/>
      <c r="R580" s="62"/>
      <c r="S580" s="62"/>
      <c r="T580" s="62"/>
      <c r="U580" s="62"/>
      <c r="V580" s="63"/>
      <c r="W580" s="63"/>
      <c r="X580" s="63"/>
    </row>
    <row r="581" spans="2:24" ht="30" customHeight="1">
      <c r="B581" s="62"/>
      <c r="C581" s="62"/>
      <c r="D581" s="62"/>
      <c r="E581" s="62"/>
      <c r="F581" s="62"/>
      <c r="G581" s="62"/>
      <c r="H581" s="62"/>
      <c r="I581" s="62"/>
      <c r="J581" s="62"/>
      <c r="K581" s="62"/>
      <c r="L581" s="62"/>
      <c r="M581" s="62"/>
      <c r="N581" s="62"/>
      <c r="O581" s="62"/>
      <c r="P581" s="62"/>
      <c r="Q581" s="62"/>
      <c r="R581" s="62"/>
      <c r="S581" s="62"/>
      <c r="T581" s="62"/>
      <c r="U581" s="62"/>
      <c r="V581" s="63"/>
      <c r="W581" s="63"/>
      <c r="X581" s="63"/>
    </row>
    <row r="582" spans="2:24" ht="30" customHeight="1">
      <c r="B582" s="62"/>
      <c r="C582" s="62"/>
      <c r="D582" s="62"/>
      <c r="E582" s="62"/>
      <c r="F582" s="62"/>
      <c r="G582" s="62"/>
      <c r="H582" s="62"/>
      <c r="I582" s="62"/>
      <c r="J582" s="62"/>
      <c r="K582" s="62"/>
      <c r="L582" s="62"/>
      <c r="M582" s="62"/>
      <c r="N582" s="62"/>
      <c r="O582" s="62"/>
      <c r="P582" s="62"/>
      <c r="Q582" s="62"/>
      <c r="R582" s="62"/>
      <c r="S582" s="62"/>
      <c r="T582" s="62"/>
      <c r="U582" s="62"/>
      <c r="V582" s="63"/>
      <c r="W582" s="63"/>
      <c r="X582" s="63"/>
    </row>
    <row r="583" spans="2:24" ht="30" customHeight="1">
      <c r="B583" s="62"/>
      <c r="C583" s="62"/>
      <c r="D583" s="62"/>
      <c r="E583" s="62"/>
      <c r="F583" s="62"/>
      <c r="G583" s="62"/>
      <c r="H583" s="62"/>
      <c r="I583" s="62"/>
      <c r="J583" s="62"/>
      <c r="K583" s="62"/>
      <c r="L583" s="62"/>
      <c r="M583" s="62"/>
      <c r="N583" s="62"/>
      <c r="O583" s="62"/>
      <c r="P583" s="62"/>
      <c r="Q583" s="62"/>
      <c r="R583" s="62"/>
      <c r="S583" s="62"/>
      <c r="T583" s="62"/>
      <c r="U583" s="62"/>
      <c r="V583" s="63"/>
      <c r="W583" s="63"/>
      <c r="X583" s="63"/>
    </row>
    <row r="584" spans="2:24" ht="30" customHeight="1">
      <c r="B584" s="62"/>
      <c r="C584" s="62"/>
      <c r="D584" s="62"/>
      <c r="E584" s="62"/>
      <c r="F584" s="62"/>
      <c r="G584" s="62"/>
      <c r="H584" s="62"/>
      <c r="I584" s="62"/>
      <c r="J584" s="62"/>
      <c r="K584" s="62"/>
      <c r="L584" s="62"/>
      <c r="M584" s="62"/>
      <c r="N584" s="62"/>
      <c r="O584" s="62"/>
      <c r="P584" s="62"/>
      <c r="Q584" s="62"/>
      <c r="R584" s="62"/>
      <c r="S584" s="62"/>
      <c r="T584" s="62"/>
      <c r="U584" s="62"/>
      <c r="V584" s="63"/>
      <c r="W584" s="63"/>
      <c r="X584" s="63"/>
    </row>
    <row r="585" spans="2:24" ht="30" customHeight="1">
      <c r="B585" s="62"/>
      <c r="C585" s="62"/>
      <c r="D585" s="62"/>
      <c r="E585" s="62"/>
      <c r="F585" s="62"/>
      <c r="G585" s="62"/>
      <c r="H585" s="62"/>
      <c r="I585" s="62"/>
      <c r="J585" s="62"/>
      <c r="K585" s="62"/>
      <c r="L585" s="62"/>
      <c r="M585" s="62"/>
      <c r="N585" s="62"/>
      <c r="O585" s="62"/>
      <c r="P585" s="62"/>
      <c r="Q585" s="62"/>
      <c r="R585" s="62"/>
      <c r="S585" s="62"/>
      <c r="T585" s="62"/>
      <c r="U585" s="62"/>
      <c r="V585" s="63"/>
      <c r="W585" s="63"/>
      <c r="X585" s="63"/>
    </row>
    <row r="586" spans="2:24" ht="30" customHeight="1">
      <c r="B586" s="62"/>
      <c r="C586" s="62"/>
      <c r="D586" s="62"/>
      <c r="E586" s="62"/>
      <c r="F586" s="62"/>
      <c r="G586" s="62"/>
      <c r="H586" s="62"/>
      <c r="I586" s="62"/>
      <c r="J586" s="62"/>
      <c r="K586" s="62"/>
      <c r="L586" s="62"/>
      <c r="M586" s="62"/>
      <c r="N586" s="62"/>
      <c r="O586" s="62"/>
      <c r="P586" s="62"/>
      <c r="Q586" s="62"/>
      <c r="R586" s="62"/>
      <c r="S586" s="62"/>
      <c r="T586" s="62"/>
      <c r="U586" s="62"/>
      <c r="V586" s="63"/>
      <c r="W586" s="63"/>
      <c r="X586" s="63"/>
    </row>
    <row r="587" spans="2:24" ht="30" customHeight="1">
      <c r="B587" s="62"/>
      <c r="C587" s="62"/>
      <c r="D587" s="62"/>
      <c r="E587" s="62"/>
      <c r="F587" s="62"/>
      <c r="G587" s="62"/>
      <c r="H587" s="62"/>
      <c r="I587" s="62"/>
      <c r="J587" s="62"/>
      <c r="K587" s="62"/>
      <c r="L587" s="62"/>
      <c r="M587" s="62"/>
      <c r="N587" s="62"/>
      <c r="O587" s="62"/>
      <c r="P587" s="62"/>
      <c r="Q587" s="62"/>
      <c r="R587" s="62"/>
      <c r="S587" s="62"/>
      <c r="T587" s="62"/>
      <c r="U587" s="62"/>
      <c r="V587" s="63"/>
      <c r="W587" s="63"/>
      <c r="X587" s="63"/>
    </row>
    <row r="588" spans="2:24" ht="30" customHeight="1">
      <c r="B588" s="62"/>
      <c r="C588" s="62"/>
      <c r="D588" s="62"/>
      <c r="E588" s="62"/>
      <c r="F588" s="62"/>
      <c r="G588" s="62"/>
      <c r="H588" s="62"/>
      <c r="I588" s="62"/>
      <c r="J588" s="62"/>
      <c r="K588" s="62"/>
      <c r="L588" s="62"/>
      <c r="M588" s="62"/>
      <c r="N588" s="62"/>
      <c r="O588" s="62"/>
      <c r="P588" s="62"/>
      <c r="Q588" s="62"/>
      <c r="R588" s="62"/>
      <c r="S588" s="62"/>
      <c r="T588" s="62"/>
      <c r="U588" s="62"/>
      <c r="V588" s="63"/>
      <c r="W588" s="63"/>
      <c r="X588" s="63"/>
    </row>
    <row r="589" spans="2:24" ht="30" customHeight="1">
      <c r="B589" s="62"/>
      <c r="C589" s="62"/>
      <c r="D589" s="62"/>
      <c r="E589" s="62"/>
      <c r="F589" s="62"/>
      <c r="G589" s="62"/>
      <c r="H589" s="62"/>
      <c r="I589" s="62"/>
      <c r="J589" s="62"/>
      <c r="K589" s="62"/>
      <c r="L589" s="62"/>
      <c r="M589" s="62"/>
      <c r="N589" s="62"/>
      <c r="O589" s="62"/>
      <c r="P589" s="62"/>
      <c r="Q589" s="62"/>
      <c r="R589" s="62"/>
      <c r="S589" s="62"/>
      <c r="T589" s="62"/>
      <c r="U589" s="62"/>
      <c r="V589" s="63"/>
      <c r="W589" s="63"/>
      <c r="X589" s="63"/>
    </row>
    <row r="590" spans="2:24" ht="30" customHeight="1">
      <c r="B590" s="62"/>
      <c r="C590" s="62"/>
      <c r="D590" s="62"/>
      <c r="E590" s="62"/>
      <c r="F590" s="62"/>
      <c r="G590" s="62"/>
      <c r="H590" s="62"/>
      <c r="I590" s="62"/>
      <c r="J590" s="62"/>
      <c r="K590" s="62"/>
      <c r="L590" s="62"/>
      <c r="M590" s="62"/>
      <c r="N590" s="62"/>
      <c r="O590" s="62"/>
      <c r="P590" s="62"/>
      <c r="Q590" s="62"/>
      <c r="R590" s="62"/>
      <c r="S590" s="62"/>
      <c r="T590" s="62"/>
      <c r="U590" s="62"/>
      <c r="V590" s="63"/>
      <c r="W590" s="63"/>
      <c r="X590" s="63"/>
    </row>
    <row r="591" spans="2:24" ht="30" customHeight="1">
      <c r="B591" s="62"/>
      <c r="C591" s="62"/>
      <c r="D591" s="62"/>
      <c r="E591" s="62"/>
      <c r="F591" s="62"/>
      <c r="G591" s="62"/>
      <c r="H591" s="62"/>
      <c r="I591" s="62"/>
      <c r="J591" s="62"/>
      <c r="K591" s="62"/>
      <c r="L591" s="62"/>
      <c r="M591" s="62"/>
      <c r="N591" s="62"/>
      <c r="O591" s="62"/>
      <c r="P591" s="62"/>
      <c r="Q591" s="62"/>
      <c r="R591" s="62"/>
      <c r="S591" s="62"/>
      <c r="T591" s="62"/>
      <c r="U591" s="62"/>
      <c r="V591" s="63"/>
      <c r="W591" s="63"/>
      <c r="X591" s="63"/>
    </row>
    <row r="592" spans="2:24" ht="30" customHeight="1">
      <c r="B592" s="62"/>
      <c r="C592" s="62"/>
      <c r="D592" s="62"/>
      <c r="E592" s="62"/>
      <c r="F592" s="62"/>
      <c r="G592" s="62"/>
      <c r="H592" s="62"/>
      <c r="I592" s="62"/>
      <c r="J592" s="62"/>
      <c r="K592" s="62"/>
      <c r="L592" s="62"/>
      <c r="M592" s="62"/>
      <c r="N592" s="62"/>
      <c r="O592" s="62"/>
      <c r="P592" s="62"/>
      <c r="Q592" s="62"/>
      <c r="R592" s="62"/>
      <c r="S592" s="62"/>
      <c r="T592" s="62"/>
      <c r="U592" s="62"/>
      <c r="V592" s="63"/>
      <c r="W592" s="63"/>
      <c r="X592" s="63"/>
    </row>
    <row r="593" spans="2:24" ht="30" customHeight="1">
      <c r="B593" s="62"/>
      <c r="C593" s="62"/>
      <c r="D593" s="62"/>
      <c r="E593" s="62"/>
      <c r="F593" s="62"/>
      <c r="G593" s="62"/>
      <c r="H593" s="62"/>
      <c r="I593" s="62"/>
      <c r="J593" s="62"/>
      <c r="K593" s="62"/>
      <c r="L593" s="62"/>
      <c r="M593" s="62"/>
      <c r="N593" s="62"/>
      <c r="O593" s="62"/>
      <c r="P593" s="62"/>
      <c r="Q593" s="62"/>
      <c r="R593" s="62"/>
      <c r="S593" s="62"/>
      <c r="T593" s="62"/>
      <c r="U593" s="62"/>
      <c r="V593" s="63"/>
      <c r="W593" s="63"/>
      <c r="X593" s="63"/>
    </row>
    <row r="594" spans="2:24" ht="30" customHeight="1">
      <c r="B594" s="62"/>
      <c r="C594" s="62"/>
      <c r="D594" s="62"/>
      <c r="E594" s="62"/>
      <c r="F594" s="62"/>
      <c r="G594" s="62"/>
      <c r="H594" s="62"/>
      <c r="I594" s="62"/>
      <c r="J594" s="62"/>
      <c r="K594" s="62"/>
      <c r="L594" s="62"/>
      <c r="M594" s="62"/>
      <c r="N594" s="62"/>
      <c r="O594" s="62"/>
      <c r="P594" s="62"/>
      <c r="Q594" s="62"/>
      <c r="R594" s="62"/>
      <c r="S594" s="62"/>
      <c r="T594" s="62"/>
      <c r="U594" s="62"/>
      <c r="V594" s="63"/>
      <c r="W594" s="63"/>
      <c r="X594" s="63"/>
    </row>
    <row r="595" spans="2:24" ht="30" customHeight="1">
      <c r="B595" s="62"/>
      <c r="C595" s="62"/>
      <c r="D595" s="62"/>
      <c r="E595" s="62"/>
      <c r="F595" s="62"/>
      <c r="G595" s="62"/>
      <c r="H595" s="62"/>
      <c r="I595" s="62"/>
      <c r="J595" s="62"/>
      <c r="K595" s="62"/>
      <c r="L595" s="62"/>
      <c r="M595" s="62"/>
      <c r="N595" s="62"/>
      <c r="O595" s="62"/>
      <c r="P595" s="62"/>
      <c r="Q595" s="62"/>
      <c r="R595" s="62"/>
      <c r="S595" s="62"/>
      <c r="T595" s="62"/>
      <c r="U595" s="62"/>
      <c r="V595" s="63"/>
      <c r="W595" s="63"/>
      <c r="X595" s="63"/>
    </row>
    <row r="596" spans="2:24" ht="30" customHeight="1">
      <c r="B596" s="62"/>
      <c r="C596" s="62"/>
      <c r="D596" s="62"/>
      <c r="E596" s="62"/>
      <c r="F596" s="62"/>
      <c r="G596" s="62"/>
      <c r="H596" s="62"/>
      <c r="I596" s="62"/>
      <c r="J596" s="62"/>
      <c r="K596" s="62"/>
      <c r="L596" s="62"/>
      <c r="M596" s="62"/>
      <c r="N596" s="62"/>
      <c r="O596" s="62"/>
      <c r="P596" s="62"/>
      <c r="Q596" s="62"/>
      <c r="R596" s="62"/>
      <c r="S596" s="62"/>
      <c r="T596" s="62"/>
      <c r="U596" s="62"/>
      <c r="V596" s="63"/>
      <c r="W596" s="63"/>
      <c r="X596" s="63"/>
    </row>
    <row r="597" spans="2:24" ht="30" customHeight="1">
      <c r="B597" s="62"/>
      <c r="C597" s="62"/>
      <c r="D597" s="62"/>
      <c r="E597" s="62"/>
      <c r="F597" s="62"/>
      <c r="G597" s="62"/>
      <c r="H597" s="62"/>
      <c r="I597" s="62"/>
      <c r="J597" s="62"/>
      <c r="K597" s="62"/>
      <c r="L597" s="62"/>
      <c r="M597" s="62"/>
      <c r="N597" s="62"/>
      <c r="O597" s="62"/>
      <c r="P597" s="62"/>
      <c r="Q597" s="62"/>
      <c r="R597" s="62"/>
      <c r="S597" s="62"/>
      <c r="T597" s="62"/>
      <c r="U597" s="62"/>
      <c r="V597" s="63"/>
      <c r="W597" s="63"/>
      <c r="X597" s="63"/>
    </row>
    <row r="598" spans="2:24" ht="30" customHeight="1">
      <c r="B598" s="62"/>
      <c r="C598" s="62"/>
      <c r="D598" s="62"/>
      <c r="E598" s="62"/>
      <c r="F598" s="62"/>
      <c r="G598" s="62"/>
      <c r="H598" s="62"/>
      <c r="I598" s="62"/>
      <c r="J598" s="62"/>
      <c r="K598" s="62"/>
      <c r="L598" s="62"/>
      <c r="M598" s="62"/>
      <c r="N598" s="62"/>
      <c r="O598" s="62"/>
      <c r="P598" s="62"/>
      <c r="Q598" s="62"/>
      <c r="R598" s="62"/>
      <c r="S598" s="62"/>
      <c r="T598" s="62"/>
      <c r="U598" s="62"/>
      <c r="V598" s="63"/>
      <c r="W598" s="63"/>
      <c r="X598" s="63"/>
    </row>
    <row r="599" spans="2:24" ht="30" customHeight="1">
      <c r="B599" s="62"/>
      <c r="C599" s="62"/>
      <c r="D599" s="62"/>
      <c r="E599" s="62"/>
      <c r="F599" s="62"/>
      <c r="G599" s="62"/>
      <c r="H599" s="62"/>
      <c r="I599" s="62"/>
      <c r="J599" s="62"/>
      <c r="K599" s="62"/>
      <c r="L599" s="62"/>
      <c r="M599" s="62"/>
      <c r="N599" s="62"/>
      <c r="O599" s="62"/>
      <c r="P599" s="62"/>
      <c r="Q599" s="62"/>
      <c r="R599" s="62"/>
      <c r="S599" s="62"/>
      <c r="T599" s="62"/>
      <c r="U599" s="62"/>
      <c r="V599" s="63"/>
      <c r="W599" s="63"/>
      <c r="X599" s="63"/>
    </row>
    <row r="600" spans="2:24" ht="30" customHeight="1">
      <c r="B600" s="62"/>
      <c r="C600" s="62"/>
      <c r="D600" s="62"/>
      <c r="E600" s="62"/>
      <c r="F600" s="62"/>
      <c r="G600" s="62"/>
      <c r="H600" s="62"/>
      <c r="I600" s="62"/>
      <c r="J600" s="62"/>
      <c r="K600" s="62"/>
      <c r="L600" s="62"/>
      <c r="M600" s="62"/>
      <c r="N600" s="62"/>
      <c r="O600" s="62"/>
      <c r="P600" s="62"/>
      <c r="Q600" s="62"/>
      <c r="R600" s="62"/>
      <c r="S600" s="62"/>
      <c r="T600" s="62"/>
      <c r="U600" s="62"/>
      <c r="V600" s="63"/>
      <c r="W600" s="63"/>
      <c r="X600" s="63"/>
    </row>
    <row r="601" spans="2:24" ht="30" customHeight="1">
      <c r="B601" s="62"/>
      <c r="C601" s="62"/>
      <c r="D601" s="62"/>
      <c r="E601" s="62"/>
      <c r="F601" s="62"/>
      <c r="G601" s="62"/>
      <c r="H601" s="62"/>
      <c r="I601" s="62"/>
      <c r="J601" s="62"/>
      <c r="K601" s="62"/>
      <c r="L601" s="62"/>
      <c r="M601" s="62"/>
      <c r="N601" s="62"/>
      <c r="O601" s="62"/>
      <c r="P601" s="62"/>
      <c r="Q601" s="62"/>
      <c r="R601" s="62"/>
      <c r="S601" s="62"/>
      <c r="T601" s="62"/>
      <c r="U601" s="62"/>
      <c r="V601" s="63"/>
      <c r="W601" s="63"/>
      <c r="X601" s="63"/>
    </row>
    <row r="602" spans="2:24" ht="30" customHeight="1">
      <c r="B602" s="62"/>
      <c r="C602" s="62"/>
      <c r="D602" s="62"/>
      <c r="E602" s="62"/>
      <c r="F602" s="62"/>
      <c r="G602" s="62"/>
      <c r="H602" s="62"/>
      <c r="I602" s="62"/>
      <c r="J602" s="62"/>
      <c r="K602" s="62"/>
      <c r="L602" s="62"/>
      <c r="M602" s="62"/>
      <c r="N602" s="62"/>
      <c r="O602" s="62"/>
      <c r="P602" s="62"/>
      <c r="Q602" s="62"/>
      <c r="R602" s="62"/>
      <c r="S602" s="62"/>
      <c r="T602" s="62"/>
      <c r="U602" s="62"/>
      <c r="V602" s="63"/>
      <c r="W602" s="63"/>
      <c r="X602" s="63"/>
    </row>
    <row r="603" spans="2:24" ht="30" customHeight="1">
      <c r="B603" s="62"/>
      <c r="C603" s="62"/>
      <c r="D603" s="62"/>
      <c r="E603" s="62"/>
      <c r="F603" s="62"/>
      <c r="G603" s="62"/>
      <c r="H603" s="62"/>
      <c r="I603" s="62"/>
      <c r="J603" s="62"/>
      <c r="K603" s="62"/>
      <c r="L603" s="62"/>
      <c r="M603" s="62"/>
      <c r="N603" s="62"/>
      <c r="O603" s="62"/>
      <c r="P603" s="62"/>
      <c r="Q603" s="62"/>
      <c r="R603" s="62"/>
      <c r="S603" s="62"/>
      <c r="T603" s="62"/>
      <c r="U603" s="62"/>
      <c r="V603" s="63"/>
      <c r="W603" s="63"/>
      <c r="X603" s="63"/>
    </row>
    <row r="604" spans="2:24" ht="30" customHeight="1">
      <c r="B604" s="62"/>
      <c r="C604" s="62"/>
      <c r="D604" s="62"/>
      <c r="E604" s="62"/>
      <c r="F604" s="62"/>
      <c r="G604" s="62"/>
      <c r="H604" s="62"/>
      <c r="I604" s="62"/>
      <c r="J604" s="62"/>
      <c r="K604" s="62"/>
      <c r="L604" s="62"/>
      <c r="M604" s="62"/>
      <c r="N604" s="62"/>
      <c r="O604" s="62"/>
      <c r="P604" s="62"/>
      <c r="Q604" s="62"/>
      <c r="R604" s="62"/>
      <c r="S604" s="62"/>
      <c r="T604" s="62"/>
      <c r="U604" s="62"/>
      <c r="V604" s="63"/>
      <c r="W604" s="63"/>
      <c r="X604" s="63"/>
    </row>
    <row r="605" spans="2:24" ht="30" customHeight="1">
      <c r="B605" s="62"/>
      <c r="C605" s="62"/>
      <c r="D605" s="62"/>
      <c r="E605" s="62"/>
      <c r="F605" s="62"/>
      <c r="G605" s="62"/>
      <c r="H605" s="62"/>
      <c r="I605" s="62"/>
      <c r="J605" s="62"/>
      <c r="K605" s="62"/>
      <c r="L605" s="62"/>
      <c r="M605" s="62"/>
      <c r="N605" s="62"/>
      <c r="O605" s="62"/>
      <c r="P605" s="62"/>
      <c r="Q605" s="62"/>
      <c r="R605" s="62"/>
      <c r="S605" s="62"/>
      <c r="T605" s="62"/>
      <c r="U605" s="62"/>
      <c r="V605" s="63"/>
      <c r="W605" s="63"/>
      <c r="X605" s="63"/>
    </row>
    <row r="606" spans="2:24" ht="30" customHeight="1">
      <c r="B606" s="62"/>
      <c r="C606" s="62"/>
      <c r="D606" s="62"/>
      <c r="E606" s="62"/>
      <c r="F606" s="62"/>
      <c r="G606" s="62"/>
      <c r="H606" s="62"/>
      <c r="I606" s="62"/>
      <c r="J606" s="62"/>
      <c r="K606" s="62"/>
      <c r="L606" s="62"/>
      <c r="M606" s="62"/>
      <c r="N606" s="62"/>
      <c r="O606" s="62"/>
      <c r="P606" s="62"/>
      <c r="Q606" s="62"/>
      <c r="R606" s="62"/>
      <c r="S606" s="62"/>
      <c r="T606" s="62"/>
      <c r="U606" s="62"/>
      <c r="V606" s="63"/>
      <c r="W606" s="63"/>
      <c r="X606" s="63"/>
    </row>
    <row r="607" spans="2:24" ht="30" customHeight="1">
      <c r="B607" s="62"/>
      <c r="C607" s="62"/>
      <c r="D607" s="62"/>
      <c r="E607" s="62"/>
      <c r="F607" s="62"/>
      <c r="G607" s="62"/>
      <c r="H607" s="62"/>
      <c r="I607" s="62"/>
      <c r="J607" s="62"/>
      <c r="K607" s="62"/>
      <c r="L607" s="62"/>
      <c r="M607" s="62"/>
      <c r="N607" s="62"/>
      <c r="O607" s="62"/>
      <c r="P607" s="62"/>
      <c r="Q607" s="62"/>
      <c r="R607" s="62"/>
      <c r="S607" s="62"/>
      <c r="T607" s="62"/>
      <c r="U607" s="62"/>
      <c r="V607" s="63"/>
      <c r="W607" s="63"/>
      <c r="X607" s="63"/>
    </row>
    <row r="608" spans="2:24" ht="30" customHeight="1">
      <c r="B608" s="62"/>
      <c r="C608" s="62"/>
      <c r="D608" s="62"/>
      <c r="E608" s="62"/>
      <c r="F608" s="62"/>
      <c r="G608" s="62"/>
      <c r="H608" s="62"/>
      <c r="I608" s="62"/>
      <c r="J608" s="62"/>
      <c r="K608" s="62"/>
      <c r="L608" s="62"/>
      <c r="M608" s="62"/>
      <c r="N608" s="62"/>
      <c r="O608" s="62"/>
      <c r="P608" s="62"/>
      <c r="Q608" s="62"/>
      <c r="R608" s="62"/>
      <c r="S608" s="62"/>
      <c r="T608" s="62"/>
      <c r="U608" s="62"/>
      <c r="V608" s="63"/>
      <c r="W608" s="63"/>
      <c r="X608" s="63"/>
    </row>
    <row r="609" spans="2:24" ht="30" customHeight="1">
      <c r="B609" s="62"/>
      <c r="C609" s="62"/>
      <c r="D609" s="62"/>
      <c r="E609" s="62"/>
      <c r="F609" s="62"/>
      <c r="G609" s="62"/>
      <c r="H609" s="62"/>
      <c r="I609" s="62"/>
      <c r="J609" s="62"/>
      <c r="K609" s="62"/>
      <c r="L609" s="62"/>
      <c r="M609" s="62"/>
      <c r="N609" s="62"/>
      <c r="O609" s="62"/>
      <c r="P609" s="62"/>
      <c r="Q609" s="62"/>
      <c r="R609" s="62"/>
      <c r="S609" s="62"/>
      <c r="T609" s="62"/>
      <c r="U609" s="62"/>
      <c r="V609" s="63"/>
      <c r="W609" s="63"/>
      <c r="X609" s="63"/>
    </row>
    <row r="610" spans="2:24" ht="30" customHeight="1">
      <c r="B610" s="62"/>
      <c r="C610" s="62"/>
      <c r="D610" s="62"/>
      <c r="E610" s="62"/>
      <c r="F610" s="62"/>
      <c r="G610" s="62"/>
      <c r="H610" s="62"/>
      <c r="I610" s="62"/>
      <c r="J610" s="62"/>
      <c r="K610" s="62"/>
      <c r="L610" s="62"/>
      <c r="M610" s="62"/>
      <c r="N610" s="62"/>
      <c r="O610" s="62"/>
      <c r="P610" s="62"/>
      <c r="Q610" s="62"/>
      <c r="R610" s="62"/>
      <c r="S610" s="62"/>
      <c r="T610" s="62"/>
      <c r="U610" s="62"/>
      <c r="V610" s="63"/>
      <c r="W610" s="63"/>
      <c r="X610" s="63"/>
    </row>
    <row r="611" spans="2:24" ht="30" customHeight="1">
      <c r="B611" s="62"/>
      <c r="C611" s="62"/>
      <c r="D611" s="62"/>
      <c r="E611" s="62"/>
      <c r="F611" s="62"/>
      <c r="G611" s="62"/>
      <c r="H611" s="62"/>
      <c r="I611" s="62"/>
      <c r="J611" s="62"/>
      <c r="K611" s="62"/>
      <c r="L611" s="62"/>
      <c r="M611" s="62"/>
      <c r="N611" s="62"/>
      <c r="O611" s="62"/>
      <c r="P611" s="62"/>
      <c r="Q611" s="62"/>
      <c r="R611" s="62"/>
      <c r="S611" s="62"/>
      <c r="T611" s="62"/>
      <c r="U611" s="62"/>
      <c r="V611" s="63"/>
      <c r="W611" s="63"/>
      <c r="X611" s="63"/>
    </row>
    <row r="612" spans="2:24" ht="30" customHeight="1">
      <c r="B612" s="62"/>
      <c r="C612" s="62"/>
      <c r="D612" s="62"/>
      <c r="E612" s="62"/>
      <c r="F612" s="62"/>
      <c r="G612" s="62"/>
      <c r="H612" s="62"/>
      <c r="I612" s="62"/>
      <c r="J612" s="62"/>
      <c r="K612" s="62"/>
      <c r="L612" s="62"/>
      <c r="M612" s="62"/>
      <c r="N612" s="62"/>
      <c r="O612" s="62"/>
      <c r="P612" s="62"/>
      <c r="Q612" s="62"/>
      <c r="R612" s="62"/>
      <c r="S612" s="62"/>
      <c r="T612" s="62"/>
      <c r="U612" s="62"/>
      <c r="V612" s="63"/>
      <c r="W612" s="63"/>
      <c r="X612" s="63"/>
    </row>
    <row r="613" spans="2:24" ht="30" customHeight="1">
      <c r="B613" s="62"/>
      <c r="C613" s="62"/>
      <c r="D613" s="62"/>
      <c r="E613" s="62"/>
      <c r="F613" s="62"/>
      <c r="G613" s="62"/>
      <c r="H613" s="62"/>
      <c r="I613" s="62"/>
      <c r="J613" s="62"/>
      <c r="K613" s="62"/>
      <c r="L613" s="62"/>
      <c r="M613" s="62"/>
      <c r="N613" s="62"/>
      <c r="O613" s="62"/>
      <c r="P613" s="62"/>
      <c r="Q613" s="62"/>
      <c r="R613" s="62"/>
      <c r="S613" s="62"/>
      <c r="T613" s="62"/>
      <c r="U613" s="62"/>
      <c r="V613" s="63"/>
      <c r="W613" s="63"/>
      <c r="X613" s="63"/>
    </row>
    <row r="614" spans="2:24" ht="30" customHeight="1">
      <c r="B614" s="62"/>
      <c r="C614" s="62"/>
      <c r="D614" s="62"/>
      <c r="E614" s="62"/>
      <c r="F614" s="62"/>
      <c r="G614" s="62"/>
      <c r="H614" s="62"/>
      <c r="I614" s="62"/>
      <c r="J614" s="62"/>
      <c r="K614" s="62"/>
      <c r="L614" s="62"/>
      <c r="M614" s="62"/>
      <c r="N614" s="62"/>
      <c r="O614" s="62"/>
      <c r="P614" s="62"/>
      <c r="Q614" s="62"/>
      <c r="R614" s="62"/>
      <c r="S614" s="62"/>
      <c r="T614" s="62"/>
      <c r="U614" s="62"/>
      <c r="V614" s="63"/>
      <c r="W614" s="63"/>
      <c r="X614" s="63"/>
    </row>
    <row r="615" spans="2:24" ht="30" customHeight="1">
      <c r="B615" s="62"/>
      <c r="C615" s="62"/>
      <c r="D615" s="62"/>
      <c r="E615" s="62"/>
      <c r="F615" s="62"/>
      <c r="G615" s="62"/>
      <c r="H615" s="62"/>
      <c r="I615" s="62"/>
      <c r="J615" s="62"/>
      <c r="K615" s="62"/>
      <c r="L615" s="62"/>
      <c r="M615" s="62"/>
      <c r="N615" s="62"/>
      <c r="O615" s="62"/>
      <c r="P615" s="62"/>
      <c r="Q615" s="62"/>
      <c r="R615" s="62"/>
      <c r="S615" s="62"/>
      <c r="T615" s="62"/>
      <c r="U615" s="62"/>
      <c r="V615" s="63"/>
      <c r="W615" s="63"/>
      <c r="X615" s="63"/>
    </row>
    <row r="616" spans="2:24" ht="30" customHeight="1">
      <c r="B616" s="62"/>
      <c r="C616" s="62"/>
      <c r="D616" s="62"/>
      <c r="E616" s="62"/>
      <c r="F616" s="62"/>
      <c r="G616" s="62"/>
      <c r="H616" s="62"/>
      <c r="I616" s="62"/>
      <c r="J616" s="62"/>
      <c r="K616" s="62"/>
      <c r="L616" s="62"/>
      <c r="M616" s="62"/>
      <c r="N616" s="62"/>
      <c r="O616" s="62"/>
      <c r="P616" s="62"/>
      <c r="Q616" s="62"/>
      <c r="R616" s="62"/>
      <c r="S616" s="62"/>
      <c r="T616" s="62"/>
      <c r="U616" s="62"/>
      <c r="V616" s="63"/>
      <c r="W616" s="63"/>
      <c r="X616" s="63"/>
    </row>
    <row r="617" spans="2:24" ht="30" customHeight="1">
      <c r="B617" s="62"/>
      <c r="C617" s="62"/>
      <c r="D617" s="62"/>
      <c r="E617" s="62"/>
      <c r="F617" s="62"/>
      <c r="G617" s="62"/>
      <c r="H617" s="62"/>
      <c r="I617" s="62"/>
      <c r="J617" s="62"/>
      <c r="K617" s="62"/>
      <c r="L617" s="62"/>
      <c r="M617" s="62"/>
      <c r="N617" s="62"/>
      <c r="O617" s="62"/>
      <c r="P617" s="62"/>
      <c r="Q617" s="62"/>
      <c r="R617" s="62"/>
      <c r="S617" s="62"/>
      <c r="T617" s="62"/>
      <c r="U617" s="62"/>
      <c r="V617" s="63"/>
      <c r="W617" s="63"/>
      <c r="X617" s="63"/>
    </row>
    <row r="618" spans="2:24" ht="30" customHeight="1">
      <c r="B618" s="62"/>
      <c r="C618" s="62"/>
      <c r="D618" s="62"/>
      <c r="E618" s="62"/>
      <c r="F618" s="62"/>
      <c r="G618" s="62"/>
      <c r="H618" s="62"/>
      <c r="I618" s="62"/>
      <c r="J618" s="62"/>
      <c r="K618" s="62"/>
      <c r="L618" s="62"/>
      <c r="M618" s="62"/>
      <c r="N618" s="62"/>
      <c r="O618" s="62"/>
      <c r="P618" s="62"/>
      <c r="Q618" s="62"/>
      <c r="R618" s="62"/>
      <c r="S618" s="62"/>
      <c r="T618" s="62"/>
      <c r="U618" s="62"/>
      <c r="V618" s="63"/>
      <c r="W618" s="63"/>
      <c r="X618" s="63"/>
    </row>
    <row r="619" spans="2:24" ht="30" customHeight="1">
      <c r="B619" s="62"/>
      <c r="C619" s="62"/>
      <c r="D619" s="62"/>
      <c r="E619" s="62"/>
      <c r="F619" s="62"/>
      <c r="G619" s="62"/>
      <c r="H619" s="62"/>
      <c r="I619" s="62"/>
      <c r="J619" s="62"/>
      <c r="K619" s="62"/>
      <c r="L619" s="62"/>
      <c r="M619" s="62"/>
      <c r="N619" s="62"/>
      <c r="O619" s="62"/>
      <c r="P619" s="62"/>
      <c r="Q619" s="62"/>
      <c r="R619" s="62"/>
      <c r="S619" s="62"/>
      <c r="T619" s="62"/>
      <c r="U619" s="62"/>
      <c r="V619" s="63"/>
      <c r="W619" s="63"/>
      <c r="X619" s="63"/>
    </row>
    <row r="620" spans="2:24" ht="30" customHeight="1">
      <c r="B620" s="62"/>
      <c r="C620" s="62"/>
      <c r="D620" s="62"/>
      <c r="E620" s="62"/>
      <c r="F620" s="62"/>
      <c r="G620" s="62"/>
      <c r="H620" s="62"/>
      <c r="I620" s="62"/>
      <c r="J620" s="62"/>
      <c r="K620" s="62"/>
      <c r="L620" s="62"/>
      <c r="M620" s="62"/>
      <c r="N620" s="62"/>
      <c r="O620" s="62"/>
      <c r="P620" s="62"/>
      <c r="Q620" s="62"/>
      <c r="R620" s="62"/>
      <c r="S620" s="62"/>
      <c r="T620" s="62"/>
      <c r="U620" s="62"/>
      <c r="V620" s="63"/>
      <c r="W620" s="63"/>
      <c r="X620" s="63"/>
    </row>
    <row r="621" spans="2:24" ht="30" customHeight="1">
      <c r="B621" s="62"/>
      <c r="C621" s="62"/>
      <c r="D621" s="62"/>
      <c r="E621" s="62"/>
      <c r="F621" s="62"/>
      <c r="G621" s="62"/>
      <c r="H621" s="62"/>
      <c r="I621" s="62"/>
      <c r="J621" s="62"/>
      <c r="K621" s="62"/>
      <c r="L621" s="62"/>
      <c r="M621" s="62"/>
      <c r="N621" s="62"/>
      <c r="O621" s="62"/>
      <c r="P621" s="62"/>
      <c r="Q621" s="62"/>
      <c r="R621" s="62"/>
      <c r="S621" s="62"/>
      <c r="T621" s="62"/>
      <c r="U621" s="62"/>
      <c r="V621" s="63"/>
      <c r="W621" s="63"/>
      <c r="X621" s="63"/>
    </row>
    <row r="622" spans="2:24" ht="30" customHeight="1">
      <c r="B622" s="62"/>
      <c r="C622" s="62"/>
      <c r="D622" s="62"/>
      <c r="E622" s="62"/>
      <c r="F622" s="62"/>
      <c r="G622" s="62"/>
      <c r="H622" s="62"/>
      <c r="I622" s="62"/>
      <c r="J622" s="62"/>
      <c r="K622" s="62"/>
      <c r="L622" s="62"/>
      <c r="M622" s="62"/>
      <c r="N622" s="62"/>
      <c r="O622" s="62"/>
      <c r="P622" s="62"/>
      <c r="Q622" s="62"/>
      <c r="R622" s="62"/>
      <c r="S622" s="62"/>
      <c r="T622" s="62"/>
      <c r="U622" s="62"/>
      <c r="V622" s="63"/>
      <c r="W622" s="63"/>
      <c r="X622" s="63"/>
    </row>
    <row r="623" spans="2:24" ht="30" customHeight="1">
      <c r="B623" s="62"/>
      <c r="C623" s="62"/>
      <c r="D623" s="62"/>
      <c r="E623" s="62"/>
      <c r="F623" s="62"/>
      <c r="G623" s="62"/>
      <c r="H623" s="62"/>
      <c r="I623" s="62"/>
      <c r="J623" s="62"/>
      <c r="K623" s="62"/>
      <c r="L623" s="62"/>
      <c r="M623" s="62"/>
      <c r="N623" s="62"/>
      <c r="O623" s="62"/>
      <c r="P623" s="62"/>
      <c r="Q623" s="62"/>
      <c r="R623" s="62"/>
      <c r="S623" s="62"/>
      <c r="T623" s="62"/>
      <c r="U623" s="62"/>
      <c r="V623" s="63"/>
      <c r="W623" s="63"/>
      <c r="X623" s="63"/>
    </row>
    <row r="624" spans="2:24" ht="30" customHeight="1"/>
    <row r="625" ht="30" customHeight="1"/>
    <row r="626" ht="30" customHeight="1"/>
    <row r="627" ht="30" customHeight="1"/>
    <row r="628" ht="30" customHeight="1"/>
    <row r="629" ht="30" customHeight="1"/>
    <row r="630" ht="30" customHeight="1"/>
    <row r="631" ht="30" customHeight="1"/>
    <row r="632" ht="30" customHeight="1"/>
    <row r="633" ht="30" customHeight="1"/>
    <row r="634" ht="30" customHeight="1"/>
    <row r="635" ht="30" customHeight="1"/>
    <row r="636" ht="30" customHeight="1"/>
    <row r="637" ht="30" customHeight="1"/>
    <row r="638" ht="30" customHeight="1"/>
    <row r="639" ht="30" customHeight="1"/>
    <row r="640" ht="30" customHeight="1"/>
    <row r="641" ht="30" customHeight="1"/>
    <row r="642" ht="30" customHeight="1"/>
    <row r="643" ht="30" customHeight="1"/>
    <row r="644" ht="30" customHeight="1"/>
    <row r="645" ht="30" customHeight="1"/>
    <row r="646" ht="30" customHeight="1"/>
    <row r="647" ht="30" customHeight="1"/>
    <row r="648" ht="30" customHeight="1"/>
    <row r="649" ht="30" customHeight="1"/>
    <row r="650" ht="30" customHeight="1"/>
    <row r="651" ht="30" customHeight="1"/>
    <row r="652" ht="30" customHeight="1"/>
    <row r="653" ht="30" customHeight="1"/>
    <row r="654" ht="30" customHeight="1"/>
    <row r="655" ht="30" customHeight="1"/>
    <row r="656" ht="30" customHeight="1"/>
    <row r="657" ht="30" customHeight="1"/>
    <row r="658" ht="30" customHeight="1"/>
    <row r="659" ht="30" customHeight="1"/>
    <row r="660" ht="30" customHeight="1"/>
    <row r="661" ht="30" customHeight="1"/>
    <row r="662" ht="30" customHeight="1"/>
    <row r="663" ht="30" customHeight="1"/>
    <row r="664" ht="30" customHeight="1"/>
    <row r="665" ht="30" customHeight="1"/>
    <row r="666" ht="30" customHeight="1"/>
    <row r="667" ht="30" customHeight="1"/>
    <row r="668" ht="30" customHeight="1"/>
    <row r="669" ht="30" customHeight="1"/>
    <row r="670" ht="30" customHeight="1"/>
    <row r="671" ht="30" customHeight="1"/>
    <row r="672" ht="30" customHeight="1"/>
    <row r="673" ht="30" customHeight="1"/>
    <row r="674" ht="30" customHeight="1"/>
    <row r="675" ht="30" customHeight="1"/>
    <row r="676" ht="30" customHeight="1"/>
    <row r="677" ht="30" customHeight="1"/>
    <row r="678" ht="30" customHeight="1"/>
    <row r="679" ht="30" customHeight="1"/>
    <row r="680" ht="30" customHeight="1"/>
    <row r="681" ht="30" customHeight="1"/>
    <row r="682" ht="30" customHeight="1"/>
    <row r="683" ht="30" customHeight="1"/>
    <row r="684" ht="30" customHeight="1"/>
    <row r="685" ht="30" customHeight="1"/>
    <row r="686" ht="30" customHeight="1"/>
    <row r="687" ht="30" customHeight="1"/>
    <row r="688" ht="30" customHeight="1"/>
    <row r="689" ht="30" customHeight="1"/>
    <row r="690" ht="30" customHeight="1"/>
    <row r="691" ht="30" customHeight="1"/>
    <row r="692" ht="30" customHeight="1"/>
    <row r="693" ht="30" customHeight="1"/>
    <row r="694" ht="30" customHeight="1"/>
    <row r="695" ht="30" customHeight="1"/>
    <row r="696" ht="30" customHeight="1"/>
    <row r="697" ht="30" customHeight="1"/>
    <row r="698" ht="30" customHeight="1"/>
    <row r="699" ht="30" customHeight="1"/>
    <row r="700" ht="30" customHeight="1"/>
    <row r="701" ht="30" customHeight="1"/>
    <row r="702" ht="30" customHeight="1"/>
    <row r="703" ht="30" customHeight="1"/>
    <row r="704" ht="30" customHeight="1"/>
    <row r="705" ht="30" customHeight="1"/>
    <row r="706" ht="30" customHeight="1"/>
    <row r="707" ht="30" customHeight="1"/>
    <row r="708" ht="30" customHeight="1"/>
    <row r="709" ht="30" customHeight="1"/>
    <row r="710" ht="30" customHeight="1"/>
    <row r="711" ht="30" customHeight="1"/>
    <row r="712" ht="30" customHeight="1"/>
    <row r="713" ht="30" customHeight="1"/>
    <row r="714" ht="30" customHeight="1"/>
    <row r="715" ht="30" customHeight="1"/>
    <row r="716" ht="30" customHeight="1"/>
    <row r="717" ht="30" customHeight="1"/>
    <row r="718" ht="30" customHeight="1"/>
    <row r="719" ht="30" customHeight="1"/>
    <row r="720" ht="30" customHeight="1"/>
    <row r="721" ht="30" customHeight="1"/>
    <row r="722" ht="30" customHeight="1"/>
    <row r="723" ht="30" customHeight="1"/>
    <row r="724" ht="30" customHeight="1"/>
    <row r="725" ht="30" customHeight="1"/>
    <row r="726" ht="30" customHeight="1"/>
    <row r="727" ht="30" customHeight="1"/>
    <row r="728" ht="30" customHeight="1"/>
    <row r="729" ht="30" customHeight="1"/>
    <row r="730" ht="30" customHeight="1"/>
    <row r="731" ht="30" customHeight="1"/>
    <row r="732" ht="30" customHeight="1"/>
    <row r="733" ht="30" customHeight="1"/>
    <row r="734" ht="30" customHeight="1"/>
    <row r="735" ht="30" customHeight="1"/>
    <row r="736" ht="30" customHeight="1"/>
    <row r="737" ht="30" customHeight="1"/>
    <row r="738" ht="30" customHeight="1"/>
    <row r="739" ht="30" customHeight="1"/>
    <row r="740" ht="30" customHeight="1"/>
    <row r="741" ht="30" customHeight="1"/>
    <row r="742" ht="30" customHeight="1"/>
    <row r="743" ht="30" customHeight="1"/>
    <row r="744" ht="30" customHeight="1"/>
    <row r="745" ht="30" customHeight="1"/>
    <row r="746" ht="30" customHeight="1"/>
    <row r="747" ht="30" customHeight="1"/>
    <row r="748" ht="30" customHeight="1"/>
    <row r="749" ht="30" customHeight="1"/>
    <row r="750" ht="30" customHeight="1"/>
    <row r="751" ht="30" customHeight="1"/>
    <row r="752" ht="30" customHeight="1"/>
    <row r="753" ht="30" customHeight="1"/>
    <row r="754" ht="30" customHeight="1"/>
    <row r="755" ht="30" customHeight="1"/>
    <row r="756" ht="30" customHeight="1"/>
    <row r="757" ht="30" customHeight="1"/>
    <row r="758" ht="30" customHeight="1"/>
    <row r="759" ht="30" customHeight="1"/>
    <row r="760" ht="30" customHeight="1"/>
    <row r="761" ht="30" customHeight="1"/>
    <row r="762" ht="30" customHeight="1"/>
    <row r="763" ht="30" customHeight="1"/>
    <row r="764" ht="30" customHeight="1"/>
    <row r="765" ht="30" customHeight="1"/>
    <row r="766" ht="30" customHeight="1"/>
    <row r="767" ht="30" customHeight="1"/>
    <row r="768" ht="30" customHeight="1"/>
    <row r="769" ht="30" customHeight="1"/>
    <row r="770" ht="30" customHeight="1"/>
    <row r="771" ht="30" customHeight="1"/>
    <row r="772" ht="30" customHeight="1"/>
    <row r="773" ht="30" customHeight="1"/>
    <row r="774" ht="30" customHeight="1"/>
    <row r="775" ht="30" customHeight="1"/>
    <row r="776" ht="30" customHeight="1"/>
    <row r="777" ht="30" customHeight="1"/>
    <row r="778" ht="30" customHeight="1"/>
    <row r="779" ht="30" customHeight="1"/>
    <row r="780" ht="30" customHeight="1"/>
    <row r="781" ht="30" customHeight="1"/>
    <row r="782" ht="30" customHeight="1"/>
    <row r="783" ht="30" customHeight="1"/>
    <row r="784" ht="30" customHeight="1"/>
    <row r="785" ht="30" customHeight="1"/>
    <row r="786" ht="30" customHeight="1"/>
    <row r="787" ht="30" customHeight="1"/>
    <row r="788" ht="30" customHeight="1"/>
    <row r="789" ht="30" customHeight="1"/>
    <row r="790" ht="30" customHeight="1"/>
    <row r="791" ht="30" customHeight="1"/>
    <row r="792" ht="30" customHeight="1"/>
    <row r="793" ht="30" customHeight="1"/>
    <row r="794" ht="30" customHeight="1"/>
    <row r="795" ht="30" customHeight="1"/>
    <row r="796" ht="30" customHeight="1"/>
    <row r="797" ht="30" customHeight="1"/>
    <row r="798" ht="30" customHeight="1"/>
    <row r="799" ht="30" customHeight="1"/>
    <row r="800" ht="30" customHeight="1"/>
    <row r="801" ht="30" customHeight="1"/>
    <row r="802" ht="30" customHeight="1"/>
    <row r="803" ht="30" customHeight="1"/>
    <row r="804" ht="30" customHeight="1"/>
    <row r="805" ht="30" customHeight="1"/>
    <row r="806" ht="30" customHeight="1"/>
    <row r="807" ht="30" customHeight="1"/>
    <row r="808" ht="30" customHeight="1"/>
    <row r="809" ht="30" customHeight="1"/>
    <row r="810" ht="30" customHeight="1"/>
    <row r="811" ht="30" customHeight="1"/>
    <row r="812" ht="30" customHeight="1"/>
    <row r="813" ht="30" customHeight="1"/>
    <row r="814" ht="30" customHeight="1"/>
    <row r="815" ht="30" customHeight="1"/>
    <row r="816" ht="30" customHeight="1"/>
    <row r="817" ht="30" customHeight="1"/>
    <row r="818" ht="30" customHeight="1"/>
    <row r="819" ht="30" customHeight="1"/>
    <row r="820" ht="30" customHeight="1"/>
    <row r="821" ht="30" customHeight="1"/>
    <row r="822" ht="30" customHeight="1"/>
    <row r="823" ht="30" customHeight="1"/>
    <row r="824" ht="30" customHeight="1"/>
    <row r="825" ht="30" customHeight="1"/>
    <row r="826" ht="30" customHeight="1"/>
    <row r="827" ht="30" customHeight="1"/>
    <row r="828" ht="30" customHeight="1"/>
    <row r="829" ht="30" customHeight="1"/>
    <row r="830" ht="30" customHeight="1"/>
    <row r="831" ht="30" customHeight="1"/>
    <row r="832" ht="30" customHeight="1"/>
    <row r="833" ht="30" customHeight="1"/>
    <row r="834" ht="30" customHeight="1"/>
    <row r="835" ht="30" customHeight="1"/>
    <row r="836" ht="30" customHeight="1"/>
    <row r="837" ht="30" customHeight="1"/>
    <row r="838" ht="30" customHeight="1"/>
    <row r="839" ht="30" customHeight="1"/>
    <row r="840" ht="30" customHeight="1"/>
    <row r="841" ht="30" customHeight="1"/>
    <row r="842" ht="30" customHeight="1"/>
    <row r="843" ht="30" customHeight="1"/>
    <row r="844" ht="30" customHeight="1"/>
    <row r="845" ht="30" customHeight="1"/>
    <row r="846" ht="30" customHeight="1"/>
    <row r="847" ht="30" customHeight="1"/>
    <row r="848" ht="30" customHeight="1"/>
    <row r="849" ht="30" customHeight="1"/>
    <row r="850" ht="30" customHeight="1"/>
    <row r="851" ht="30" customHeight="1"/>
    <row r="852" ht="30" customHeight="1"/>
    <row r="853" ht="30" customHeight="1"/>
    <row r="854" ht="30" customHeight="1"/>
    <row r="855" ht="30" customHeight="1"/>
    <row r="856" ht="30" customHeight="1"/>
    <row r="857" ht="30" customHeight="1"/>
    <row r="858" ht="30" customHeight="1"/>
    <row r="859" ht="30" customHeight="1"/>
    <row r="860" ht="30" customHeight="1"/>
    <row r="861" ht="30" customHeight="1"/>
    <row r="862" ht="30" customHeight="1"/>
    <row r="863" ht="30" customHeight="1"/>
    <row r="864" ht="30" customHeight="1"/>
    <row r="865" ht="30" customHeight="1"/>
    <row r="866" ht="30" customHeight="1"/>
    <row r="867" ht="30" customHeight="1"/>
    <row r="868" ht="30" customHeight="1"/>
    <row r="869" ht="30" customHeight="1"/>
    <row r="870" ht="30" customHeight="1"/>
    <row r="871" ht="30" customHeight="1"/>
    <row r="872" ht="30" customHeight="1"/>
    <row r="873" ht="30" customHeight="1"/>
    <row r="874" ht="30" customHeight="1"/>
    <row r="875" ht="30" customHeight="1"/>
    <row r="876" ht="30" customHeight="1"/>
    <row r="877" ht="30" customHeight="1"/>
    <row r="878" ht="30" customHeight="1"/>
    <row r="879" ht="30" customHeight="1"/>
    <row r="880" ht="30" customHeight="1"/>
    <row r="881" ht="30" customHeight="1"/>
    <row r="882" ht="30" customHeight="1"/>
    <row r="883" ht="30" customHeight="1"/>
    <row r="884" ht="30" customHeight="1"/>
    <row r="885" ht="30" customHeight="1"/>
    <row r="886" ht="30" customHeight="1"/>
    <row r="887" ht="30" customHeight="1"/>
    <row r="888" ht="30" customHeight="1"/>
    <row r="889" ht="30" customHeight="1"/>
    <row r="890" ht="30" customHeight="1"/>
    <row r="891" ht="30" customHeight="1"/>
    <row r="892" ht="30" customHeight="1"/>
    <row r="893" ht="30" customHeight="1"/>
    <row r="894" ht="30" customHeight="1"/>
    <row r="895" ht="30" customHeight="1"/>
    <row r="896" ht="30" customHeight="1"/>
    <row r="897" ht="30" customHeight="1"/>
    <row r="898" ht="30" customHeight="1"/>
    <row r="899" ht="30" customHeight="1"/>
    <row r="900" ht="30" customHeight="1"/>
    <row r="901" ht="30" customHeight="1"/>
    <row r="902" ht="30" customHeight="1"/>
    <row r="903" ht="30" customHeight="1"/>
    <row r="904" ht="30" customHeight="1"/>
    <row r="905" ht="30" customHeight="1"/>
    <row r="906" ht="30" customHeight="1"/>
    <row r="907" ht="30" customHeight="1"/>
    <row r="908" ht="30" customHeight="1"/>
    <row r="909" ht="30" customHeight="1"/>
    <row r="910" ht="30" customHeight="1"/>
    <row r="911" ht="30" customHeight="1"/>
    <row r="912" ht="30" customHeight="1"/>
    <row r="913" ht="30" customHeight="1"/>
    <row r="914" ht="30" customHeight="1"/>
    <row r="915" ht="30" customHeight="1"/>
    <row r="916" ht="30" customHeight="1"/>
    <row r="917" ht="30" customHeight="1"/>
    <row r="918" ht="30" customHeight="1"/>
    <row r="919" ht="30" customHeight="1"/>
    <row r="920" ht="30" customHeight="1"/>
    <row r="921" ht="30" customHeight="1"/>
    <row r="922" ht="30" customHeight="1"/>
    <row r="923" ht="30" customHeight="1"/>
    <row r="924" ht="30" customHeight="1"/>
    <row r="925" ht="30" customHeight="1"/>
    <row r="926" ht="30" customHeight="1"/>
    <row r="927" ht="30" customHeight="1"/>
    <row r="928" ht="30" customHeight="1"/>
    <row r="929" ht="30" customHeight="1"/>
    <row r="930" ht="30" customHeight="1"/>
    <row r="931" ht="30" customHeight="1"/>
    <row r="932" ht="30" customHeight="1"/>
    <row r="933" ht="30" customHeight="1"/>
    <row r="934" ht="30" customHeight="1"/>
    <row r="935" ht="30" customHeight="1"/>
    <row r="936" ht="30" customHeight="1"/>
    <row r="937" ht="30" customHeight="1"/>
    <row r="938" ht="30" customHeight="1"/>
    <row r="939" ht="30" customHeight="1"/>
    <row r="940" ht="30" customHeight="1"/>
    <row r="941" ht="30" customHeight="1"/>
    <row r="942" ht="30" customHeight="1"/>
    <row r="943" ht="30" customHeight="1"/>
    <row r="944" ht="30" customHeight="1"/>
    <row r="945" ht="30" customHeight="1"/>
    <row r="946" ht="30" customHeight="1"/>
    <row r="947" ht="30" customHeight="1"/>
    <row r="948" ht="30" customHeight="1"/>
    <row r="949" ht="30" customHeight="1"/>
    <row r="950" ht="30" customHeight="1"/>
    <row r="951" ht="30" customHeight="1"/>
    <row r="952" ht="30" customHeight="1"/>
    <row r="953" ht="30" customHeight="1"/>
    <row r="954" ht="30" customHeight="1"/>
    <row r="955" ht="30" customHeight="1"/>
    <row r="956" ht="30" customHeight="1"/>
    <row r="957" ht="30" customHeight="1"/>
    <row r="958" ht="30" customHeight="1"/>
    <row r="959" ht="30" customHeight="1"/>
    <row r="960" ht="30" customHeight="1"/>
    <row r="961" ht="30" customHeight="1"/>
    <row r="962" ht="30" customHeight="1"/>
    <row r="963" ht="30" customHeight="1"/>
    <row r="964" ht="30" customHeight="1"/>
    <row r="965" ht="30" customHeight="1"/>
    <row r="966" ht="30" customHeight="1"/>
    <row r="967" ht="30" customHeight="1"/>
    <row r="968" ht="30" customHeight="1"/>
    <row r="969" ht="30" customHeight="1"/>
    <row r="970" ht="30" customHeight="1"/>
    <row r="971" ht="30" customHeight="1"/>
    <row r="972" ht="30" customHeight="1"/>
    <row r="973" ht="30" customHeight="1"/>
    <row r="974" ht="30" customHeight="1"/>
    <row r="975" ht="30" customHeight="1"/>
    <row r="976" ht="30" customHeight="1"/>
    <row r="977" ht="30" customHeight="1"/>
    <row r="978" ht="30" customHeight="1"/>
    <row r="979" ht="30" customHeight="1"/>
    <row r="980" ht="30" customHeight="1"/>
    <row r="981" ht="30" customHeight="1"/>
    <row r="982" ht="30" customHeight="1"/>
    <row r="983" ht="30" customHeight="1"/>
    <row r="984" ht="30" customHeight="1"/>
    <row r="985" ht="30" customHeight="1"/>
    <row r="986" ht="30" customHeight="1"/>
    <row r="987" ht="30" customHeight="1"/>
    <row r="988" ht="30" customHeight="1"/>
    <row r="989" ht="30" customHeight="1"/>
    <row r="990" ht="30" customHeight="1"/>
    <row r="991" ht="30" customHeight="1"/>
    <row r="992" ht="30" customHeight="1"/>
    <row r="993" ht="30" customHeight="1"/>
    <row r="994" ht="30" customHeight="1"/>
    <row r="995" ht="30" customHeight="1"/>
    <row r="996" ht="30" customHeight="1"/>
    <row r="997" ht="30" customHeight="1"/>
    <row r="998" ht="30" customHeight="1"/>
    <row r="999" ht="30" customHeight="1"/>
    <row r="1000" ht="30" customHeight="1"/>
    <row r="1001" ht="30" customHeight="1"/>
    <row r="1002" ht="30" customHeight="1"/>
    <row r="1003" ht="30" customHeight="1"/>
    <row r="1004" ht="30" customHeight="1"/>
    <row r="1005" ht="30" customHeight="1"/>
    <row r="1006" ht="30" customHeight="1"/>
    <row r="1007" ht="30" customHeight="1"/>
    <row r="1008" ht="30" customHeight="1"/>
    <row r="1009" ht="30" customHeight="1"/>
    <row r="1010" ht="30" customHeight="1"/>
    <row r="1011" ht="30" customHeight="1"/>
    <row r="1012" ht="30" customHeight="1"/>
    <row r="1013" ht="30" customHeight="1"/>
    <row r="1014" ht="30" customHeight="1"/>
    <row r="1015" ht="30" customHeight="1"/>
    <row r="1016" ht="30" customHeight="1"/>
    <row r="1017" ht="30" customHeight="1"/>
    <row r="1018" ht="30" customHeight="1"/>
    <row r="1019" ht="30" customHeight="1"/>
    <row r="1020" ht="30" customHeight="1"/>
    <row r="1021" ht="30" customHeight="1"/>
    <row r="1022" ht="30" customHeight="1"/>
    <row r="1023" ht="30" customHeight="1"/>
    <row r="1024" ht="30" customHeight="1"/>
    <row r="1025" ht="30" customHeight="1"/>
    <row r="1026" ht="30" customHeight="1"/>
    <row r="1027" ht="30" customHeight="1"/>
    <row r="1028" ht="30" customHeight="1"/>
    <row r="1029" ht="30" customHeight="1"/>
    <row r="1030" ht="30" customHeight="1"/>
    <row r="1031" ht="30" customHeight="1"/>
    <row r="1032" ht="30" customHeight="1"/>
    <row r="1033" ht="30" customHeight="1"/>
    <row r="1034" ht="30" customHeight="1"/>
    <row r="1035" ht="30" customHeight="1"/>
    <row r="1036" ht="30" customHeight="1"/>
    <row r="1037" ht="30" customHeight="1"/>
    <row r="1038" ht="30" customHeight="1"/>
    <row r="1039" ht="30" customHeight="1"/>
    <row r="1040" ht="30" customHeight="1"/>
    <row r="1041" ht="30" customHeight="1"/>
    <row r="1042" ht="30" customHeight="1"/>
    <row r="1043" ht="30" customHeight="1"/>
    <row r="1044" ht="30" customHeight="1"/>
    <row r="1045" ht="30" customHeight="1"/>
    <row r="1046" ht="30" customHeight="1"/>
    <row r="1047" ht="30" customHeight="1"/>
    <row r="1048" ht="30" customHeight="1"/>
    <row r="1049" ht="30" customHeight="1"/>
    <row r="1050" ht="30" customHeight="1"/>
    <row r="1051" ht="30" customHeight="1"/>
    <row r="1052" ht="30" customHeight="1"/>
    <row r="1053" ht="30" customHeight="1"/>
    <row r="1054" ht="30" customHeight="1"/>
    <row r="1055" ht="30" customHeight="1"/>
    <row r="1056" ht="30" customHeight="1"/>
    <row r="1057" ht="30" customHeight="1"/>
    <row r="1058" ht="30" customHeight="1"/>
    <row r="1059" ht="30" customHeight="1"/>
    <row r="1060" ht="30" customHeight="1"/>
    <row r="1061" ht="30" customHeight="1"/>
    <row r="1062" ht="30" customHeight="1"/>
    <row r="1063" ht="30" customHeight="1"/>
    <row r="1064" ht="30" customHeight="1"/>
    <row r="1065" ht="30" customHeight="1"/>
    <row r="1066" ht="30" customHeight="1"/>
    <row r="1067" ht="30" customHeight="1"/>
    <row r="1068" ht="30" customHeight="1"/>
    <row r="1069" ht="30" customHeight="1"/>
    <row r="1070" ht="30" customHeight="1"/>
    <row r="1071" ht="30" customHeight="1"/>
    <row r="1072" ht="30" customHeight="1"/>
    <row r="1073" ht="30" customHeight="1"/>
    <row r="1074" ht="30" customHeight="1"/>
    <row r="1075" ht="30" customHeight="1"/>
    <row r="1076" ht="30" customHeight="1"/>
    <row r="1077" ht="30" customHeight="1"/>
    <row r="1078" ht="30" customHeight="1"/>
    <row r="1079" ht="30" customHeight="1"/>
    <row r="1080" ht="30" customHeight="1"/>
    <row r="1081" ht="30" customHeight="1"/>
    <row r="1082" ht="30" customHeight="1"/>
    <row r="1083" ht="30" customHeight="1"/>
    <row r="1084" ht="30" customHeight="1"/>
    <row r="1085" ht="30" customHeight="1"/>
    <row r="1086" ht="30" customHeight="1"/>
    <row r="1087" ht="30" customHeight="1"/>
    <row r="1088" ht="30" customHeight="1"/>
    <row r="1089" ht="30" customHeight="1"/>
    <row r="1090" ht="30" customHeight="1"/>
    <row r="1091" ht="30" customHeight="1"/>
    <row r="1092" ht="30" customHeight="1"/>
    <row r="1093" ht="30" customHeight="1"/>
    <row r="1094" ht="30" customHeight="1"/>
    <row r="1095" ht="30" customHeight="1"/>
    <row r="1096" ht="30" customHeight="1"/>
    <row r="1097" ht="30" customHeight="1"/>
  </sheetData>
  <sheetProtection formatCells="0" formatColumns="0" formatRows="0" insertColumns="0" insertRows="0" insertHyperlinks="0" deleteColumns="0" deleteRows="0" sort="0" autoFilter="0" pivotTables="0"/>
  <mergeCells count="5">
    <mergeCell ref="O2:Q2"/>
    <mergeCell ref="O3:Q3"/>
    <mergeCell ref="O4:Q4"/>
    <mergeCell ref="O5:Q5"/>
    <mergeCell ref="O6:Q6"/>
  </mergeCells>
  <conditionalFormatting sqref="H71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LISTAS!$D$5:$D$9</xm:f>
          </x14:formula1>
          <xm:sqref>Q165:Q167 Q108:Q163</xm:sqref>
        </x14:dataValidation>
        <x14:dataValidation type="list" allowBlank="1" showInputMessage="1" showErrorMessage="1" xr:uid="{00000000-0002-0000-0200-000001000000}">
          <x14:formula1>
            <xm:f>LISTAS!#REF!</xm:f>
          </x14:formula1>
          <xm:sqref>N165:N167 N108:N163 V165:V167 V108:V163 I165:J167 I115:J144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9">
    <pageSetUpPr fitToPage="1"/>
  </sheetPr>
  <dimension ref="B1:W1024"/>
  <sheetViews>
    <sheetView showGridLines="0" zoomScale="70" zoomScaleNormal="70" workbookViewId="0">
      <pane ySplit="11" topLeftCell="A237" activePane="bottomLeft" state="frozen"/>
      <selection activeCell="G178" sqref="G178"/>
      <selection pane="bottomLeft" activeCell="D786" sqref="D786:D787"/>
    </sheetView>
  </sheetViews>
  <sheetFormatPr baseColWidth="10" defaultColWidth="9.140625" defaultRowHeight="15"/>
  <cols>
    <col min="1" max="1" width="1.42578125" style="11" customWidth="1"/>
    <col min="2" max="2" width="7.28515625" style="11" customWidth="1"/>
    <col min="3" max="3" width="19" style="11" bestFit="1" customWidth="1"/>
    <col min="4" max="4" width="92.7109375" style="11" customWidth="1"/>
    <col min="5" max="5" width="29" style="11" customWidth="1"/>
    <col min="6" max="6" width="48" style="11" bestFit="1" customWidth="1"/>
    <col min="7" max="7" width="55.42578125" style="11" bestFit="1" customWidth="1"/>
    <col min="8" max="8" width="18.140625" style="11" bestFit="1" customWidth="1"/>
    <col min="9" max="9" width="14.28515625" style="11" bestFit="1" customWidth="1"/>
    <col min="10" max="10" width="16.28515625" style="11" bestFit="1" customWidth="1"/>
    <col min="11" max="11" width="28.42578125" style="11" customWidth="1"/>
    <col min="12" max="12" width="33" style="11" customWidth="1"/>
    <col min="13" max="13" width="25.140625" style="11" customWidth="1"/>
    <col min="14" max="14" width="28.140625" style="11" customWidth="1"/>
    <col min="15" max="15" width="10.140625" style="11" customWidth="1"/>
    <col min="16" max="16" width="10" style="11" customWidth="1"/>
    <col min="17" max="17" width="11.42578125" style="11" customWidth="1"/>
    <col min="18" max="18" width="12.140625" style="11" customWidth="1"/>
    <col min="19" max="19" width="19.140625" style="14" bestFit="1" customWidth="1"/>
    <col min="20" max="20" width="15.7109375" hidden="1" customWidth="1"/>
    <col min="21" max="21" width="15.7109375" style="19" hidden="1" customWidth="1"/>
    <col min="22" max="22" width="5.28515625" hidden="1" customWidth="1"/>
    <col min="23" max="23" width="5.42578125" hidden="1" customWidth="1"/>
    <col min="24" max="16384" width="9.140625" style="11"/>
  </cols>
  <sheetData>
    <row r="1" spans="2:23" ht="16.5">
      <c r="B1" s="1"/>
      <c r="C1" s="18"/>
    </row>
    <row r="2" spans="2:23" ht="17.25" thickBot="1">
      <c r="B2" s="20"/>
      <c r="C2" s="18"/>
    </row>
    <row r="3" spans="2:23" ht="16.5">
      <c r="B3" s="4"/>
      <c r="C3" s="5"/>
      <c r="D3" s="5"/>
      <c r="E3" s="5"/>
      <c r="F3" s="5"/>
      <c r="G3" s="5"/>
      <c r="H3" s="5"/>
      <c r="I3" s="5"/>
      <c r="J3" s="21" t="s">
        <v>4</v>
      </c>
      <c r="K3" s="16" t="s">
        <v>14</v>
      </c>
    </row>
    <row r="4" spans="2:23" ht="18.75">
      <c r="B4" s="6"/>
      <c r="C4" s="22"/>
      <c r="D4" s="22"/>
      <c r="E4" s="22"/>
      <c r="F4" s="22"/>
      <c r="G4" s="23"/>
      <c r="H4" s="23"/>
      <c r="I4" s="22"/>
      <c r="J4" s="24" t="s">
        <v>5</v>
      </c>
      <c r="K4" s="15">
        <v>2</v>
      </c>
    </row>
    <row r="5" spans="2:23" ht="16.5">
      <c r="B5" s="7"/>
      <c r="C5" s="23"/>
      <c r="D5" s="23"/>
      <c r="E5" s="23"/>
      <c r="F5" s="23"/>
      <c r="G5" s="23"/>
      <c r="H5" s="23"/>
      <c r="I5" s="23"/>
      <c r="J5" s="24" t="s">
        <v>6</v>
      </c>
      <c r="K5" s="15" t="s">
        <v>7</v>
      </c>
    </row>
    <row r="6" spans="2:23" ht="16.5">
      <c r="B6" s="7"/>
      <c r="C6" s="23"/>
      <c r="D6" s="23"/>
      <c r="E6" s="23"/>
      <c r="F6" s="23"/>
      <c r="G6" s="23"/>
      <c r="H6" s="23"/>
      <c r="I6" s="23"/>
      <c r="J6" s="24" t="s">
        <v>8</v>
      </c>
      <c r="K6" s="15" t="s">
        <v>9</v>
      </c>
    </row>
    <row r="7" spans="2:23" ht="17.25" thickBot="1">
      <c r="B7" s="8"/>
      <c r="C7" s="9"/>
      <c r="D7" s="9"/>
      <c r="E7" s="9"/>
      <c r="F7" s="9"/>
      <c r="G7" s="9"/>
      <c r="H7" s="9"/>
      <c r="I7" s="9"/>
      <c r="J7" s="25" t="s">
        <v>10</v>
      </c>
      <c r="K7" s="17" t="s">
        <v>264</v>
      </c>
    </row>
    <row r="8" spans="2:23" ht="17.100000000000001" customHeight="1">
      <c r="B8" s="20"/>
      <c r="C8" s="18"/>
    </row>
    <row r="9" spans="2:23" ht="23.25" customHeight="1">
      <c r="B9" s="20"/>
      <c r="C9" s="18"/>
    </row>
    <row r="11" spans="2:23" ht="33.950000000000003" customHeight="1">
      <c r="B11" s="26" t="s">
        <v>265</v>
      </c>
      <c r="C11" s="26" t="s">
        <v>266</v>
      </c>
      <c r="D11" s="26" t="s">
        <v>267</v>
      </c>
      <c r="E11" s="26" t="s">
        <v>1927</v>
      </c>
      <c r="F11" s="26" t="s">
        <v>2</v>
      </c>
      <c r="G11" s="26" t="s">
        <v>1928</v>
      </c>
      <c r="H11" s="26" t="s">
        <v>0</v>
      </c>
      <c r="S11" s="11"/>
      <c r="T11" s="11"/>
      <c r="U11" s="11"/>
      <c r="V11" s="11"/>
      <c r="W11" s="11"/>
    </row>
    <row r="12" spans="2:23" ht="30" customHeight="1">
      <c r="B12" s="70">
        <v>1</v>
      </c>
      <c r="C12" s="71" t="s">
        <v>268</v>
      </c>
      <c r="D12" s="71" t="s">
        <v>269</v>
      </c>
      <c r="E12" s="140" t="s">
        <v>64</v>
      </c>
      <c r="F12" s="71" t="s">
        <v>70</v>
      </c>
      <c r="G12" s="71" t="s">
        <v>1930</v>
      </c>
      <c r="H12" s="71" t="s">
        <v>1931</v>
      </c>
      <c r="S12" s="11"/>
      <c r="T12" s="11"/>
      <c r="U12" s="11"/>
      <c r="V12" s="11"/>
      <c r="W12" s="11"/>
    </row>
    <row r="13" spans="2:23" ht="30" customHeight="1">
      <c r="B13" s="70">
        <v>2</v>
      </c>
      <c r="C13" s="71" t="s">
        <v>270</v>
      </c>
      <c r="D13" s="71" t="s">
        <v>271</v>
      </c>
      <c r="E13" s="140" t="s">
        <v>64</v>
      </c>
      <c r="F13" s="71" t="s">
        <v>70</v>
      </c>
      <c r="G13" s="71" t="s">
        <v>1932</v>
      </c>
      <c r="H13" s="71" t="s">
        <v>1933</v>
      </c>
      <c r="S13" s="11"/>
      <c r="T13" s="11"/>
      <c r="U13" s="11"/>
      <c r="V13" s="11"/>
      <c r="W13" s="11"/>
    </row>
    <row r="14" spans="2:23" ht="30" customHeight="1">
      <c r="B14" s="70">
        <v>3</v>
      </c>
      <c r="C14" s="71" t="s">
        <v>272</v>
      </c>
      <c r="D14" s="71" t="s">
        <v>273</v>
      </c>
      <c r="E14" s="140" t="s">
        <v>64</v>
      </c>
      <c r="F14" s="71" t="s">
        <v>70</v>
      </c>
      <c r="G14" s="71" t="s">
        <v>1934</v>
      </c>
      <c r="H14" s="71" t="s">
        <v>1935</v>
      </c>
      <c r="S14" s="11"/>
      <c r="T14" s="11"/>
      <c r="U14" s="11"/>
      <c r="V14" s="11"/>
      <c r="W14" s="11"/>
    </row>
    <row r="15" spans="2:23" ht="30" customHeight="1">
      <c r="B15" s="70">
        <v>4</v>
      </c>
      <c r="C15" s="71" t="s">
        <v>274</v>
      </c>
      <c r="D15" s="71" t="s">
        <v>275</v>
      </c>
      <c r="E15" s="140" t="s">
        <v>64</v>
      </c>
      <c r="F15" s="71" t="s">
        <v>70</v>
      </c>
      <c r="G15" s="71" t="s">
        <v>1932</v>
      </c>
      <c r="H15" s="71" t="s">
        <v>1933</v>
      </c>
      <c r="S15" s="11"/>
      <c r="T15" s="11"/>
      <c r="U15" s="11"/>
      <c r="V15" s="11"/>
      <c r="W15" s="11"/>
    </row>
    <row r="16" spans="2:23" ht="30" customHeight="1">
      <c r="B16" s="70">
        <v>5</v>
      </c>
      <c r="C16" s="71" t="s">
        <v>276</v>
      </c>
      <c r="D16" s="71" t="s">
        <v>277</v>
      </c>
      <c r="E16" s="140" t="s">
        <v>64</v>
      </c>
      <c r="F16" s="71" t="s">
        <v>70</v>
      </c>
      <c r="G16" s="71" t="s">
        <v>1930</v>
      </c>
      <c r="H16" s="71" t="s">
        <v>1931</v>
      </c>
      <c r="S16" s="11"/>
      <c r="T16" s="11"/>
      <c r="U16" s="11"/>
      <c r="V16" s="11"/>
      <c r="W16" s="11"/>
    </row>
    <row r="17" spans="2:23" ht="30" customHeight="1">
      <c r="B17" s="70">
        <v>6</v>
      </c>
      <c r="C17" s="71" t="s">
        <v>278</v>
      </c>
      <c r="D17" s="71" t="s">
        <v>279</v>
      </c>
      <c r="E17" s="140" t="s">
        <v>64</v>
      </c>
      <c r="F17" s="71" t="s">
        <v>70</v>
      </c>
      <c r="G17" s="71" t="s">
        <v>1930</v>
      </c>
      <c r="H17" s="71" t="s">
        <v>1931</v>
      </c>
      <c r="S17" s="11"/>
      <c r="T17" s="11"/>
      <c r="U17" s="11"/>
      <c r="V17" s="11"/>
      <c r="W17" s="11"/>
    </row>
    <row r="18" spans="2:23" ht="30" customHeight="1">
      <c r="B18" s="70">
        <v>7</v>
      </c>
      <c r="C18" s="71" t="s">
        <v>280</v>
      </c>
      <c r="D18" s="71" t="s">
        <v>281</v>
      </c>
      <c r="E18" s="140" t="s">
        <v>64</v>
      </c>
      <c r="F18" s="71" t="s">
        <v>70</v>
      </c>
      <c r="G18" s="71" t="s">
        <v>1934</v>
      </c>
      <c r="H18" s="71" t="s">
        <v>1935</v>
      </c>
      <c r="S18" s="11"/>
      <c r="T18" s="11"/>
      <c r="U18" s="11"/>
      <c r="V18" s="11"/>
      <c r="W18" s="11"/>
    </row>
    <row r="19" spans="2:23" ht="30" customHeight="1">
      <c r="B19" s="70">
        <v>8</v>
      </c>
      <c r="C19" s="71" t="s">
        <v>282</v>
      </c>
      <c r="D19" s="71" t="s">
        <v>2088</v>
      </c>
      <c r="E19" s="140" t="s">
        <v>64</v>
      </c>
      <c r="F19" s="71" t="s">
        <v>2089</v>
      </c>
      <c r="G19" s="71" t="s">
        <v>1936</v>
      </c>
      <c r="H19" s="71" t="s">
        <v>151</v>
      </c>
      <c r="S19" s="11"/>
      <c r="T19" s="11"/>
      <c r="U19" s="11"/>
      <c r="V19" s="11"/>
      <c r="W19" s="11"/>
    </row>
    <row r="20" spans="2:23" ht="30" customHeight="1">
      <c r="B20" s="70">
        <v>9</v>
      </c>
      <c r="C20" s="71" t="s">
        <v>283</v>
      </c>
      <c r="D20" s="71" t="s">
        <v>284</v>
      </c>
      <c r="E20" s="140" t="s">
        <v>24</v>
      </c>
      <c r="F20" s="71" t="s">
        <v>20</v>
      </c>
      <c r="G20" s="71" t="s">
        <v>1937</v>
      </c>
      <c r="H20" s="71" t="s">
        <v>79</v>
      </c>
      <c r="S20" s="11"/>
      <c r="T20" s="11"/>
      <c r="U20" s="11"/>
      <c r="V20" s="11"/>
      <c r="W20" s="11"/>
    </row>
    <row r="21" spans="2:23" ht="30" customHeight="1">
      <c r="B21" s="70">
        <v>10</v>
      </c>
      <c r="C21" s="71" t="s">
        <v>285</v>
      </c>
      <c r="D21" s="71" t="s">
        <v>286</v>
      </c>
      <c r="E21" s="140" t="s">
        <v>64</v>
      </c>
      <c r="F21" s="71" t="s">
        <v>70</v>
      </c>
      <c r="G21" s="71" t="s">
        <v>1932</v>
      </c>
      <c r="H21" s="71" t="s">
        <v>1933</v>
      </c>
      <c r="S21" s="11"/>
      <c r="T21" s="11"/>
      <c r="U21" s="11"/>
      <c r="V21" s="11"/>
      <c r="W21" s="11"/>
    </row>
    <row r="22" spans="2:23" ht="30" customHeight="1">
      <c r="B22" s="70">
        <v>11</v>
      </c>
      <c r="C22" s="71" t="s">
        <v>287</v>
      </c>
      <c r="D22" s="71" t="s">
        <v>2090</v>
      </c>
      <c r="E22" s="140" t="s">
        <v>64</v>
      </c>
      <c r="F22" s="71" t="s">
        <v>70</v>
      </c>
      <c r="G22" s="71" t="s">
        <v>2091</v>
      </c>
      <c r="H22" s="71" t="s">
        <v>1938</v>
      </c>
      <c r="S22" s="11"/>
      <c r="T22" s="11"/>
      <c r="U22" s="11"/>
      <c r="V22" s="11"/>
      <c r="W22" s="11"/>
    </row>
    <row r="23" spans="2:23" ht="30" customHeight="1">
      <c r="B23" s="70">
        <v>12</v>
      </c>
      <c r="C23" s="71" t="s">
        <v>288</v>
      </c>
      <c r="D23" s="71" t="s">
        <v>289</v>
      </c>
      <c r="E23" s="140" t="s">
        <v>64</v>
      </c>
      <c r="F23" s="71" t="s">
        <v>70</v>
      </c>
      <c r="G23" s="71" t="s">
        <v>76</v>
      </c>
      <c r="H23" s="71" t="s">
        <v>75</v>
      </c>
      <c r="S23" s="11"/>
      <c r="T23" s="11"/>
      <c r="U23" s="11"/>
      <c r="V23" s="11"/>
      <c r="W23" s="11"/>
    </row>
    <row r="24" spans="2:23" ht="30" customHeight="1">
      <c r="B24" s="70">
        <v>13</v>
      </c>
      <c r="C24" s="71" t="s">
        <v>290</v>
      </c>
      <c r="D24" s="71" t="s">
        <v>291</v>
      </c>
      <c r="E24" s="140" t="s">
        <v>64</v>
      </c>
      <c r="F24" s="71" t="s">
        <v>80</v>
      </c>
      <c r="G24" s="71" t="s">
        <v>82</v>
      </c>
      <c r="H24" s="71" t="s">
        <v>1939</v>
      </c>
      <c r="S24" s="11"/>
      <c r="T24" s="11"/>
      <c r="U24" s="11"/>
      <c r="V24" s="11"/>
      <c r="W24" s="11"/>
    </row>
    <row r="25" spans="2:23" ht="30" customHeight="1">
      <c r="B25" s="70">
        <v>14</v>
      </c>
      <c r="C25" s="71" t="s">
        <v>292</v>
      </c>
      <c r="D25" s="71" t="s">
        <v>293</v>
      </c>
      <c r="E25" s="140" t="s">
        <v>64</v>
      </c>
      <c r="F25" s="71" t="s">
        <v>2092</v>
      </c>
      <c r="G25" s="71" t="s">
        <v>1940</v>
      </c>
      <c r="H25" s="71" t="s">
        <v>1941</v>
      </c>
      <c r="S25" s="11"/>
      <c r="T25" s="11"/>
      <c r="U25" s="11"/>
      <c r="V25" s="11"/>
      <c r="W25" s="11"/>
    </row>
    <row r="26" spans="2:23" ht="30" customHeight="1">
      <c r="B26" s="70">
        <v>15</v>
      </c>
      <c r="C26" s="71" t="s">
        <v>1942</v>
      </c>
      <c r="D26" s="71" t="s">
        <v>2093</v>
      </c>
      <c r="E26" s="140" t="s">
        <v>64</v>
      </c>
      <c r="F26" s="71" t="s">
        <v>2092</v>
      </c>
      <c r="G26" s="71" t="s">
        <v>2094</v>
      </c>
      <c r="H26" s="71" t="s">
        <v>1943</v>
      </c>
      <c r="S26" s="11"/>
      <c r="T26" s="11"/>
      <c r="U26" s="11"/>
      <c r="V26" s="11"/>
      <c r="W26" s="11"/>
    </row>
    <row r="27" spans="2:23" ht="30" customHeight="1">
      <c r="B27" s="70">
        <v>16</v>
      </c>
      <c r="C27" s="71" t="s">
        <v>294</v>
      </c>
      <c r="D27" s="71" t="s">
        <v>295</v>
      </c>
      <c r="E27" s="140" t="s">
        <v>64</v>
      </c>
      <c r="F27" s="71" t="s">
        <v>2092</v>
      </c>
      <c r="G27" s="71" t="s">
        <v>1944</v>
      </c>
      <c r="H27" s="71" t="s">
        <v>1945</v>
      </c>
      <c r="S27" s="11"/>
      <c r="T27" s="11"/>
      <c r="U27" s="11"/>
      <c r="V27" s="11"/>
      <c r="W27" s="11"/>
    </row>
    <row r="28" spans="2:23" ht="30" customHeight="1">
      <c r="B28" s="70">
        <v>17</v>
      </c>
      <c r="C28" s="71" t="s">
        <v>296</v>
      </c>
      <c r="D28" s="71" t="s">
        <v>2095</v>
      </c>
      <c r="E28" s="140" t="s">
        <v>64</v>
      </c>
      <c r="F28" s="71" t="s">
        <v>85</v>
      </c>
      <c r="G28" s="71" t="s">
        <v>103</v>
      </c>
      <c r="H28" s="71" t="s">
        <v>1946</v>
      </c>
      <c r="S28" s="11"/>
      <c r="T28" s="11"/>
      <c r="U28" s="11"/>
      <c r="V28" s="11"/>
      <c r="W28" s="11"/>
    </row>
    <row r="29" spans="2:23" ht="30" customHeight="1">
      <c r="B29" s="70">
        <v>18</v>
      </c>
      <c r="C29" s="71" t="s">
        <v>297</v>
      </c>
      <c r="D29" s="71" t="s">
        <v>2096</v>
      </c>
      <c r="E29" s="140" t="s">
        <v>64</v>
      </c>
      <c r="F29" s="71" t="s">
        <v>85</v>
      </c>
      <c r="G29" s="71" t="s">
        <v>1947</v>
      </c>
      <c r="H29" s="71" t="s">
        <v>1948</v>
      </c>
      <c r="S29" s="11"/>
      <c r="T29" s="11"/>
      <c r="U29" s="11"/>
      <c r="V29" s="11"/>
      <c r="W29" s="11"/>
    </row>
    <row r="30" spans="2:23" ht="30" customHeight="1">
      <c r="B30" s="70">
        <v>19</v>
      </c>
      <c r="C30" s="71" t="s">
        <v>298</v>
      </c>
      <c r="D30" s="71" t="s">
        <v>2097</v>
      </c>
      <c r="E30" s="140" t="s">
        <v>64</v>
      </c>
      <c r="F30" s="71" t="s">
        <v>85</v>
      </c>
      <c r="G30" s="71" t="s">
        <v>1947</v>
      </c>
      <c r="H30" s="71" t="s">
        <v>1948</v>
      </c>
      <c r="S30" s="11"/>
      <c r="T30" s="11"/>
      <c r="U30" s="11"/>
      <c r="V30" s="11"/>
      <c r="W30" s="11"/>
    </row>
    <row r="31" spans="2:23" ht="30" customHeight="1">
      <c r="B31" s="70">
        <v>20</v>
      </c>
      <c r="C31" s="71" t="s">
        <v>299</v>
      </c>
      <c r="D31" s="71" t="s">
        <v>2098</v>
      </c>
      <c r="E31" s="140" t="s">
        <v>64</v>
      </c>
      <c r="F31" s="71" t="s">
        <v>85</v>
      </c>
      <c r="G31" s="71" t="s">
        <v>1947</v>
      </c>
      <c r="H31" s="71" t="s">
        <v>1948</v>
      </c>
      <c r="S31" s="11"/>
      <c r="T31" s="11"/>
      <c r="U31" s="11"/>
      <c r="V31" s="11"/>
      <c r="W31" s="11"/>
    </row>
    <row r="32" spans="2:23" ht="30" customHeight="1">
      <c r="B32" s="70">
        <v>21</v>
      </c>
      <c r="C32" s="71" t="s">
        <v>300</v>
      </c>
      <c r="D32" s="71" t="s">
        <v>2099</v>
      </c>
      <c r="E32" s="140" t="s">
        <v>64</v>
      </c>
      <c r="F32" s="71" t="s">
        <v>85</v>
      </c>
      <c r="G32" s="71" t="s">
        <v>1947</v>
      </c>
      <c r="H32" s="71" t="s">
        <v>1948</v>
      </c>
      <c r="S32" s="11"/>
      <c r="T32" s="11"/>
      <c r="U32" s="11"/>
      <c r="V32" s="11"/>
      <c r="W32" s="11"/>
    </row>
    <row r="33" spans="2:23" ht="30" customHeight="1">
      <c r="B33" s="70">
        <v>22</v>
      </c>
      <c r="C33" s="71" t="s">
        <v>301</v>
      </c>
      <c r="D33" s="71" t="s">
        <v>2100</v>
      </c>
      <c r="E33" s="140" t="s">
        <v>64</v>
      </c>
      <c r="F33" s="71" t="s">
        <v>85</v>
      </c>
      <c r="G33" s="71" t="s">
        <v>1947</v>
      </c>
      <c r="H33" s="71" t="s">
        <v>1948</v>
      </c>
      <c r="S33" s="11"/>
      <c r="T33" s="11"/>
      <c r="U33" s="11"/>
      <c r="V33" s="11"/>
      <c r="W33" s="11"/>
    </row>
    <row r="34" spans="2:23" ht="30" customHeight="1">
      <c r="B34" s="70">
        <v>23</v>
      </c>
      <c r="C34" s="71" t="s">
        <v>302</v>
      </c>
      <c r="D34" s="71" t="s">
        <v>2101</v>
      </c>
      <c r="E34" s="140" t="s">
        <v>64</v>
      </c>
      <c r="F34" s="71" t="s">
        <v>85</v>
      </c>
      <c r="G34" s="71" t="s">
        <v>1947</v>
      </c>
      <c r="H34" s="71" t="s">
        <v>1948</v>
      </c>
      <c r="S34" s="11"/>
      <c r="T34" s="11"/>
      <c r="U34" s="11"/>
      <c r="V34" s="11"/>
      <c r="W34" s="11"/>
    </row>
    <row r="35" spans="2:23" ht="30" customHeight="1">
      <c r="B35" s="70">
        <v>24</v>
      </c>
      <c r="C35" s="71" t="s">
        <v>303</v>
      </c>
      <c r="D35" s="71" t="s">
        <v>2102</v>
      </c>
      <c r="E35" s="140" t="s">
        <v>64</v>
      </c>
      <c r="F35" s="71" t="s">
        <v>85</v>
      </c>
      <c r="G35" s="71" t="s">
        <v>1947</v>
      </c>
      <c r="H35" s="71" t="s">
        <v>1948</v>
      </c>
      <c r="S35" s="11"/>
      <c r="T35" s="11"/>
      <c r="U35" s="11"/>
      <c r="V35" s="11"/>
      <c r="W35" s="11"/>
    </row>
    <row r="36" spans="2:23" ht="30" customHeight="1">
      <c r="B36" s="70">
        <v>25</v>
      </c>
      <c r="C36" s="71" t="s">
        <v>304</v>
      </c>
      <c r="D36" s="71" t="s">
        <v>2103</v>
      </c>
      <c r="E36" s="140" t="s">
        <v>64</v>
      </c>
      <c r="F36" s="71" t="s">
        <v>85</v>
      </c>
      <c r="G36" s="71" t="s">
        <v>1947</v>
      </c>
      <c r="H36" s="71" t="s">
        <v>1948</v>
      </c>
      <c r="S36" s="11"/>
      <c r="T36" s="11"/>
      <c r="U36" s="11"/>
      <c r="V36" s="11"/>
      <c r="W36" s="11"/>
    </row>
    <row r="37" spans="2:23" ht="30" customHeight="1">
      <c r="B37" s="70">
        <v>26</v>
      </c>
      <c r="C37" s="71" t="s">
        <v>305</v>
      </c>
      <c r="D37" s="71" t="s">
        <v>2104</v>
      </c>
      <c r="E37" s="140" t="s">
        <v>64</v>
      </c>
      <c r="F37" s="71" t="s">
        <v>85</v>
      </c>
      <c r="G37" s="71" t="s">
        <v>1947</v>
      </c>
      <c r="H37" s="71" t="s">
        <v>1948</v>
      </c>
      <c r="S37" s="11"/>
      <c r="T37" s="11"/>
      <c r="U37" s="11"/>
      <c r="V37" s="11"/>
      <c r="W37" s="11"/>
    </row>
    <row r="38" spans="2:23" ht="30" customHeight="1">
      <c r="B38" s="70">
        <v>27</v>
      </c>
      <c r="C38" s="71" t="s">
        <v>306</v>
      </c>
      <c r="D38" s="71" t="s">
        <v>2105</v>
      </c>
      <c r="E38" s="140" t="s">
        <v>64</v>
      </c>
      <c r="F38" s="71" t="s">
        <v>85</v>
      </c>
      <c r="G38" s="71" t="s">
        <v>101</v>
      </c>
      <c r="H38" s="71" t="s">
        <v>100</v>
      </c>
      <c r="S38" s="11"/>
      <c r="T38" s="11"/>
      <c r="U38" s="11"/>
      <c r="V38" s="11"/>
      <c r="W38" s="11"/>
    </row>
    <row r="39" spans="2:23" ht="30" customHeight="1">
      <c r="B39" s="70">
        <v>28</v>
      </c>
      <c r="C39" s="71" t="s">
        <v>307</v>
      </c>
      <c r="D39" s="71" t="s">
        <v>308</v>
      </c>
      <c r="E39" s="140" t="s">
        <v>64</v>
      </c>
      <c r="F39" s="71" t="s">
        <v>85</v>
      </c>
      <c r="G39" s="71" t="s">
        <v>101</v>
      </c>
      <c r="H39" s="71" t="s">
        <v>100</v>
      </c>
      <c r="S39" s="11"/>
      <c r="T39" s="11"/>
      <c r="U39" s="11"/>
      <c r="V39" s="11"/>
      <c r="W39" s="11"/>
    </row>
    <row r="40" spans="2:23" ht="30" customHeight="1">
      <c r="B40" s="70">
        <v>29</v>
      </c>
      <c r="C40" s="71" t="s">
        <v>309</v>
      </c>
      <c r="D40" s="71" t="s">
        <v>2106</v>
      </c>
      <c r="E40" s="140" t="s">
        <v>64</v>
      </c>
      <c r="F40" s="71" t="s">
        <v>85</v>
      </c>
      <c r="G40" s="71" t="s">
        <v>101</v>
      </c>
      <c r="H40" s="71" t="s">
        <v>100</v>
      </c>
      <c r="S40" s="11"/>
      <c r="T40" s="11"/>
      <c r="U40" s="11"/>
      <c r="V40" s="11"/>
      <c r="W40" s="11"/>
    </row>
    <row r="41" spans="2:23" ht="30" customHeight="1">
      <c r="B41" s="70">
        <v>30</v>
      </c>
      <c r="C41" s="71" t="s">
        <v>310</v>
      </c>
      <c r="D41" s="71" t="s">
        <v>311</v>
      </c>
      <c r="E41" s="140" t="s">
        <v>64</v>
      </c>
      <c r="F41" s="71" t="s">
        <v>85</v>
      </c>
      <c r="G41" s="71" t="s">
        <v>101</v>
      </c>
      <c r="H41" s="71" t="s">
        <v>100</v>
      </c>
      <c r="S41" s="11"/>
      <c r="T41" s="11"/>
      <c r="U41" s="11"/>
      <c r="V41" s="11"/>
      <c r="W41" s="11"/>
    </row>
    <row r="42" spans="2:23" ht="30" customHeight="1">
      <c r="B42" s="70">
        <v>31</v>
      </c>
      <c r="C42" s="71" t="s">
        <v>312</v>
      </c>
      <c r="D42" s="71" t="s">
        <v>313</v>
      </c>
      <c r="E42" s="140" t="s">
        <v>64</v>
      </c>
      <c r="F42" s="71" t="s">
        <v>85</v>
      </c>
      <c r="G42" s="71" t="s">
        <v>103</v>
      </c>
      <c r="H42" s="71" t="s">
        <v>1946</v>
      </c>
      <c r="S42" s="11"/>
      <c r="T42" s="11"/>
      <c r="U42" s="11"/>
      <c r="V42" s="11"/>
      <c r="W42" s="11"/>
    </row>
    <row r="43" spans="2:23" ht="30" customHeight="1">
      <c r="B43" s="70">
        <v>32</v>
      </c>
      <c r="C43" s="71" t="s">
        <v>314</v>
      </c>
      <c r="D43" s="71" t="s">
        <v>315</v>
      </c>
      <c r="E43" s="140" t="s">
        <v>64</v>
      </c>
      <c r="F43" s="71" t="s">
        <v>85</v>
      </c>
      <c r="G43" s="71" t="s">
        <v>103</v>
      </c>
      <c r="H43" s="71" t="s">
        <v>1946</v>
      </c>
      <c r="S43" s="11"/>
      <c r="T43" s="11"/>
      <c r="U43" s="11"/>
      <c r="V43" s="11"/>
      <c r="W43" s="11"/>
    </row>
    <row r="44" spans="2:23" ht="30" customHeight="1">
      <c r="B44" s="70">
        <v>33</v>
      </c>
      <c r="C44" s="71" t="s">
        <v>316</v>
      </c>
      <c r="D44" s="71" t="s">
        <v>317</v>
      </c>
      <c r="E44" s="140" t="s">
        <v>64</v>
      </c>
      <c r="F44" s="71" t="s">
        <v>2092</v>
      </c>
      <c r="G44" s="71" t="s">
        <v>1949</v>
      </c>
      <c r="H44" s="71" t="s">
        <v>139</v>
      </c>
      <c r="S44" s="11"/>
      <c r="T44" s="11"/>
      <c r="U44" s="11"/>
      <c r="V44" s="11"/>
      <c r="W44" s="11"/>
    </row>
    <row r="45" spans="2:23" ht="30" customHeight="1">
      <c r="B45" s="70">
        <v>34</v>
      </c>
      <c r="C45" s="71" t="s">
        <v>318</v>
      </c>
      <c r="D45" s="71" t="s">
        <v>2107</v>
      </c>
      <c r="E45" s="140" t="s">
        <v>64</v>
      </c>
      <c r="F45" s="71" t="s">
        <v>2092</v>
      </c>
      <c r="G45" s="71" t="s">
        <v>1949</v>
      </c>
      <c r="H45" s="71" t="s">
        <v>139</v>
      </c>
      <c r="S45" s="11"/>
      <c r="T45" s="11"/>
      <c r="U45" s="11"/>
      <c r="V45" s="11"/>
      <c r="W45" s="11"/>
    </row>
    <row r="46" spans="2:23" ht="30" customHeight="1">
      <c r="B46" s="70">
        <v>35</v>
      </c>
      <c r="C46" s="71" t="s">
        <v>319</v>
      </c>
      <c r="D46" s="71" t="s">
        <v>320</v>
      </c>
      <c r="E46" s="140" t="s">
        <v>64</v>
      </c>
      <c r="F46" s="71" t="s">
        <v>2108</v>
      </c>
      <c r="G46" s="71" t="s">
        <v>1950</v>
      </c>
      <c r="H46" s="71" t="s">
        <v>106</v>
      </c>
      <c r="S46" s="11"/>
      <c r="T46" s="11"/>
      <c r="U46" s="11"/>
      <c r="V46" s="11"/>
      <c r="W46" s="11"/>
    </row>
    <row r="47" spans="2:23" ht="30" customHeight="1">
      <c r="B47" s="70">
        <v>36</v>
      </c>
      <c r="C47" s="71" t="s">
        <v>321</v>
      </c>
      <c r="D47" s="71" t="s">
        <v>322</v>
      </c>
      <c r="E47" s="140" t="s">
        <v>64</v>
      </c>
      <c r="F47" s="71" t="s">
        <v>2108</v>
      </c>
      <c r="G47" s="71" t="s">
        <v>1951</v>
      </c>
      <c r="H47" s="71" t="s">
        <v>1952</v>
      </c>
      <c r="S47" s="11"/>
      <c r="T47" s="11"/>
      <c r="U47" s="11"/>
      <c r="V47" s="11"/>
      <c r="W47" s="11"/>
    </row>
    <row r="48" spans="2:23" ht="30" customHeight="1">
      <c r="B48" s="70">
        <v>37</v>
      </c>
      <c r="C48" s="71" t="s">
        <v>323</v>
      </c>
      <c r="D48" s="71" t="s">
        <v>2109</v>
      </c>
      <c r="E48" s="140" t="s">
        <v>24</v>
      </c>
      <c r="F48" s="71" t="s">
        <v>2110</v>
      </c>
      <c r="G48" s="71" t="s">
        <v>1953</v>
      </c>
      <c r="H48" s="71" t="s">
        <v>192</v>
      </c>
      <c r="S48" s="11"/>
      <c r="T48" s="11"/>
      <c r="U48" s="11"/>
      <c r="V48" s="11"/>
      <c r="W48" s="11"/>
    </row>
    <row r="49" spans="2:23" ht="30" customHeight="1">
      <c r="B49" s="70">
        <v>38</v>
      </c>
      <c r="C49" s="71" t="s">
        <v>324</v>
      </c>
      <c r="D49" s="71" t="s">
        <v>325</v>
      </c>
      <c r="E49" s="140" t="s">
        <v>24</v>
      </c>
      <c r="F49" s="71" t="s">
        <v>2110</v>
      </c>
      <c r="G49" s="71" t="s">
        <v>1954</v>
      </c>
      <c r="H49" s="71" t="s">
        <v>30</v>
      </c>
      <c r="S49" s="11"/>
      <c r="T49" s="11"/>
      <c r="U49" s="11"/>
      <c r="V49" s="11"/>
      <c r="W49" s="11"/>
    </row>
    <row r="50" spans="2:23" ht="30" customHeight="1">
      <c r="B50" s="70">
        <v>39</v>
      </c>
      <c r="C50" s="71" t="s">
        <v>1955</v>
      </c>
      <c r="D50" s="71" t="s">
        <v>326</v>
      </c>
      <c r="E50" s="140" t="s">
        <v>24</v>
      </c>
      <c r="F50" s="71" t="s">
        <v>2110</v>
      </c>
      <c r="G50" s="71" t="s">
        <v>1954</v>
      </c>
      <c r="H50" s="71" t="s">
        <v>30</v>
      </c>
      <c r="S50" s="11"/>
      <c r="T50" s="11"/>
      <c r="U50" s="11"/>
      <c r="V50" s="11"/>
      <c r="W50" s="11"/>
    </row>
    <row r="51" spans="2:23" ht="30" customHeight="1">
      <c r="B51" s="70">
        <v>40</v>
      </c>
      <c r="C51" s="71" t="s">
        <v>327</v>
      </c>
      <c r="D51" s="71" t="s">
        <v>2111</v>
      </c>
      <c r="E51" s="140" t="s">
        <v>24</v>
      </c>
      <c r="F51" s="71" t="s">
        <v>2110</v>
      </c>
      <c r="G51" s="71" t="s">
        <v>1954</v>
      </c>
      <c r="H51" s="71" t="s">
        <v>30</v>
      </c>
      <c r="S51" s="11"/>
      <c r="T51" s="11"/>
      <c r="U51" s="11"/>
      <c r="V51" s="11"/>
      <c r="W51" s="11"/>
    </row>
    <row r="52" spans="2:23" ht="30" customHeight="1">
      <c r="B52" s="70">
        <v>41</v>
      </c>
      <c r="C52" s="71" t="s">
        <v>328</v>
      </c>
      <c r="D52" s="71" t="s">
        <v>329</v>
      </c>
      <c r="E52" s="140" t="s">
        <v>24</v>
      </c>
      <c r="F52" s="71" t="s">
        <v>2110</v>
      </c>
      <c r="G52" s="71" t="s">
        <v>1956</v>
      </c>
      <c r="H52" s="71" t="s">
        <v>31</v>
      </c>
      <c r="S52" s="11"/>
      <c r="T52" s="11"/>
      <c r="U52" s="11"/>
      <c r="V52" s="11"/>
      <c r="W52" s="11"/>
    </row>
    <row r="53" spans="2:23" ht="30" customHeight="1">
      <c r="B53" s="70">
        <v>42</v>
      </c>
      <c r="C53" s="71" t="s">
        <v>330</v>
      </c>
      <c r="D53" s="71" t="s">
        <v>331</v>
      </c>
      <c r="E53" s="140" t="s">
        <v>24</v>
      </c>
      <c r="F53" s="71" t="s">
        <v>2110</v>
      </c>
      <c r="G53" s="71" t="s">
        <v>1956</v>
      </c>
      <c r="H53" s="71" t="s">
        <v>31</v>
      </c>
      <c r="S53" s="11"/>
      <c r="T53" s="11"/>
      <c r="U53" s="11"/>
      <c r="V53" s="11"/>
      <c r="W53" s="11"/>
    </row>
    <row r="54" spans="2:23" ht="30" customHeight="1">
      <c r="B54" s="70">
        <v>43</v>
      </c>
      <c r="C54" s="71" t="s">
        <v>332</v>
      </c>
      <c r="D54" s="71" t="s">
        <v>2112</v>
      </c>
      <c r="E54" s="140" t="s">
        <v>24</v>
      </c>
      <c r="F54" s="71" t="s">
        <v>2110</v>
      </c>
      <c r="G54" s="71" t="s">
        <v>1956</v>
      </c>
      <c r="H54" s="71" t="s">
        <v>31</v>
      </c>
      <c r="S54" s="11"/>
      <c r="T54" s="11"/>
      <c r="U54" s="11"/>
      <c r="V54" s="11"/>
      <c r="W54" s="11"/>
    </row>
    <row r="55" spans="2:23" ht="30" customHeight="1">
      <c r="B55" s="70">
        <v>44</v>
      </c>
      <c r="C55" s="71" t="s">
        <v>333</v>
      </c>
      <c r="D55" s="71" t="s">
        <v>329</v>
      </c>
      <c r="E55" s="140" t="s">
        <v>24</v>
      </c>
      <c r="F55" s="71" t="s">
        <v>2110</v>
      </c>
      <c r="G55" s="71" t="s">
        <v>1957</v>
      </c>
      <c r="H55" s="71" t="s">
        <v>32</v>
      </c>
      <c r="S55" s="11"/>
      <c r="T55" s="11"/>
      <c r="U55" s="11"/>
      <c r="V55" s="11"/>
      <c r="W55" s="11"/>
    </row>
    <row r="56" spans="2:23" ht="30" customHeight="1">
      <c r="B56" s="70">
        <v>45</v>
      </c>
      <c r="C56" s="71" t="s">
        <v>334</v>
      </c>
      <c r="D56" s="71" t="s">
        <v>331</v>
      </c>
      <c r="E56" s="140" t="s">
        <v>24</v>
      </c>
      <c r="F56" s="71" t="s">
        <v>2110</v>
      </c>
      <c r="G56" s="71" t="s">
        <v>1957</v>
      </c>
      <c r="H56" s="71" t="s">
        <v>32</v>
      </c>
      <c r="S56" s="11"/>
      <c r="T56" s="11"/>
      <c r="U56" s="11"/>
      <c r="V56" s="11"/>
      <c r="W56" s="11"/>
    </row>
    <row r="57" spans="2:23" ht="30" customHeight="1">
      <c r="B57" s="70">
        <v>46</v>
      </c>
      <c r="C57" s="71" t="s">
        <v>335</v>
      </c>
      <c r="D57" s="71" t="s">
        <v>2113</v>
      </c>
      <c r="E57" s="140" t="s">
        <v>24</v>
      </c>
      <c r="F57" s="71" t="s">
        <v>2110</v>
      </c>
      <c r="G57" s="71" t="s">
        <v>1957</v>
      </c>
      <c r="H57" s="71" t="s">
        <v>32</v>
      </c>
      <c r="S57" s="11"/>
      <c r="T57" s="11"/>
      <c r="U57" s="11"/>
      <c r="V57" s="11"/>
      <c r="W57" s="11"/>
    </row>
    <row r="58" spans="2:23" ht="30" customHeight="1">
      <c r="B58" s="70">
        <v>47</v>
      </c>
      <c r="C58" s="71" t="s">
        <v>336</v>
      </c>
      <c r="D58" s="71" t="s">
        <v>337</v>
      </c>
      <c r="E58" s="140" t="s">
        <v>24</v>
      </c>
      <c r="F58" s="71" t="s">
        <v>2110</v>
      </c>
      <c r="G58" s="71" t="s">
        <v>1953</v>
      </c>
      <c r="H58" s="71" t="s">
        <v>192</v>
      </c>
      <c r="S58" s="11"/>
      <c r="T58" s="11"/>
      <c r="U58" s="11"/>
      <c r="V58" s="11"/>
      <c r="W58" s="11"/>
    </row>
    <row r="59" spans="2:23" ht="30" customHeight="1">
      <c r="B59" s="70">
        <v>48</v>
      </c>
      <c r="C59" s="71" t="s">
        <v>338</v>
      </c>
      <c r="D59" s="71" t="s">
        <v>2114</v>
      </c>
      <c r="E59" s="140" t="s">
        <v>24</v>
      </c>
      <c r="F59" s="71" t="s">
        <v>57</v>
      </c>
      <c r="G59" s="71" t="s">
        <v>1958</v>
      </c>
      <c r="H59" s="71" t="s">
        <v>62</v>
      </c>
      <c r="S59" s="11"/>
      <c r="T59" s="11"/>
      <c r="U59" s="11"/>
      <c r="V59" s="11"/>
      <c r="W59" s="11"/>
    </row>
    <row r="60" spans="2:23" ht="30" customHeight="1">
      <c r="B60" s="70">
        <v>49</v>
      </c>
      <c r="C60" s="71" t="s">
        <v>339</v>
      </c>
      <c r="D60" s="71" t="s">
        <v>2115</v>
      </c>
      <c r="E60" s="140" t="s">
        <v>24</v>
      </c>
      <c r="F60" s="71" t="s">
        <v>57</v>
      </c>
      <c r="G60" s="71" t="s">
        <v>1958</v>
      </c>
      <c r="H60" s="71" t="s">
        <v>62</v>
      </c>
      <c r="S60" s="11"/>
      <c r="T60" s="11"/>
      <c r="U60" s="11"/>
      <c r="V60" s="11"/>
      <c r="W60" s="11"/>
    </row>
    <row r="61" spans="2:23" ht="30" customHeight="1">
      <c r="B61" s="70">
        <v>50</v>
      </c>
      <c r="C61" s="71" t="s">
        <v>340</v>
      </c>
      <c r="D61" s="71" t="s">
        <v>2116</v>
      </c>
      <c r="E61" s="140" t="s">
        <v>24</v>
      </c>
      <c r="F61" s="71" t="s">
        <v>57</v>
      </c>
      <c r="G61" s="71" t="s">
        <v>1958</v>
      </c>
      <c r="H61" s="71" t="s">
        <v>62</v>
      </c>
      <c r="S61" s="11"/>
      <c r="T61" s="11"/>
      <c r="U61" s="11"/>
      <c r="V61" s="11"/>
      <c r="W61" s="11"/>
    </row>
    <row r="62" spans="2:23" ht="30" customHeight="1">
      <c r="B62" s="70">
        <v>51</v>
      </c>
      <c r="C62" s="71" t="s">
        <v>341</v>
      </c>
      <c r="D62" s="71" t="s">
        <v>2117</v>
      </c>
      <c r="E62" s="140" t="s">
        <v>24</v>
      </c>
      <c r="F62" s="71" t="s">
        <v>57</v>
      </c>
      <c r="G62" s="71" t="s">
        <v>1958</v>
      </c>
      <c r="H62" s="71" t="s">
        <v>62</v>
      </c>
      <c r="S62" s="11"/>
      <c r="T62" s="11"/>
      <c r="U62" s="11"/>
      <c r="V62" s="11"/>
      <c r="W62" s="11"/>
    </row>
    <row r="63" spans="2:23" ht="30" customHeight="1">
      <c r="B63" s="70">
        <v>52</v>
      </c>
      <c r="C63" s="71" t="s">
        <v>342</v>
      </c>
      <c r="D63" s="71" t="s">
        <v>2118</v>
      </c>
      <c r="E63" s="140" t="s">
        <v>24</v>
      </c>
      <c r="F63" s="71" t="s">
        <v>57</v>
      </c>
      <c r="G63" s="71" t="s">
        <v>1958</v>
      </c>
      <c r="H63" s="71" t="s">
        <v>62</v>
      </c>
      <c r="S63" s="11"/>
      <c r="T63" s="11"/>
      <c r="U63" s="11"/>
      <c r="V63" s="11"/>
      <c r="W63" s="11"/>
    </row>
    <row r="64" spans="2:23" ht="30" customHeight="1">
      <c r="B64" s="70">
        <v>53</v>
      </c>
      <c r="C64" s="71" t="s">
        <v>343</v>
      </c>
      <c r="D64" s="71" t="s">
        <v>2119</v>
      </c>
      <c r="E64" s="140" t="s">
        <v>24</v>
      </c>
      <c r="F64" s="71" t="s">
        <v>57</v>
      </c>
      <c r="G64" s="71" t="s">
        <v>1958</v>
      </c>
      <c r="H64" s="71" t="s">
        <v>62</v>
      </c>
      <c r="S64" s="11"/>
      <c r="T64" s="11"/>
      <c r="U64" s="11"/>
      <c r="V64" s="11"/>
      <c r="W64" s="11"/>
    </row>
    <row r="65" spans="2:23" ht="30" customHeight="1">
      <c r="B65" s="70">
        <v>54</v>
      </c>
      <c r="C65" s="71" t="s">
        <v>344</v>
      </c>
      <c r="D65" s="71" t="s">
        <v>345</v>
      </c>
      <c r="E65" s="140" t="s">
        <v>24</v>
      </c>
      <c r="F65" s="71" t="s">
        <v>57</v>
      </c>
      <c r="G65" s="71" t="s">
        <v>1958</v>
      </c>
      <c r="H65" s="71" t="s">
        <v>62</v>
      </c>
      <c r="S65" s="11"/>
      <c r="T65" s="11"/>
      <c r="U65" s="11"/>
      <c r="V65" s="11"/>
      <c r="W65" s="11"/>
    </row>
    <row r="66" spans="2:23" ht="30" customHeight="1">
      <c r="B66" s="70">
        <v>55</v>
      </c>
      <c r="C66" s="71" t="s">
        <v>346</v>
      </c>
      <c r="D66" s="71" t="s">
        <v>2120</v>
      </c>
      <c r="E66" s="140" t="s">
        <v>24</v>
      </c>
      <c r="F66" s="71" t="s">
        <v>20</v>
      </c>
      <c r="G66" s="71" t="s">
        <v>1959</v>
      </c>
      <c r="H66" s="71" t="s">
        <v>40</v>
      </c>
      <c r="S66" s="11"/>
      <c r="T66" s="11"/>
      <c r="U66" s="11"/>
      <c r="V66" s="11"/>
      <c r="W66" s="11"/>
    </row>
    <row r="67" spans="2:23" ht="30" customHeight="1">
      <c r="B67" s="70">
        <v>56</v>
      </c>
      <c r="C67" s="71" t="s">
        <v>347</v>
      </c>
      <c r="D67" s="71" t="s">
        <v>2121</v>
      </c>
      <c r="E67" s="140" t="s">
        <v>24</v>
      </c>
      <c r="F67" s="71" t="s">
        <v>20</v>
      </c>
      <c r="G67" s="71" t="s">
        <v>1959</v>
      </c>
      <c r="H67" s="71" t="s">
        <v>40</v>
      </c>
      <c r="S67" s="11"/>
      <c r="T67" s="11"/>
      <c r="U67" s="11"/>
      <c r="V67" s="11"/>
      <c r="W67" s="11"/>
    </row>
    <row r="68" spans="2:23" ht="30" customHeight="1">
      <c r="B68" s="70">
        <v>57</v>
      </c>
      <c r="C68" s="71" t="s">
        <v>348</v>
      </c>
      <c r="D68" s="71" t="s">
        <v>2122</v>
      </c>
      <c r="E68" s="140" t="s">
        <v>24</v>
      </c>
      <c r="F68" s="71" t="s">
        <v>20</v>
      </c>
      <c r="G68" s="71" t="s">
        <v>1959</v>
      </c>
      <c r="H68" s="71" t="s">
        <v>40</v>
      </c>
      <c r="S68" s="11"/>
      <c r="T68" s="11"/>
      <c r="U68" s="11"/>
      <c r="V68" s="11"/>
      <c r="W68" s="11"/>
    </row>
    <row r="69" spans="2:23" ht="30" customHeight="1">
      <c r="B69" s="70">
        <v>58</v>
      </c>
      <c r="C69" s="71" t="s">
        <v>349</v>
      </c>
      <c r="D69" s="71" t="s">
        <v>2122</v>
      </c>
      <c r="E69" s="140" t="s">
        <v>24</v>
      </c>
      <c r="F69" s="71" t="s">
        <v>20</v>
      </c>
      <c r="G69" s="71" t="s">
        <v>1959</v>
      </c>
      <c r="H69" s="71" t="s">
        <v>40</v>
      </c>
      <c r="S69" s="11"/>
      <c r="T69" s="11"/>
      <c r="U69" s="11"/>
      <c r="V69" s="11"/>
      <c r="W69" s="11"/>
    </row>
    <row r="70" spans="2:23" ht="30" customHeight="1">
      <c r="B70" s="70">
        <v>59</v>
      </c>
      <c r="C70" s="71" t="s">
        <v>350</v>
      </c>
      <c r="D70" s="71" t="s">
        <v>351</v>
      </c>
      <c r="E70" s="140" t="s">
        <v>24</v>
      </c>
      <c r="F70" s="71" t="s">
        <v>20</v>
      </c>
      <c r="G70" s="71" t="s">
        <v>54</v>
      </c>
      <c r="H70" s="71" t="s">
        <v>53</v>
      </c>
      <c r="S70" s="11"/>
      <c r="T70" s="11"/>
      <c r="U70" s="11"/>
      <c r="V70" s="11"/>
      <c r="W70" s="11"/>
    </row>
    <row r="71" spans="2:23" ht="30" customHeight="1">
      <c r="B71" s="70">
        <v>60</v>
      </c>
      <c r="C71" s="71" t="s">
        <v>352</v>
      </c>
      <c r="D71" s="71" t="s">
        <v>2123</v>
      </c>
      <c r="E71" s="140" t="s">
        <v>24</v>
      </c>
      <c r="F71" s="71" t="s">
        <v>20</v>
      </c>
      <c r="G71" s="71" t="s">
        <v>1959</v>
      </c>
      <c r="H71" s="71" t="s">
        <v>40</v>
      </c>
      <c r="S71" s="11"/>
      <c r="T71" s="11"/>
      <c r="U71" s="11"/>
      <c r="V71" s="11"/>
      <c r="W71" s="11"/>
    </row>
    <row r="72" spans="2:23" ht="30" customHeight="1">
      <c r="B72" s="70">
        <v>61</v>
      </c>
      <c r="C72" s="71" t="s">
        <v>353</v>
      </c>
      <c r="D72" s="71" t="s">
        <v>2124</v>
      </c>
      <c r="E72" s="140" t="s">
        <v>24</v>
      </c>
      <c r="F72" s="71" t="s">
        <v>20</v>
      </c>
      <c r="G72" s="71" t="s">
        <v>1959</v>
      </c>
      <c r="H72" s="71" t="s">
        <v>40</v>
      </c>
      <c r="S72" s="11"/>
      <c r="T72" s="11"/>
      <c r="U72" s="11"/>
      <c r="V72" s="11"/>
      <c r="W72" s="11"/>
    </row>
    <row r="73" spans="2:23" ht="30" customHeight="1">
      <c r="B73" s="70">
        <v>62</v>
      </c>
      <c r="C73" s="71" t="s">
        <v>354</v>
      </c>
      <c r="D73" s="71" t="s">
        <v>355</v>
      </c>
      <c r="E73" s="140" t="s">
        <v>24</v>
      </c>
      <c r="F73" s="71" t="s">
        <v>20</v>
      </c>
      <c r="G73" s="71" t="s">
        <v>1960</v>
      </c>
      <c r="H73" s="71" t="s">
        <v>51</v>
      </c>
      <c r="S73" s="11"/>
      <c r="T73" s="11"/>
      <c r="U73" s="11"/>
      <c r="V73" s="11"/>
      <c r="W73" s="11"/>
    </row>
    <row r="74" spans="2:23" ht="30" customHeight="1">
      <c r="B74" s="70">
        <v>63</v>
      </c>
      <c r="C74" s="71" t="s">
        <v>356</v>
      </c>
      <c r="D74" s="71" t="s">
        <v>2125</v>
      </c>
      <c r="E74" s="140" t="s">
        <v>24</v>
      </c>
      <c r="F74" s="71" t="s">
        <v>20</v>
      </c>
      <c r="G74" s="145" t="s">
        <v>2126</v>
      </c>
      <c r="H74" s="145" t="s">
        <v>1961</v>
      </c>
      <c r="S74" s="11"/>
      <c r="T74" s="11"/>
      <c r="U74" s="11"/>
      <c r="V74" s="11"/>
      <c r="W74" s="11"/>
    </row>
    <row r="75" spans="2:23" ht="30" customHeight="1">
      <c r="B75" s="70">
        <v>64</v>
      </c>
      <c r="C75" s="71" t="s">
        <v>357</v>
      </c>
      <c r="D75" s="71" t="s">
        <v>358</v>
      </c>
      <c r="E75" s="140" t="s">
        <v>24</v>
      </c>
      <c r="F75" s="71" t="s">
        <v>20</v>
      </c>
      <c r="G75" s="145" t="s">
        <v>2126</v>
      </c>
      <c r="H75" s="145" t="s">
        <v>1961</v>
      </c>
      <c r="S75" s="11"/>
      <c r="T75" s="11"/>
      <c r="U75" s="11"/>
      <c r="V75" s="11"/>
      <c r="W75" s="11"/>
    </row>
    <row r="76" spans="2:23" ht="30" customHeight="1">
      <c r="B76" s="70">
        <v>65</v>
      </c>
      <c r="C76" s="71" t="s">
        <v>359</v>
      </c>
      <c r="D76" s="71" t="s">
        <v>360</v>
      </c>
      <c r="E76" s="140" t="s">
        <v>24</v>
      </c>
      <c r="F76" s="71" t="s">
        <v>20</v>
      </c>
      <c r="G76" s="71" t="s">
        <v>1960</v>
      </c>
      <c r="H76" s="71" t="s">
        <v>41</v>
      </c>
      <c r="S76" s="11"/>
      <c r="T76" s="11"/>
      <c r="U76" s="11"/>
      <c r="V76" s="11"/>
      <c r="W76" s="11"/>
    </row>
    <row r="77" spans="2:23" ht="30" customHeight="1">
      <c r="B77" s="70">
        <v>66</v>
      </c>
      <c r="C77" s="71" t="s">
        <v>361</v>
      </c>
      <c r="D77" s="71" t="s">
        <v>362</v>
      </c>
      <c r="E77" s="140" t="s">
        <v>24</v>
      </c>
      <c r="F77" s="71" t="s">
        <v>20</v>
      </c>
      <c r="G77" s="71" t="s">
        <v>1960</v>
      </c>
      <c r="H77" s="71" t="s">
        <v>41</v>
      </c>
      <c r="S77" s="11"/>
      <c r="T77" s="11"/>
      <c r="U77" s="11"/>
      <c r="V77" s="11"/>
      <c r="W77" s="11"/>
    </row>
    <row r="78" spans="2:23" ht="30" customHeight="1">
      <c r="B78" s="70">
        <v>67</v>
      </c>
      <c r="C78" s="71" t="s">
        <v>363</v>
      </c>
      <c r="D78" s="71" t="s">
        <v>2127</v>
      </c>
      <c r="E78" s="140" t="s">
        <v>24</v>
      </c>
      <c r="F78" s="71" t="s">
        <v>20</v>
      </c>
      <c r="G78" s="71" t="s">
        <v>1960</v>
      </c>
      <c r="H78" s="71" t="s">
        <v>41</v>
      </c>
      <c r="S78" s="11"/>
      <c r="T78" s="11"/>
      <c r="U78" s="11"/>
      <c r="V78" s="11"/>
      <c r="W78" s="11"/>
    </row>
    <row r="79" spans="2:23" ht="30" customHeight="1">
      <c r="B79" s="70">
        <v>68</v>
      </c>
      <c r="C79" s="71" t="s">
        <v>364</v>
      </c>
      <c r="D79" s="71" t="s">
        <v>2128</v>
      </c>
      <c r="E79" s="140" t="s">
        <v>24</v>
      </c>
      <c r="F79" s="71" t="s">
        <v>20</v>
      </c>
      <c r="G79" s="71" t="s">
        <v>1960</v>
      </c>
      <c r="H79" s="71" t="s">
        <v>41</v>
      </c>
      <c r="S79" s="11"/>
      <c r="T79" s="11"/>
      <c r="U79" s="11"/>
      <c r="V79" s="11"/>
      <c r="W79" s="11"/>
    </row>
    <row r="80" spans="2:23" ht="30" customHeight="1">
      <c r="B80" s="70">
        <v>69</v>
      </c>
      <c r="C80" s="71" t="s">
        <v>365</v>
      </c>
      <c r="D80" s="71" t="s">
        <v>366</v>
      </c>
      <c r="E80" s="140" t="s">
        <v>24</v>
      </c>
      <c r="F80" s="71" t="s">
        <v>20</v>
      </c>
      <c r="G80" s="71" t="s">
        <v>1962</v>
      </c>
      <c r="H80" s="71" t="s">
        <v>43</v>
      </c>
      <c r="S80" s="11"/>
      <c r="T80" s="11"/>
      <c r="U80" s="11"/>
      <c r="V80" s="11"/>
      <c r="W80" s="11"/>
    </row>
    <row r="81" spans="2:23" ht="30" customHeight="1">
      <c r="B81" s="70">
        <v>70</v>
      </c>
      <c r="C81" s="71" t="s">
        <v>367</v>
      </c>
      <c r="D81" s="71" t="s">
        <v>368</v>
      </c>
      <c r="E81" s="140" t="s">
        <v>24</v>
      </c>
      <c r="F81" s="71" t="s">
        <v>20</v>
      </c>
      <c r="G81" s="71" t="s">
        <v>1962</v>
      </c>
      <c r="H81" s="71" t="s">
        <v>43</v>
      </c>
      <c r="S81" s="11"/>
      <c r="T81" s="11"/>
      <c r="U81" s="11"/>
      <c r="V81" s="11"/>
      <c r="W81" s="11"/>
    </row>
    <row r="82" spans="2:23" ht="30" customHeight="1">
      <c r="B82" s="70">
        <v>71</v>
      </c>
      <c r="C82" s="71" t="s">
        <v>369</v>
      </c>
      <c r="D82" s="71" t="s">
        <v>2127</v>
      </c>
      <c r="E82" s="140" t="s">
        <v>24</v>
      </c>
      <c r="F82" s="71" t="s">
        <v>20</v>
      </c>
      <c r="G82" s="71" t="s">
        <v>1962</v>
      </c>
      <c r="H82" s="71" t="s">
        <v>43</v>
      </c>
      <c r="S82" s="11"/>
      <c r="T82" s="11"/>
      <c r="U82" s="11"/>
      <c r="V82" s="11"/>
      <c r="W82" s="11"/>
    </row>
    <row r="83" spans="2:23" ht="30" customHeight="1">
      <c r="B83" s="70">
        <v>72</v>
      </c>
      <c r="C83" s="71" t="s">
        <v>370</v>
      </c>
      <c r="D83" s="71" t="s">
        <v>2128</v>
      </c>
      <c r="E83" s="140" t="s">
        <v>24</v>
      </c>
      <c r="F83" s="71" t="s">
        <v>20</v>
      </c>
      <c r="G83" s="71" t="s">
        <v>1962</v>
      </c>
      <c r="H83" s="71" t="s">
        <v>43</v>
      </c>
      <c r="S83" s="11"/>
      <c r="T83" s="11"/>
      <c r="U83" s="11"/>
      <c r="V83" s="11"/>
      <c r="W83" s="11"/>
    </row>
    <row r="84" spans="2:23" ht="30" customHeight="1">
      <c r="B84" s="70">
        <v>73</v>
      </c>
      <c r="C84" s="71" t="s">
        <v>371</v>
      </c>
      <c r="D84" s="71" t="s">
        <v>372</v>
      </c>
      <c r="E84" s="140" t="s">
        <v>24</v>
      </c>
      <c r="F84" s="71" t="s">
        <v>20</v>
      </c>
      <c r="G84" s="71" t="s">
        <v>1963</v>
      </c>
      <c r="H84" s="71" t="s">
        <v>45</v>
      </c>
      <c r="S84" s="11"/>
      <c r="T84" s="11"/>
      <c r="U84" s="11"/>
      <c r="V84" s="11"/>
      <c r="W84" s="11"/>
    </row>
    <row r="85" spans="2:23" ht="30" customHeight="1">
      <c r="B85" s="70">
        <v>74</v>
      </c>
      <c r="C85" s="71" t="s">
        <v>373</v>
      </c>
      <c r="D85" s="71" t="s">
        <v>374</v>
      </c>
      <c r="E85" s="140" t="s">
        <v>24</v>
      </c>
      <c r="F85" s="71" t="s">
        <v>20</v>
      </c>
      <c r="G85" s="71" t="s">
        <v>1963</v>
      </c>
      <c r="H85" s="71" t="s">
        <v>45</v>
      </c>
      <c r="S85" s="11"/>
      <c r="T85" s="11"/>
      <c r="U85" s="11"/>
      <c r="V85" s="11"/>
      <c r="W85" s="11"/>
    </row>
    <row r="86" spans="2:23" ht="30" customHeight="1">
      <c r="B86" s="70">
        <v>75</v>
      </c>
      <c r="C86" s="71" t="s">
        <v>375</v>
      </c>
      <c r="D86" s="71" t="s">
        <v>2127</v>
      </c>
      <c r="E86" s="140" t="s">
        <v>24</v>
      </c>
      <c r="F86" s="71" t="s">
        <v>20</v>
      </c>
      <c r="G86" s="71" t="s">
        <v>1963</v>
      </c>
      <c r="H86" s="71" t="s">
        <v>45</v>
      </c>
      <c r="S86" s="11"/>
      <c r="T86" s="11"/>
      <c r="U86" s="11"/>
      <c r="V86" s="11"/>
      <c r="W86" s="11"/>
    </row>
    <row r="87" spans="2:23" ht="30" customHeight="1">
      <c r="B87" s="70">
        <v>76</v>
      </c>
      <c r="C87" s="71" t="s">
        <v>376</v>
      </c>
      <c r="D87" s="71" t="s">
        <v>2128</v>
      </c>
      <c r="E87" s="140" t="s">
        <v>24</v>
      </c>
      <c r="F87" s="71" t="s">
        <v>20</v>
      </c>
      <c r="G87" s="71" t="s">
        <v>1963</v>
      </c>
      <c r="H87" s="71" t="s">
        <v>45</v>
      </c>
      <c r="S87" s="11"/>
      <c r="T87" s="11"/>
      <c r="U87" s="11"/>
      <c r="V87" s="11"/>
      <c r="W87" s="11"/>
    </row>
    <row r="88" spans="2:23" ht="30" customHeight="1">
      <c r="B88" s="70">
        <v>77</v>
      </c>
      <c r="C88" s="71" t="s">
        <v>377</v>
      </c>
      <c r="D88" s="71" t="s">
        <v>378</v>
      </c>
      <c r="E88" s="140" t="s">
        <v>24</v>
      </c>
      <c r="F88" s="71" t="s">
        <v>20</v>
      </c>
      <c r="G88" s="71" t="s">
        <v>1964</v>
      </c>
      <c r="H88" s="71" t="s">
        <v>47</v>
      </c>
      <c r="S88" s="11"/>
      <c r="T88" s="11"/>
      <c r="U88" s="11"/>
      <c r="V88" s="11"/>
      <c r="W88" s="11"/>
    </row>
    <row r="89" spans="2:23" ht="30" customHeight="1">
      <c r="B89" s="70">
        <v>78</v>
      </c>
      <c r="C89" s="71" t="s">
        <v>379</v>
      </c>
      <c r="D89" s="71" t="s">
        <v>380</v>
      </c>
      <c r="E89" s="140" t="s">
        <v>24</v>
      </c>
      <c r="F89" s="71" t="s">
        <v>20</v>
      </c>
      <c r="G89" s="71" t="s">
        <v>1964</v>
      </c>
      <c r="H89" s="71" t="s">
        <v>47</v>
      </c>
      <c r="S89" s="11"/>
      <c r="T89" s="11"/>
      <c r="U89" s="11"/>
      <c r="V89" s="11"/>
      <c r="W89" s="11"/>
    </row>
    <row r="90" spans="2:23" ht="30" customHeight="1">
      <c r="B90" s="70">
        <v>79</v>
      </c>
      <c r="C90" s="71" t="s">
        <v>381</v>
      </c>
      <c r="D90" s="71" t="s">
        <v>2127</v>
      </c>
      <c r="E90" s="140" t="s">
        <v>24</v>
      </c>
      <c r="F90" s="71" t="s">
        <v>20</v>
      </c>
      <c r="G90" s="71" t="s">
        <v>1964</v>
      </c>
      <c r="H90" s="71" t="s">
        <v>47</v>
      </c>
      <c r="S90" s="11"/>
      <c r="T90" s="11"/>
      <c r="U90" s="11"/>
      <c r="V90" s="11"/>
      <c r="W90" s="11"/>
    </row>
    <row r="91" spans="2:23" ht="30" customHeight="1">
      <c r="B91" s="70">
        <v>80</v>
      </c>
      <c r="C91" s="71" t="s">
        <v>382</v>
      </c>
      <c r="D91" s="71" t="s">
        <v>2128</v>
      </c>
      <c r="E91" s="140" t="s">
        <v>24</v>
      </c>
      <c r="F91" s="71" t="s">
        <v>20</v>
      </c>
      <c r="G91" s="71" t="s">
        <v>1964</v>
      </c>
      <c r="H91" s="71" t="s">
        <v>47</v>
      </c>
      <c r="S91" s="11"/>
      <c r="T91" s="11"/>
      <c r="U91" s="11"/>
      <c r="V91" s="11"/>
      <c r="W91" s="11"/>
    </row>
    <row r="92" spans="2:23" ht="30" customHeight="1">
      <c r="B92" s="70">
        <v>81</v>
      </c>
      <c r="C92" s="71" t="s">
        <v>383</v>
      </c>
      <c r="D92" s="71" t="s">
        <v>384</v>
      </c>
      <c r="E92" s="140" t="s">
        <v>24</v>
      </c>
      <c r="F92" s="71" t="s">
        <v>20</v>
      </c>
      <c r="G92" s="71" t="s">
        <v>1965</v>
      </c>
      <c r="H92" s="71" t="s">
        <v>49</v>
      </c>
      <c r="S92" s="11"/>
      <c r="T92" s="11"/>
      <c r="U92" s="11"/>
      <c r="V92" s="11"/>
      <c r="W92" s="11"/>
    </row>
    <row r="93" spans="2:23" ht="30" customHeight="1">
      <c r="B93" s="70">
        <v>82</v>
      </c>
      <c r="C93" s="71" t="s">
        <v>385</v>
      </c>
      <c r="D93" s="71" t="s">
        <v>386</v>
      </c>
      <c r="E93" s="140" t="s">
        <v>24</v>
      </c>
      <c r="F93" s="71" t="s">
        <v>20</v>
      </c>
      <c r="G93" s="71" t="s">
        <v>1965</v>
      </c>
      <c r="H93" s="71" t="s">
        <v>49</v>
      </c>
      <c r="S93" s="11"/>
      <c r="T93" s="11"/>
      <c r="U93" s="11"/>
      <c r="V93" s="11"/>
      <c r="W93" s="11"/>
    </row>
    <row r="94" spans="2:23" ht="30" customHeight="1">
      <c r="B94" s="70">
        <v>83</v>
      </c>
      <c r="C94" s="71" t="s">
        <v>387</v>
      </c>
      <c r="D94" s="71" t="s">
        <v>2127</v>
      </c>
      <c r="E94" s="140" t="s">
        <v>24</v>
      </c>
      <c r="F94" s="71" t="s">
        <v>20</v>
      </c>
      <c r="G94" s="71" t="s">
        <v>1965</v>
      </c>
      <c r="H94" s="71" t="s">
        <v>49</v>
      </c>
      <c r="S94" s="11"/>
      <c r="T94" s="11"/>
      <c r="U94" s="11"/>
      <c r="V94" s="11"/>
      <c r="W94" s="11"/>
    </row>
    <row r="95" spans="2:23" ht="30" customHeight="1">
      <c r="B95" s="70">
        <v>84</v>
      </c>
      <c r="C95" s="71" t="s">
        <v>388</v>
      </c>
      <c r="D95" s="71" t="s">
        <v>2128</v>
      </c>
      <c r="E95" s="140" t="s">
        <v>24</v>
      </c>
      <c r="F95" s="71" t="s">
        <v>20</v>
      </c>
      <c r="G95" s="71" t="s">
        <v>1965</v>
      </c>
      <c r="H95" s="71" t="s">
        <v>49</v>
      </c>
      <c r="S95" s="11"/>
      <c r="T95" s="11"/>
      <c r="U95" s="11"/>
      <c r="V95" s="11"/>
      <c r="W95" s="11"/>
    </row>
    <row r="96" spans="2:23" ht="30" customHeight="1">
      <c r="B96" s="70">
        <v>85</v>
      </c>
      <c r="C96" s="71" t="s">
        <v>389</v>
      </c>
      <c r="D96" s="71" t="s">
        <v>390</v>
      </c>
      <c r="E96" s="140" t="s">
        <v>24</v>
      </c>
      <c r="F96" s="71" t="s">
        <v>20</v>
      </c>
      <c r="G96" s="71" t="s">
        <v>1966</v>
      </c>
      <c r="H96" s="71" t="s">
        <v>51</v>
      </c>
      <c r="S96" s="11"/>
      <c r="T96" s="11"/>
      <c r="U96" s="11"/>
      <c r="V96" s="11"/>
      <c r="W96" s="11"/>
    </row>
    <row r="97" spans="2:23" ht="30" customHeight="1">
      <c r="B97" s="70">
        <v>86</v>
      </c>
      <c r="C97" s="71" t="s">
        <v>391</v>
      </c>
      <c r="D97" s="71" t="s">
        <v>392</v>
      </c>
      <c r="E97" s="140" t="s">
        <v>24</v>
      </c>
      <c r="F97" s="71" t="s">
        <v>20</v>
      </c>
      <c r="G97" s="71" t="s">
        <v>1966</v>
      </c>
      <c r="H97" s="71" t="s">
        <v>51</v>
      </c>
      <c r="S97" s="11"/>
      <c r="T97" s="11"/>
      <c r="U97" s="11"/>
      <c r="V97" s="11"/>
      <c r="W97" s="11"/>
    </row>
    <row r="98" spans="2:23" ht="30" customHeight="1">
      <c r="B98" s="70">
        <v>87</v>
      </c>
      <c r="C98" s="71" t="s">
        <v>393</v>
      </c>
      <c r="D98" s="71" t="s">
        <v>2129</v>
      </c>
      <c r="E98" s="140" t="s">
        <v>24</v>
      </c>
      <c r="F98" s="71" t="s">
        <v>20</v>
      </c>
      <c r="G98" s="71" t="s">
        <v>1966</v>
      </c>
      <c r="H98" s="71" t="s">
        <v>51</v>
      </c>
      <c r="S98" s="11"/>
      <c r="T98" s="11"/>
      <c r="U98" s="11"/>
      <c r="V98" s="11"/>
      <c r="W98" s="11"/>
    </row>
    <row r="99" spans="2:23" ht="30" customHeight="1">
      <c r="B99" s="70">
        <v>88</v>
      </c>
      <c r="C99" s="71" t="s">
        <v>394</v>
      </c>
      <c r="D99" s="71" t="s">
        <v>2130</v>
      </c>
      <c r="E99" s="140" t="s">
        <v>24</v>
      </c>
      <c r="F99" s="71" t="s">
        <v>20</v>
      </c>
      <c r="G99" s="71" t="s">
        <v>1966</v>
      </c>
      <c r="H99" s="71" t="s">
        <v>51</v>
      </c>
      <c r="S99" s="11"/>
      <c r="T99" s="11"/>
      <c r="U99" s="11"/>
      <c r="V99" s="11"/>
      <c r="W99" s="11"/>
    </row>
    <row r="100" spans="2:23" ht="30" customHeight="1">
      <c r="B100" s="70">
        <v>89</v>
      </c>
      <c r="C100" s="71" t="s">
        <v>395</v>
      </c>
      <c r="D100" s="71" t="s">
        <v>396</v>
      </c>
      <c r="E100" s="140" t="s">
        <v>24</v>
      </c>
      <c r="F100" s="71" t="s">
        <v>20</v>
      </c>
      <c r="G100" s="71" t="s">
        <v>1959</v>
      </c>
      <c r="H100" s="71" t="s">
        <v>40</v>
      </c>
      <c r="S100" s="11"/>
      <c r="T100" s="11"/>
      <c r="U100" s="11"/>
      <c r="V100" s="11"/>
      <c r="W100" s="11"/>
    </row>
    <row r="101" spans="2:23" ht="30" customHeight="1">
      <c r="B101" s="70">
        <v>90</v>
      </c>
      <c r="C101" s="71" t="s">
        <v>397</v>
      </c>
      <c r="D101" s="71" t="s">
        <v>398</v>
      </c>
      <c r="E101" s="140" t="s">
        <v>24</v>
      </c>
      <c r="F101" s="71" t="s">
        <v>20</v>
      </c>
      <c r="G101" s="71" t="s">
        <v>1959</v>
      </c>
      <c r="H101" s="71" t="s">
        <v>40</v>
      </c>
      <c r="S101" s="11"/>
      <c r="T101" s="11"/>
      <c r="U101" s="11"/>
      <c r="V101" s="11"/>
      <c r="W101" s="11"/>
    </row>
    <row r="102" spans="2:23" ht="30" customHeight="1">
      <c r="B102" s="70">
        <v>91</v>
      </c>
      <c r="C102" s="71" t="s">
        <v>399</v>
      </c>
      <c r="D102" s="71" t="s">
        <v>400</v>
      </c>
      <c r="E102" s="140" t="s">
        <v>24</v>
      </c>
      <c r="F102" s="71" t="s">
        <v>20</v>
      </c>
      <c r="G102" s="71" t="s">
        <v>1959</v>
      </c>
      <c r="H102" s="71" t="s">
        <v>40</v>
      </c>
      <c r="S102" s="11"/>
      <c r="T102" s="11"/>
      <c r="U102" s="11"/>
      <c r="V102" s="11"/>
      <c r="W102" s="11"/>
    </row>
    <row r="103" spans="2:23" ht="30" customHeight="1">
      <c r="B103" s="70">
        <v>92</v>
      </c>
      <c r="C103" s="71" t="s">
        <v>401</v>
      </c>
      <c r="D103" s="71" t="s">
        <v>402</v>
      </c>
      <c r="E103" s="140" t="s">
        <v>24</v>
      </c>
      <c r="F103" s="71" t="s">
        <v>20</v>
      </c>
      <c r="G103" s="71" t="s">
        <v>1959</v>
      </c>
      <c r="H103" s="71" t="s">
        <v>40</v>
      </c>
      <c r="S103" s="11"/>
      <c r="T103" s="11"/>
      <c r="U103" s="11"/>
      <c r="V103" s="11"/>
      <c r="W103" s="11"/>
    </row>
    <row r="104" spans="2:23" ht="30" customHeight="1">
      <c r="B104" s="70">
        <v>93</v>
      </c>
      <c r="C104" s="71" t="s">
        <v>403</v>
      </c>
      <c r="D104" s="71" t="s">
        <v>404</v>
      </c>
      <c r="E104" s="140" t="s">
        <v>24</v>
      </c>
      <c r="F104" s="71" t="s">
        <v>20</v>
      </c>
      <c r="G104" s="71" t="s">
        <v>1959</v>
      </c>
      <c r="H104" s="71" t="s">
        <v>40</v>
      </c>
      <c r="S104" s="11"/>
      <c r="T104" s="11"/>
      <c r="U104" s="11"/>
      <c r="V104" s="11"/>
      <c r="W104" s="11"/>
    </row>
    <row r="105" spans="2:23" ht="30" customHeight="1">
      <c r="B105" s="70">
        <v>94</v>
      </c>
      <c r="C105" s="71" t="s">
        <v>405</v>
      </c>
      <c r="D105" s="71" t="s">
        <v>406</v>
      </c>
      <c r="E105" s="140" t="s">
        <v>24</v>
      </c>
      <c r="F105" s="71" t="s">
        <v>20</v>
      </c>
      <c r="G105" s="71" t="s">
        <v>1959</v>
      </c>
      <c r="H105" s="71" t="s">
        <v>40</v>
      </c>
      <c r="S105" s="11"/>
      <c r="T105" s="11"/>
      <c r="U105" s="11"/>
      <c r="V105" s="11"/>
      <c r="W105" s="11"/>
    </row>
    <row r="106" spans="2:23" ht="30" customHeight="1">
      <c r="B106" s="70">
        <v>95</v>
      </c>
      <c r="C106" s="71" t="s">
        <v>407</v>
      </c>
      <c r="D106" s="71" t="s">
        <v>408</v>
      </c>
      <c r="E106" s="140" t="s">
        <v>24</v>
      </c>
      <c r="F106" s="71" t="s">
        <v>20</v>
      </c>
      <c r="G106" s="71" t="s">
        <v>1959</v>
      </c>
      <c r="H106" s="71" t="s">
        <v>40</v>
      </c>
      <c r="S106" s="11"/>
      <c r="T106" s="11"/>
      <c r="U106" s="11"/>
      <c r="V106" s="11"/>
      <c r="W106" s="11"/>
    </row>
    <row r="107" spans="2:23" ht="30" customHeight="1">
      <c r="B107" s="70">
        <v>96</v>
      </c>
      <c r="C107" s="71" t="s">
        <v>409</v>
      </c>
      <c r="D107" s="71" t="s">
        <v>410</v>
      </c>
      <c r="E107" s="140" t="s">
        <v>24</v>
      </c>
      <c r="F107" s="71" t="s">
        <v>20</v>
      </c>
      <c r="G107" s="71" t="s">
        <v>1959</v>
      </c>
      <c r="H107" s="71" t="s">
        <v>40</v>
      </c>
      <c r="S107" s="11"/>
      <c r="T107" s="11"/>
      <c r="U107" s="11"/>
      <c r="V107" s="11"/>
      <c r="W107" s="11"/>
    </row>
    <row r="108" spans="2:23" ht="30" customHeight="1">
      <c r="B108" s="70">
        <v>97</v>
      </c>
      <c r="C108" s="71" t="s">
        <v>411</v>
      </c>
      <c r="D108" s="71" t="s">
        <v>412</v>
      </c>
      <c r="E108" s="140" t="s">
        <v>24</v>
      </c>
      <c r="F108" s="71" t="s">
        <v>20</v>
      </c>
      <c r="G108" s="71" t="s">
        <v>1959</v>
      </c>
      <c r="H108" s="71" t="s">
        <v>40</v>
      </c>
      <c r="S108" s="11"/>
      <c r="T108" s="11"/>
      <c r="U108" s="11"/>
      <c r="V108" s="11"/>
      <c r="W108" s="11"/>
    </row>
    <row r="109" spans="2:23" ht="30" customHeight="1">
      <c r="B109" s="70">
        <v>98</v>
      </c>
      <c r="C109" s="71" t="s">
        <v>413</v>
      </c>
      <c r="D109" s="71" t="s">
        <v>414</v>
      </c>
      <c r="E109" s="140" t="s">
        <v>24</v>
      </c>
      <c r="F109" s="71" t="s">
        <v>20</v>
      </c>
      <c r="G109" s="71" t="s">
        <v>1959</v>
      </c>
      <c r="H109" s="71" t="s">
        <v>40</v>
      </c>
      <c r="S109" s="11"/>
      <c r="T109" s="11"/>
      <c r="U109" s="11"/>
      <c r="V109" s="11"/>
      <c r="W109" s="11"/>
    </row>
    <row r="110" spans="2:23" ht="30" customHeight="1">
      <c r="B110" s="70">
        <v>99</v>
      </c>
      <c r="C110" s="71" t="s">
        <v>415</v>
      </c>
      <c r="D110" s="71" t="s">
        <v>416</v>
      </c>
      <c r="E110" s="140" t="s">
        <v>24</v>
      </c>
      <c r="F110" s="71" t="s">
        <v>20</v>
      </c>
      <c r="G110" s="71" t="s">
        <v>1959</v>
      </c>
      <c r="H110" s="71" t="s">
        <v>40</v>
      </c>
      <c r="S110" s="11"/>
      <c r="T110" s="11"/>
      <c r="U110" s="11"/>
      <c r="V110" s="11"/>
      <c r="W110" s="11"/>
    </row>
    <row r="111" spans="2:23" ht="30" customHeight="1">
      <c r="B111" s="70">
        <v>100</v>
      </c>
      <c r="C111" s="71" t="s">
        <v>417</v>
      </c>
      <c r="D111" s="71" t="s">
        <v>418</v>
      </c>
      <c r="E111" s="140" t="s">
        <v>24</v>
      </c>
      <c r="F111" s="71" t="s">
        <v>20</v>
      </c>
      <c r="G111" s="71" t="s">
        <v>1959</v>
      </c>
      <c r="H111" s="71" t="s">
        <v>40</v>
      </c>
      <c r="S111" s="11"/>
      <c r="T111" s="11"/>
      <c r="U111" s="11"/>
      <c r="V111" s="11"/>
      <c r="W111" s="11"/>
    </row>
    <row r="112" spans="2:23" ht="30" customHeight="1">
      <c r="B112" s="70">
        <v>101</v>
      </c>
      <c r="C112" s="71" t="s">
        <v>419</v>
      </c>
      <c r="D112" s="71" t="s">
        <v>420</v>
      </c>
      <c r="E112" s="140" t="s">
        <v>24</v>
      </c>
      <c r="F112" s="71" t="s">
        <v>20</v>
      </c>
      <c r="G112" s="71" t="s">
        <v>1959</v>
      </c>
      <c r="H112" s="71" t="s">
        <v>40</v>
      </c>
      <c r="S112" s="11"/>
      <c r="T112" s="11"/>
      <c r="U112" s="11"/>
      <c r="V112" s="11"/>
      <c r="W112" s="11"/>
    </row>
    <row r="113" spans="2:23" ht="30" customHeight="1">
      <c r="B113" s="70">
        <v>102</v>
      </c>
      <c r="C113" s="71" t="s">
        <v>421</v>
      </c>
      <c r="D113" s="71" t="s">
        <v>422</v>
      </c>
      <c r="E113" s="140" t="s">
        <v>24</v>
      </c>
      <c r="F113" s="71" t="s">
        <v>20</v>
      </c>
      <c r="G113" s="71" t="s">
        <v>1959</v>
      </c>
      <c r="H113" s="71" t="s">
        <v>40</v>
      </c>
      <c r="S113" s="11"/>
      <c r="T113" s="11"/>
      <c r="U113" s="11"/>
      <c r="V113" s="11"/>
      <c r="W113" s="11"/>
    </row>
    <row r="114" spans="2:23" ht="30" customHeight="1">
      <c r="B114" s="70">
        <v>103</v>
      </c>
      <c r="C114" s="71" t="s">
        <v>423</v>
      </c>
      <c r="D114" s="71" t="s">
        <v>424</v>
      </c>
      <c r="E114" s="140" t="s">
        <v>24</v>
      </c>
      <c r="F114" s="71" t="s">
        <v>20</v>
      </c>
      <c r="G114" s="71" t="s">
        <v>1959</v>
      </c>
      <c r="H114" s="71" t="s">
        <v>40</v>
      </c>
      <c r="S114" s="11"/>
      <c r="T114" s="11"/>
      <c r="U114" s="11"/>
      <c r="V114" s="11"/>
      <c r="W114" s="11"/>
    </row>
    <row r="115" spans="2:23" ht="30" customHeight="1">
      <c r="B115" s="70">
        <v>104</v>
      </c>
      <c r="C115" s="71" t="s">
        <v>425</v>
      </c>
      <c r="D115" s="71" t="s">
        <v>426</v>
      </c>
      <c r="E115" s="140" t="s">
        <v>24</v>
      </c>
      <c r="F115" s="71" t="s">
        <v>20</v>
      </c>
      <c r="G115" s="71" t="s">
        <v>1959</v>
      </c>
      <c r="H115" s="71" t="s">
        <v>40</v>
      </c>
      <c r="S115" s="11"/>
      <c r="T115" s="11"/>
      <c r="U115" s="11"/>
      <c r="V115" s="11"/>
      <c r="W115" s="11"/>
    </row>
    <row r="116" spans="2:23" ht="30" customHeight="1">
      <c r="B116" s="70">
        <v>105</v>
      </c>
      <c r="C116" s="71" t="s">
        <v>427</v>
      </c>
      <c r="D116" s="71" t="s">
        <v>428</v>
      </c>
      <c r="E116" s="140" t="s">
        <v>24</v>
      </c>
      <c r="F116" s="71" t="s">
        <v>20</v>
      </c>
      <c r="G116" s="71" t="s">
        <v>1959</v>
      </c>
      <c r="H116" s="71" t="s">
        <v>40</v>
      </c>
      <c r="S116" s="11"/>
      <c r="T116" s="11"/>
      <c r="U116" s="11"/>
      <c r="V116" s="11"/>
      <c r="W116" s="11"/>
    </row>
    <row r="117" spans="2:23" ht="30" customHeight="1">
      <c r="B117" s="70">
        <v>106</v>
      </c>
      <c r="C117" s="71" t="s">
        <v>429</v>
      </c>
      <c r="D117" s="71" t="s">
        <v>430</v>
      </c>
      <c r="E117" s="140" t="s">
        <v>24</v>
      </c>
      <c r="F117" s="71" t="s">
        <v>20</v>
      </c>
      <c r="G117" s="71" t="s">
        <v>1959</v>
      </c>
      <c r="H117" s="71" t="s">
        <v>40</v>
      </c>
      <c r="S117" s="11"/>
      <c r="T117" s="11"/>
      <c r="U117" s="11"/>
      <c r="V117" s="11"/>
      <c r="W117" s="11"/>
    </row>
    <row r="118" spans="2:23" ht="30" customHeight="1">
      <c r="B118" s="70">
        <v>107</v>
      </c>
      <c r="C118" s="71" t="s">
        <v>431</v>
      </c>
      <c r="D118" s="71" t="s">
        <v>432</v>
      </c>
      <c r="E118" s="140" t="s">
        <v>24</v>
      </c>
      <c r="F118" s="71" t="s">
        <v>20</v>
      </c>
      <c r="G118" s="71" t="s">
        <v>1959</v>
      </c>
      <c r="H118" s="71" t="s">
        <v>40</v>
      </c>
      <c r="S118" s="11"/>
      <c r="T118" s="11"/>
      <c r="U118" s="11"/>
      <c r="V118" s="11"/>
      <c r="W118" s="11"/>
    </row>
    <row r="119" spans="2:23" ht="30" customHeight="1">
      <c r="B119" s="70">
        <v>108</v>
      </c>
      <c r="C119" s="71" t="s">
        <v>433</v>
      </c>
      <c r="D119" s="71" t="s">
        <v>434</v>
      </c>
      <c r="E119" s="140" t="s">
        <v>24</v>
      </c>
      <c r="F119" s="71" t="s">
        <v>20</v>
      </c>
      <c r="G119" s="71" t="s">
        <v>1959</v>
      </c>
      <c r="H119" s="71" t="s">
        <v>40</v>
      </c>
      <c r="S119" s="11"/>
      <c r="T119" s="11"/>
      <c r="U119" s="11"/>
      <c r="V119" s="11"/>
      <c r="W119" s="11"/>
    </row>
    <row r="120" spans="2:23" ht="30" customHeight="1">
      <c r="B120" s="70">
        <v>109</v>
      </c>
      <c r="C120" s="71" t="s">
        <v>435</v>
      </c>
      <c r="D120" s="71" t="s">
        <v>436</v>
      </c>
      <c r="E120" s="140" t="s">
        <v>24</v>
      </c>
      <c r="F120" s="71" t="s">
        <v>20</v>
      </c>
      <c r="G120" s="71" t="s">
        <v>1959</v>
      </c>
      <c r="H120" s="71" t="s">
        <v>40</v>
      </c>
      <c r="S120" s="11"/>
      <c r="T120" s="11"/>
      <c r="U120" s="11"/>
      <c r="V120" s="11"/>
      <c r="W120" s="11"/>
    </row>
    <row r="121" spans="2:23" ht="30" customHeight="1">
      <c r="B121" s="70">
        <v>110</v>
      </c>
      <c r="C121" s="71" t="s">
        <v>437</v>
      </c>
      <c r="D121" s="71" t="s">
        <v>438</v>
      </c>
      <c r="E121" s="140" t="s">
        <v>24</v>
      </c>
      <c r="F121" s="71" t="s">
        <v>20</v>
      </c>
      <c r="G121" s="71" t="s">
        <v>1959</v>
      </c>
      <c r="H121" s="71" t="s">
        <v>40</v>
      </c>
      <c r="S121" s="11"/>
      <c r="T121" s="11"/>
      <c r="U121" s="11"/>
      <c r="V121" s="11"/>
      <c r="W121" s="11"/>
    </row>
    <row r="122" spans="2:23" ht="30" customHeight="1">
      <c r="B122" s="70">
        <v>111</v>
      </c>
      <c r="C122" s="71" t="s">
        <v>439</v>
      </c>
      <c r="D122" s="71" t="s">
        <v>440</v>
      </c>
      <c r="E122" s="140" t="s">
        <v>24</v>
      </c>
      <c r="F122" s="71" t="s">
        <v>20</v>
      </c>
      <c r="G122" s="71" t="s">
        <v>1959</v>
      </c>
      <c r="H122" s="71" t="s">
        <v>40</v>
      </c>
      <c r="S122" s="11"/>
      <c r="T122" s="11"/>
      <c r="U122" s="11"/>
      <c r="V122" s="11"/>
      <c r="W122" s="11"/>
    </row>
    <row r="123" spans="2:23" ht="30" customHeight="1">
      <c r="B123" s="70">
        <v>112</v>
      </c>
      <c r="C123" s="71" t="s">
        <v>441</v>
      </c>
      <c r="D123" s="71" t="s">
        <v>442</v>
      </c>
      <c r="E123" s="140" t="s">
        <v>24</v>
      </c>
      <c r="F123" s="71" t="s">
        <v>20</v>
      </c>
      <c r="G123" s="71" t="s">
        <v>1959</v>
      </c>
      <c r="H123" s="71" t="s">
        <v>40</v>
      </c>
      <c r="S123" s="11"/>
      <c r="T123" s="11"/>
      <c r="U123" s="11"/>
      <c r="V123" s="11"/>
      <c r="W123" s="11"/>
    </row>
    <row r="124" spans="2:23" ht="30" customHeight="1">
      <c r="B124" s="70">
        <v>113</v>
      </c>
      <c r="C124" s="71" t="s">
        <v>443</v>
      </c>
      <c r="D124" s="71" t="s">
        <v>444</v>
      </c>
      <c r="E124" s="140" t="s">
        <v>24</v>
      </c>
      <c r="F124" s="71" t="s">
        <v>20</v>
      </c>
      <c r="G124" s="71" t="s">
        <v>1959</v>
      </c>
      <c r="H124" s="71" t="s">
        <v>40</v>
      </c>
      <c r="S124" s="11"/>
      <c r="T124" s="11"/>
      <c r="U124" s="11"/>
      <c r="V124" s="11"/>
      <c r="W124" s="11"/>
    </row>
    <row r="125" spans="2:23" ht="30" customHeight="1">
      <c r="B125" s="70">
        <v>114</v>
      </c>
      <c r="C125" s="71" t="s">
        <v>445</v>
      </c>
      <c r="D125" s="71" t="s">
        <v>446</v>
      </c>
      <c r="E125" s="140" t="s">
        <v>24</v>
      </c>
      <c r="F125" s="71" t="s">
        <v>20</v>
      </c>
      <c r="G125" s="71" t="s">
        <v>1959</v>
      </c>
      <c r="H125" s="71" t="s">
        <v>40</v>
      </c>
      <c r="S125" s="11"/>
      <c r="T125" s="11"/>
      <c r="U125" s="11"/>
      <c r="V125" s="11"/>
      <c r="W125" s="11"/>
    </row>
    <row r="126" spans="2:23" ht="30" customHeight="1">
      <c r="B126" s="70">
        <v>115</v>
      </c>
      <c r="C126" s="71" t="s">
        <v>447</v>
      </c>
      <c r="D126" s="71" t="s">
        <v>448</v>
      </c>
      <c r="E126" s="140" t="s">
        <v>24</v>
      </c>
      <c r="F126" s="71" t="s">
        <v>20</v>
      </c>
      <c r="G126" s="71" t="s">
        <v>1959</v>
      </c>
      <c r="H126" s="71" t="s">
        <v>40</v>
      </c>
      <c r="S126" s="11"/>
      <c r="T126" s="11"/>
      <c r="U126" s="11"/>
      <c r="V126" s="11"/>
      <c r="W126" s="11"/>
    </row>
    <row r="127" spans="2:23" ht="30" customHeight="1">
      <c r="B127" s="70">
        <v>116</v>
      </c>
      <c r="C127" s="71" t="s">
        <v>449</v>
      </c>
      <c r="D127" s="71" t="s">
        <v>450</v>
      </c>
      <c r="E127" s="140" t="s">
        <v>24</v>
      </c>
      <c r="F127" s="71" t="s">
        <v>20</v>
      </c>
      <c r="G127" s="71" t="s">
        <v>1959</v>
      </c>
      <c r="H127" s="71" t="s">
        <v>40</v>
      </c>
      <c r="S127" s="11"/>
      <c r="T127" s="11"/>
      <c r="U127" s="11"/>
      <c r="V127" s="11"/>
      <c r="W127" s="11"/>
    </row>
    <row r="128" spans="2:23" ht="30" customHeight="1">
      <c r="B128" s="70">
        <v>117</v>
      </c>
      <c r="C128" s="71" t="s">
        <v>451</v>
      </c>
      <c r="D128" s="71" t="s">
        <v>452</v>
      </c>
      <c r="E128" s="140" t="s">
        <v>64</v>
      </c>
      <c r="F128" s="71" t="s">
        <v>65</v>
      </c>
      <c r="G128" s="71" t="s">
        <v>1967</v>
      </c>
      <c r="H128" s="71" t="s">
        <v>1968</v>
      </c>
      <c r="S128" s="11"/>
      <c r="T128" s="11"/>
      <c r="U128" s="11"/>
      <c r="V128" s="11"/>
      <c r="W128" s="11"/>
    </row>
    <row r="129" spans="2:23" ht="30" customHeight="1">
      <c r="B129" s="70">
        <v>118</v>
      </c>
      <c r="C129" s="71" t="s">
        <v>453</v>
      </c>
      <c r="D129" s="71" t="s">
        <v>454</v>
      </c>
      <c r="E129" s="140" t="s">
        <v>64</v>
      </c>
      <c r="F129" s="71" t="s">
        <v>65</v>
      </c>
      <c r="G129" s="71" t="s">
        <v>1967</v>
      </c>
      <c r="H129" s="71" t="s">
        <v>1968</v>
      </c>
      <c r="S129" s="11"/>
      <c r="T129" s="11"/>
      <c r="U129" s="11"/>
      <c r="V129" s="11"/>
      <c r="W129" s="11"/>
    </row>
    <row r="130" spans="2:23" ht="30" customHeight="1">
      <c r="B130" s="70">
        <v>119</v>
      </c>
      <c r="C130" s="71" t="s">
        <v>455</v>
      </c>
      <c r="D130" s="71" t="s">
        <v>456</v>
      </c>
      <c r="E130" s="140" t="s">
        <v>64</v>
      </c>
      <c r="F130" s="71" t="s">
        <v>65</v>
      </c>
      <c r="G130" s="71" t="s">
        <v>1967</v>
      </c>
      <c r="H130" s="71" t="s">
        <v>1968</v>
      </c>
      <c r="S130" s="11"/>
      <c r="T130" s="11"/>
      <c r="U130" s="11"/>
      <c r="V130" s="11"/>
      <c r="W130" s="11"/>
    </row>
    <row r="131" spans="2:23" ht="30" customHeight="1">
      <c r="B131" s="70">
        <v>120</v>
      </c>
      <c r="C131" s="71" t="s">
        <v>457</v>
      </c>
      <c r="D131" s="71" t="s">
        <v>458</v>
      </c>
      <c r="E131" s="140" t="s">
        <v>64</v>
      </c>
      <c r="F131" s="71" t="s">
        <v>65</v>
      </c>
      <c r="G131" s="71" t="s">
        <v>1967</v>
      </c>
      <c r="H131" s="71" t="s">
        <v>1969</v>
      </c>
      <c r="S131" s="11"/>
      <c r="T131" s="11"/>
      <c r="U131" s="11"/>
      <c r="V131" s="11"/>
      <c r="W131" s="11"/>
    </row>
    <row r="132" spans="2:23" ht="30" customHeight="1">
      <c r="B132" s="70">
        <v>121</v>
      </c>
      <c r="C132" s="71" t="s">
        <v>459</v>
      </c>
      <c r="D132" s="71" t="s">
        <v>460</v>
      </c>
      <c r="E132" s="140" t="s">
        <v>64</v>
      </c>
      <c r="F132" s="71" t="s">
        <v>65</v>
      </c>
      <c r="G132" s="71" t="s">
        <v>1967</v>
      </c>
      <c r="H132" s="71" t="s">
        <v>1969</v>
      </c>
      <c r="S132" s="11"/>
      <c r="T132" s="11"/>
      <c r="U132" s="11"/>
      <c r="V132" s="11"/>
      <c r="W132" s="11"/>
    </row>
    <row r="133" spans="2:23" ht="30" customHeight="1">
      <c r="B133" s="70">
        <v>122</v>
      </c>
      <c r="C133" s="71" t="s">
        <v>461</v>
      </c>
      <c r="D133" s="71" t="s">
        <v>462</v>
      </c>
      <c r="E133" s="140" t="s">
        <v>64</v>
      </c>
      <c r="F133" s="71" t="s">
        <v>65</v>
      </c>
      <c r="G133" s="71" t="s">
        <v>1967</v>
      </c>
      <c r="H133" s="71" t="s">
        <v>1970</v>
      </c>
      <c r="S133" s="11"/>
      <c r="T133" s="11"/>
      <c r="U133" s="11"/>
      <c r="V133" s="11"/>
      <c r="W133" s="11"/>
    </row>
    <row r="134" spans="2:23" ht="30" customHeight="1">
      <c r="B134" s="70">
        <v>123</v>
      </c>
      <c r="C134" s="71" t="s">
        <v>463</v>
      </c>
      <c r="D134" s="71" t="s">
        <v>464</v>
      </c>
      <c r="E134" s="140" t="s">
        <v>64</v>
      </c>
      <c r="F134" s="71" t="s">
        <v>65</v>
      </c>
      <c r="G134" s="71" t="s">
        <v>1967</v>
      </c>
      <c r="H134" s="71" t="s">
        <v>1970</v>
      </c>
      <c r="S134" s="11"/>
      <c r="T134" s="11"/>
      <c r="U134" s="11"/>
      <c r="V134" s="11"/>
      <c r="W134" s="11"/>
    </row>
    <row r="135" spans="2:23" ht="30" customHeight="1">
      <c r="B135" s="70">
        <v>124</v>
      </c>
      <c r="C135" s="71" t="s">
        <v>465</v>
      </c>
      <c r="D135" s="71" t="s">
        <v>466</v>
      </c>
      <c r="E135" s="140" t="s">
        <v>64</v>
      </c>
      <c r="F135" s="71" t="s">
        <v>65</v>
      </c>
      <c r="G135" s="71" t="s">
        <v>1967</v>
      </c>
      <c r="H135" s="71" t="s">
        <v>1971</v>
      </c>
      <c r="S135" s="11"/>
      <c r="T135" s="11"/>
      <c r="U135" s="11"/>
      <c r="V135" s="11"/>
      <c r="W135" s="11"/>
    </row>
    <row r="136" spans="2:23" ht="30" customHeight="1">
      <c r="B136" s="70">
        <v>125</v>
      </c>
      <c r="C136" s="71" t="s">
        <v>467</v>
      </c>
      <c r="D136" s="71" t="s">
        <v>468</v>
      </c>
      <c r="E136" s="140" t="s">
        <v>64</v>
      </c>
      <c r="F136" s="71" t="s">
        <v>65</v>
      </c>
      <c r="G136" s="71" t="s">
        <v>67</v>
      </c>
      <c r="H136" s="71" t="s">
        <v>1972</v>
      </c>
      <c r="S136" s="11"/>
      <c r="T136" s="11"/>
      <c r="U136" s="11"/>
      <c r="V136" s="11"/>
      <c r="W136" s="11"/>
    </row>
    <row r="137" spans="2:23" ht="30" customHeight="1">
      <c r="B137" s="70">
        <v>126</v>
      </c>
      <c r="C137" s="71" t="s">
        <v>469</v>
      </c>
      <c r="D137" s="71" t="s">
        <v>470</v>
      </c>
      <c r="E137" s="140" t="s">
        <v>64</v>
      </c>
      <c r="F137" s="71" t="s">
        <v>65</v>
      </c>
      <c r="G137" s="71" t="s">
        <v>67</v>
      </c>
      <c r="H137" s="71" t="s">
        <v>1972</v>
      </c>
      <c r="S137" s="11"/>
      <c r="T137" s="11"/>
      <c r="U137" s="11"/>
      <c r="V137" s="11"/>
      <c r="W137" s="11"/>
    </row>
    <row r="138" spans="2:23" ht="30" customHeight="1">
      <c r="B138" s="70">
        <v>127</v>
      </c>
      <c r="C138" s="71" t="s">
        <v>1973</v>
      </c>
      <c r="D138" s="71" t="s">
        <v>471</v>
      </c>
      <c r="E138" s="140" t="s">
        <v>64</v>
      </c>
      <c r="F138" s="71" t="s">
        <v>65</v>
      </c>
      <c r="G138" s="71" t="s">
        <v>69</v>
      </c>
      <c r="H138" s="71" t="s">
        <v>1974</v>
      </c>
      <c r="S138" s="11"/>
      <c r="T138" s="11"/>
      <c r="U138" s="11"/>
      <c r="V138" s="11"/>
      <c r="W138" s="11"/>
    </row>
    <row r="139" spans="2:23" ht="30" customHeight="1">
      <c r="B139" s="70">
        <v>128</v>
      </c>
      <c r="C139" s="71" t="s">
        <v>472</v>
      </c>
      <c r="D139" s="71" t="s">
        <v>473</v>
      </c>
      <c r="E139" s="140" t="s">
        <v>64</v>
      </c>
      <c r="F139" s="71" t="s">
        <v>85</v>
      </c>
      <c r="G139" s="71" t="s">
        <v>1975</v>
      </c>
      <c r="H139" s="71" t="s">
        <v>1976</v>
      </c>
      <c r="S139" s="11"/>
      <c r="T139" s="11"/>
      <c r="U139" s="11"/>
      <c r="V139" s="11"/>
      <c r="W139" s="11"/>
    </row>
    <row r="140" spans="2:23" ht="30" customHeight="1">
      <c r="B140" s="70">
        <v>129</v>
      </c>
      <c r="C140" s="71" t="s">
        <v>474</v>
      </c>
      <c r="D140" s="71" t="s">
        <v>475</v>
      </c>
      <c r="E140" s="140" t="s">
        <v>64</v>
      </c>
      <c r="F140" s="71" t="s">
        <v>85</v>
      </c>
      <c r="G140" s="71" t="s">
        <v>1975</v>
      </c>
      <c r="H140" s="71" t="s">
        <v>1976</v>
      </c>
      <c r="S140" s="11"/>
      <c r="T140" s="11"/>
      <c r="U140" s="11"/>
      <c r="V140" s="11"/>
      <c r="W140" s="11"/>
    </row>
    <row r="141" spans="2:23" ht="30" customHeight="1">
      <c r="B141" s="70">
        <v>130</v>
      </c>
      <c r="C141" s="71" t="s">
        <v>476</v>
      </c>
      <c r="D141" s="71" t="s">
        <v>477</v>
      </c>
      <c r="E141" s="140" t="s">
        <v>64</v>
      </c>
      <c r="F141" s="71" t="s">
        <v>85</v>
      </c>
      <c r="G141" s="71" t="s">
        <v>1975</v>
      </c>
      <c r="H141" s="71" t="s">
        <v>1976</v>
      </c>
      <c r="S141" s="11"/>
      <c r="T141" s="11"/>
      <c r="U141" s="11"/>
      <c r="V141" s="11"/>
      <c r="W141" s="11"/>
    </row>
    <row r="142" spans="2:23" ht="30" customHeight="1">
      <c r="B142" s="70">
        <v>131</v>
      </c>
      <c r="C142" s="71" t="s">
        <v>478</v>
      </c>
      <c r="D142" s="71" t="s">
        <v>479</v>
      </c>
      <c r="E142" s="140" t="s">
        <v>64</v>
      </c>
      <c r="F142" s="71" t="s">
        <v>85</v>
      </c>
      <c r="G142" s="71" t="s">
        <v>1975</v>
      </c>
      <c r="H142" s="71" t="s">
        <v>1976</v>
      </c>
      <c r="S142" s="11"/>
      <c r="T142" s="11"/>
      <c r="U142" s="11"/>
      <c r="V142" s="11"/>
      <c r="W142" s="11"/>
    </row>
    <row r="143" spans="2:23" ht="30" customHeight="1">
      <c r="B143" s="70">
        <v>132</v>
      </c>
      <c r="C143" s="71" t="s">
        <v>480</v>
      </c>
      <c r="D143" s="71" t="s">
        <v>2131</v>
      </c>
      <c r="E143" s="140" t="s">
        <v>64</v>
      </c>
      <c r="F143" s="71" t="s">
        <v>85</v>
      </c>
      <c r="G143" s="71" t="s">
        <v>1975</v>
      </c>
      <c r="H143" s="71" t="s">
        <v>1976</v>
      </c>
      <c r="S143" s="11"/>
      <c r="T143" s="11"/>
      <c r="U143" s="11"/>
      <c r="V143" s="11"/>
      <c r="W143" s="11"/>
    </row>
    <row r="144" spans="2:23" ht="30" customHeight="1">
      <c r="B144" s="70">
        <v>133</v>
      </c>
      <c r="C144" s="71" t="s">
        <v>481</v>
      </c>
      <c r="D144" s="71" t="s">
        <v>482</v>
      </c>
      <c r="E144" s="140" t="s">
        <v>64</v>
      </c>
      <c r="F144" s="71" t="s">
        <v>85</v>
      </c>
      <c r="G144" s="71" t="s">
        <v>1975</v>
      </c>
      <c r="H144" s="71" t="s">
        <v>1976</v>
      </c>
      <c r="S144" s="11"/>
      <c r="T144" s="11"/>
      <c r="U144" s="11"/>
      <c r="V144" s="11"/>
      <c r="W144" s="11"/>
    </row>
    <row r="145" spans="2:23" ht="30" customHeight="1">
      <c r="B145" s="70">
        <v>134</v>
      </c>
      <c r="C145" s="71" t="s">
        <v>483</v>
      </c>
      <c r="D145" s="71" t="s">
        <v>2132</v>
      </c>
      <c r="E145" s="140" t="s">
        <v>64</v>
      </c>
      <c r="F145" s="71" t="s">
        <v>85</v>
      </c>
      <c r="G145" s="71" t="s">
        <v>1975</v>
      </c>
      <c r="H145" s="71" t="s">
        <v>1976</v>
      </c>
      <c r="S145" s="11"/>
      <c r="T145" s="11"/>
      <c r="U145" s="11"/>
      <c r="V145" s="11"/>
      <c r="W145" s="11"/>
    </row>
    <row r="146" spans="2:23" ht="30" customHeight="1">
      <c r="B146" s="70">
        <v>135</v>
      </c>
      <c r="C146" s="71" t="s">
        <v>484</v>
      </c>
      <c r="D146" s="71" t="s">
        <v>485</v>
      </c>
      <c r="E146" s="140" t="s">
        <v>64</v>
      </c>
      <c r="F146" s="71" t="s">
        <v>85</v>
      </c>
      <c r="G146" s="71" t="s">
        <v>1977</v>
      </c>
      <c r="H146" s="71" t="s">
        <v>1978</v>
      </c>
      <c r="S146" s="11"/>
      <c r="T146" s="11"/>
      <c r="U146" s="11"/>
      <c r="V146" s="11"/>
      <c r="W146" s="11"/>
    </row>
    <row r="147" spans="2:23" ht="30" customHeight="1">
      <c r="B147" s="70">
        <v>136</v>
      </c>
      <c r="C147" s="71" t="s">
        <v>486</v>
      </c>
      <c r="D147" s="71" t="s">
        <v>475</v>
      </c>
      <c r="E147" s="140" t="s">
        <v>64</v>
      </c>
      <c r="F147" s="71" t="s">
        <v>85</v>
      </c>
      <c r="G147" s="71" t="s">
        <v>1977</v>
      </c>
      <c r="H147" s="71" t="s">
        <v>1978</v>
      </c>
      <c r="S147" s="11"/>
      <c r="T147" s="11"/>
      <c r="U147" s="11"/>
      <c r="V147" s="11"/>
      <c r="W147" s="11"/>
    </row>
    <row r="148" spans="2:23" ht="30" customHeight="1">
      <c r="B148" s="70">
        <v>137</v>
      </c>
      <c r="C148" s="71" t="s">
        <v>487</v>
      </c>
      <c r="D148" s="71" t="s">
        <v>477</v>
      </c>
      <c r="E148" s="140" t="s">
        <v>64</v>
      </c>
      <c r="F148" s="71" t="s">
        <v>85</v>
      </c>
      <c r="G148" s="71" t="s">
        <v>1977</v>
      </c>
      <c r="H148" s="71" t="s">
        <v>1978</v>
      </c>
      <c r="S148" s="11"/>
      <c r="T148" s="11"/>
      <c r="U148" s="11"/>
      <c r="V148" s="11"/>
      <c r="W148" s="11"/>
    </row>
    <row r="149" spans="2:23" ht="30" customHeight="1">
      <c r="B149" s="70">
        <v>138</v>
      </c>
      <c r="C149" s="71" t="s">
        <v>488</v>
      </c>
      <c r="D149" s="71" t="s">
        <v>2132</v>
      </c>
      <c r="E149" s="140" t="s">
        <v>64</v>
      </c>
      <c r="F149" s="71" t="s">
        <v>85</v>
      </c>
      <c r="G149" s="71" t="s">
        <v>1977</v>
      </c>
      <c r="H149" s="71" t="s">
        <v>1978</v>
      </c>
      <c r="S149" s="11"/>
      <c r="T149" s="11"/>
      <c r="U149" s="11"/>
      <c r="V149" s="11"/>
      <c r="W149" s="11"/>
    </row>
    <row r="150" spans="2:23" ht="30" customHeight="1">
      <c r="B150" s="70">
        <v>139</v>
      </c>
      <c r="C150" s="71" t="s">
        <v>489</v>
      </c>
      <c r="D150" s="71" t="s">
        <v>490</v>
      </c>
      <c r="E150" s="140" t="s">
        <v>64</v>
      </c>
      <c r="F150" s="71" t="s">
        <v>85</v>
      </c>
      <c r="G150" s="71" t="s">
        <v>1977</v>
      </c>
      <c r="H150" s="71" t="s">
        <v>1978</v>
      </c>
      <c r="S150" s="11"/>
      <c r="T150" s="11"/>
      <c r="U150" s="11"/>
      <c r="V150" s="11"/>
      <c r="W150" s="11"/>
    </row>
    <row r="151" spans="2:23" s="28" customFormat="1" ht="30" customHeight="1">
      <c r="B151" s="70">
        <v>140</v>
      </c>
      <c r="C151" s="71" t="s">
        <v>491</v>
      </c>
      <c r="D151" s="71" t="s">
        <v>2133</v>
      </c>
      <c r="E151" s="140" t="s">
        <v>64</v>
      </c>
      <c r="F151" s="71" t="s">
        <v>85</v>
      </c>
      <c r="G151" s="71" t="s">
        <v>1977</v>
      </c>
      <c r="H151" s="71" t="s">
        <v>1978</v>
      </c>
    </row>
    <row r="152" spans="2:23" ht="30" customHeight="1">
      <c r="B152" s="70">
        <v>141</v>
      </c>
      <c r="C152" s="71" t="s">
        <v>492</v>
      </c>
      <c r="D152" s="71" t="s">
        <v>493</v>
      </c>
      <c r="E152" s="140" t="s">
        <v>64</v>
      </c>
      <c r="F152" s="71" t="s">
        <v>85</v>
      </c>
      <c r="G152" s="71" t="s">
        <v>1977</v>
      </c>
      <c r="H152" s="71" t="s">
        <v>1978</v>
      </c>
      <c r="S152" s="11"/>
      <c r="T152" s="11"/>
      <c r="U152" s="11"/>
      <c r="V152" s="11"/>
      <c r="W152" s="11"/>
    </row>
    <row r="153" spans="2:23" ht="30" customHeight="1">
      <c r="B153" s="70">
        <v>142</v>
      </c>
      <c r="C153" s="71" t="s">
        <v>494</v>
      </c>
      <c r="D153" s="71" t="s">
        <v>495</v>
      </c>
      <c r="E153" s="140" t="s">
        <v>64</v>
      </c>
      <c r="F153" s="71" t="s">
        <v>85</v>
      </c>
      <c r="G153" s="71" t="s">
        <v>1979</v>
      </c>
      <c r="H153" s="71" t="s">
        <v>1980</v>
      </c>
      <c r="S153" s="11"/>
      <c r="T153" s="11"/>
      <c r="U153" s="11"/>
      <c r="V153" s="11"/>
      <c r="W153" s="11"/>
    </row>
    <row r="154" spans="2:23" ht="30" customHeight="1">
      <c r="B154" s="70">
        <v>143</v>
      </c>
      <c r="C154" s="71" t="s">
        <v>496</v>
      </c>
      <c r="D154" s="71" t="s">
        <v>497</v>
      </c>
      <c r="E154" s="140" t="s">
        <v>64</v>
      </c>
      <c r="F154" s="71" t="s">
        <v>85</v>
      </c>
      <c r="G154" s="71" t="s">
        <v>1979</v>
      </c>
      <c r="H154" s="71" t="s">
        <v>1980</v>
      </c>
      <c r="S154" s="11"/>
      <c r="T154" s="11"/>
      <c r="U154" s="11"/>
      <c r="V154" s="11"/>
      <c r="W154" s="11"/>
    </row>
    <row r="155" spans="2:23" ht="30" customHeight="1">
      <c r="B155" s="70">
        <v>144</v>
      </c>
      <c r="C155" s="71" t="s">
        <v>498</v>
      </c>
      <c r="D155" s="71" t="s">
        <v>477</v>
      </c>
      <c r="E155" s="140" t="s">
        <v>64</v>
      </c>
      <c r="F155" s="71" t="s">
        <v>85</v>
      </c>
      <c r="G155" s="71" t="s">
        <v>1979</v>
      </c>
      <c r="H155" s="71" t="s">
        <v>1980</v>
      </c>
      <c r="S155" s="11"/>
      <c r="T155" s="11"/>
      <c r="U155" s="11"/>
      <c r="V155" s="11"/>
      <c r="W155" s="11"/>
    </row>
    <row r="156" spans="2:23" ht="30" customHeight="1">
      <c r="B156" s="70">
        <v>145</v>
      </c>
      <c r="C156" s="71" t="s">
        <v>499</v>
      </c>
      <c r="D156" s="71" t="s">
        <v>2132</v>
      </c>
      <c r="E156" s="140" t="s">
        <v>64</v>
      </c>
      <c r="F156" s="71" t="s">
        <v>85</v>
      </c>
      <c r="G156" s="71" t="s">
        <v>1979</v>
      </c>
      <c r="H156" s="71" t="s">
        <v>1980</v>
      </c>
      <c r="S156" s="11"/>
      <c r="T156" s="11"/>
      <c r="U156" s="11"/>
      <c r="V156" s="11"/>
      <c r="W156" s="11"/>
    </row>
    <row r="157" spans="2:23" ht="30" customHeight="1">
      <c r="B157" s="70">
        <v>146</v>
      </c>
      <c r="C157" s="71" t="s">
        <v>500</v>
      </c>
      <c r="D157" s="71" t="s">
        <v>501</v>
      </c>
      <c r="E157" s="140" t="s">
        <v>64</v>
      </c>
      <c r="F157" s="71" t="s">
        <v>85</v>
      </c>
      <c r="G157" s="71" t="s">
        <v>1979</v>
      </c>
      <c r="H157" s="71" t="s">
        <v>1980</v>
      </c>
      <c r="S157" s="11"/>
      <c r="T157" s="11"/>
      <c r="U157" s="11"/>
      <c r="V157" s="11"/>
      <c r="W157" s="11"/>
    </row>
    <row r="158" spans="2:23" ht="30" customHeight="1">
      <c r="B158" s="70">
        <v>147</v>
      </c>
      <c r="C158" s="71" t="s">
        <v>502</v>
      </c>
      <c r="D158" s="71" t="s">
        <v>503</v>
      </c>
      <c r="E158" s="140" t="s">
        <v>64</v>
      </c>
      <c r="F158" s="71" t="s">
        <v>85</v>
      </c>
      <c r="G158" s="71" t="s">
        <v>1981</v>
      </c>
      <c r="H158" s="71" t="s">
        <v>1982</v>
      </c>
      <c r="S158" s="11"/>
      <c r="T158" s="11"/>
      <c r="U158" s="11"/>
      <c r="V158" s="11"/>
      <c r="W158" s="11"/>
    </row>
    <row r="159" spans="2:23" ht="30" customHeight="1">
      <c r="B159" s="70">
        <v>148</v>
      </c>
      <c r="C159" s="71" t="s">
        <v>504</v>
      </c>
      <c r="D159" s="71" t="s">
        <v>505</v>
      </c>
      <c r="E159" s="140" t="s">
        <v>64</v>
      </c>
      <c r="F159" s="71" t="s">
        <v>85</v>
      </c>
      <c r="G159" s="71" t="s">
        <v>1981</v>
      </c>
      <c r="H159" s="71" t="s">
        <v>1982</v>
      </c>
      <c r="S159" s="11"/>
      <c r="T159" s="11"/>
      <c r="U159" s="11"/>
      <c r="V159" s="11"/>
      <c r="W159" s="11"/>
    </row>
    <row r="160" spans="2:23" ht="30" customHeight="1">
      <c r="B160" s="70">
        <v>149</v>
      </c>
      <c r="C160" s="71" t="s">
        <v>506</v>
      </c>
      <c r="D160" s="71" t="s">
        <v>477</v>
      </c>
      <c r="E160" s="140" t="s">
        <v>64</v>
      </c>
      <c r="F160" s="71" t="s">
        <v>85</v>
      </c>
      <c r="G160" s="71" t="s">
        <v>1981</v>
      </c>
      <c r="H160" s="71" t="s">
        <v>1982</v>
      </c>
      <c r="S160" s="11"/>
      <c r="T160" s="11"/>
      <c r="U160" s="11"/>
      <c r="V160" s="11"/>
      <c r="W160" s="11"/>
    </row>
    <row r="161" spans="2:23" ht="30" customHeight="1">
      <c r="B161" s="70">
        <v>150</v>
      </c>
      <c r="C161" s="71" t="s">
        <v>507</v>
      </c>
      <c r="D161" s="71" t="s">
        <v>2132</v>
      </c>
      <c r="E161" s="140" t="s">
        <v>64</v>
      </c>
      <c r="F161" s="71" t="s">
        <v>85</v>
      </c>
      <c r="G161" s="71" t="s">
        <v>1981</v>
      </c>
      <c r="H161" s="71" t="s">
        <v>1982</v>
      </c>
      <c r="S161" s="11"/>
      <c r="T161" s="11"/>
      <c r="U161" s="11"/>
      <c r="V161" s="11"/>
      <c r="W161" s="11"/>
    </row>
    <row r="162" spans="2:23" ht="30" customHeight="1">
      <c r="B162" s="70">
        <v>151</v>
      </c>
      <c r="C162" s="71" t="s">
        <v>508</v>
      </c>
      <c r="D162" s="71" t="s">
        <v>509</v>
      </c>
      <c r="E162" s="140" t="s">
        <v>64</v>
      </c>
      <c r="F162" s="71" t="s">
        <v>85</v>
      </c>
      <c r="G162" s="71" t="s">
        <v>1981</v>
      </c>
      <c r="H162" s="71" t="s">
        <v>1982</v>
      </c>
      <c r="S162" s="11"/>
      <c r="T162" s="11"/>
      <c r="U162" s="11"/>
      <c r="V162" s="11"/>
      <c r="W162" s="11"/>
    </row>
    <row r="163" spans="2:23" ht="30" customHeight="1">
      <c r="B163" s="70">
        <v>152</v>
      </c>
      <c r="C163" s="71" t="s">
        <v>510</v>
      </c>
      <c r="D163" s="71" t="s">
        <v>511</v>
      </c>
      <c r="E163" s="140" t="s">
        <v>64</v>
      </c>
      <c r="F163" s="71" t="s">
        <v>85</v>
      </c>
      <c r="G163" s="71" t="s">
        <v>1983</v>
      </c>
      <c r="H163" s="71" t="s">
        <v>1984</v>
      </c>
      <c r="S163" s="11"/>
      <c r="T163" s="11"/>
      <c r="U163" s="11"/>
      <c r="V163" s="11"/>
      <c r="W163" s="11"/>
    </row>
    <row r="164" spans="2:23" ht="30" customHeight="1">
      <c r="B164" s="70">
        <v>153</v>
      </c>
      <c r="C164" s="71" t="s">
        <v>512</v>
      </c>
      <c r="D164" s="71" t="s">
        <v>513</v>
      </c>
      <c r="E164" s="140" t="s">
        <v>64</v>
      </c>
      <c r="F164" s="71" t="s">
        <v>85</v>
      </c>
      <c r="G164" s="71" t="s">
        <v>1983</v>
      </c>
      <c r="H164" s="71" t="s">
        <v>1984</v>
      </c>
      <c r="S164" s="11"/>
      <c r="T164" s="11"/>
      <c r="U164" s="11"/>
      <c r="V164" s="11"/>
      <c r="W164" s="11"/>
    </row>
    <row r="165" spans="2:23" ht="30" customHeight="1">
      <c r="B165" s="70">
        <v>154</v>
      </c>
      <c r="C165" s="71" t="s">
        <v>514</v>
      </c>
      <c r="D165" s="71" t="s">
        <v>477</v>
      </c>
      <c r="E165" s="140" t="s">
        <v>64</v>
      </c>
      <c r="F165" s="71" t="s">
        <v>85</v>
      </c>
      <c r="G165" s="71" t="s">
        <v>1983</v>
      </c>
      <c r="H165" s="71" t="s">
        <v>1984</v>
      </c>
      <c r="S165" s="11"/>
      <c r="T165" s="11"/>
      <c r="U165" s="11"/>
      <c r="V165" s="11"/>
      <c r="W165" s="11"/>
    </row>
    <row r="166" spans="2:23" ht="30" customHeight="1">
      <c r="B166" s="70">
        <v>155</v>
      </c>
      <c r="C166" s="71" t="s">
        <v>515</v>
      </c>
      <c r="D166" s="71" t="s">
        <v>2132</v>
      </c>
      <c r="E166" s="140" t="s">
        <v>64</v>
      </c>
      <c r="F166" s="71" t="s">
        <v>85</v>
      </c>
      <c r="G166" s="71" t="s">
        <v>1983</v>
      </c>
      <c r="H166" s="71" t="s">
        <v>1984</v>
      </c>
      <c r="S166" s="11"/>
      <c r="T166" s="11"/>
      <c r="U166" s="11"/>
      <c r="V166" s="11"/>
      <c r="W166" s="11"/>
    </row>
    <row r="167" spans="2:23" ht="30" customHeight="1">
      <c r="B167" s="70">
        <v>156</v>
      </c>
      <c r="C167" s="71" t="s">
        <v>516</v>
      </c>
      <c r="D167" s="71" t="s">
        <v>517</v>
      </c>
      <c r="E167" s="140" t="s">
        <v>64</v>
      </c>
      <c r="F167" s="71" t="s">
        <v>85</v>
      </c>
      <c r="G167" s="71" t="s">
        <v>1983</v>
      </c>
      <c r="H167" s="71" t="s">
        <v>1984</v>
      </c>
      <c r="S167" s="11"/>
      <c r="T167" s="11"/>
      <c r="U167" s="11"/>
      <c r="V167" s="11"/>
      <c r="W167" s="11"/>
    </row>
    <row r="168" spans="2:23" ht="30" customHeight="1">
      <c r="B168" s="70">
        <v>157</v>
      </c>
      <c r="C168" s="71" t="s">
        <v>518</v>
      </c>
      <c r="D168" s="71" t="s">
        <v>519</v>
      </c>
      <c r="E168" s="140" t="s">
        <v>64</v>
      </c>
      <c r="F168" s="71" t="s">
        <v>85</v>
      </c>
      <c r="G168" s="71" t="s">
        <v>1985</v>
      </c>
      <c r="H168" s="71" t="s">
        <v>1986</v>
      </c>
      <c r="S168" s="11"/>
      <c r="T168" s="11"/>
      <c r="U168" s="11"/>
      <c r="V168" s="11"/>
      <c r="W168" s="11"/>
    </row>
    <row r="169" spans="2:23" ht="30" customHeight="1">
      <c r="B169" s="70">
        <v>158</v>
      </c>
      <c r="C169" s="71" t="s">
        <v>520</v>
      </c>
      <c r="D169" s="71" t="s">
        <v>521</v>
      </c>
      <c r="E169" s="140" t="s">
        <v>64</v>
      </c>
      <c r="F169" s="71" t="s">
        <v>85</v>
      </c>
      <c r="G169" s="71" t="s">
        <v>1985</v>
      </c>
      <c r="H169" s="71" t="s">
        <v>1986</v>
      </c>
      <c r="S169" s="11"/>
      <c r="T169" s="11"/>
      <c r="U169" s="11"/>
      <c r="V169" s="11"/>
      <c r="W169" s="11"/>
    </row>
    <row r="170" spans="2:23" ht="30" customHeight="1">
      <c r="B170" s="70">
        <v>159</v>
      </c>
      <c r="C170" s="71" t="s">
        <v>522</v>
      </c>
      <c r="D170" s="71" t="s">
        <v>477</v>
      </c>
      <c r="E170" s="140" t="s">
        <v>64</v>
      </c>
      <c r="F170" s="71" t="s">
        <v>85</v>
      </c>
      <c r="G170" s="71" t="s">
        <v>1985</v>
      </c>
      <c r="H170" s="71" t="s">
        <v>1986</v>
      </c>
      <c r="S170" s="11"/>
      <c r="T170" s="11"/>
      <c r="U170" s="11"/>
      <c r="V170" s="11"/>
      <c r="W170" s="11"/>
    </row>
    <row r="171" spans="2:23" ht="30" customHeight="1">
      <c r="B171" s="70">
        <v>160</v>
      </c>
      <c r="C171" s="71" t="s">
        <v>523</v>
      </c>
      <c r="D171" s="71" t="s">
        <v>2132</v>
      </c>
      <c r="E171" s="140" t="s">
        <v>64</v>
      </c>
      <c r="F171" s="71" t="s">
        <v>85</v>
      </c>
      <c r="G171" s="71" t="s">
        <v>1985</v>
      </c>
      <c r="H171" s="71" t="s">
        <v>1986</v>
      </c>
      <c r="S171" s="11"/>
      <c r="T171" s="11"/>
      <c r="U171" s="11"/>
      <c r="V171" s="11"/>
      <c r="W171" s="11"/>
    </row>
    <row r="172" spans="2:23" ht="30" customHeight="1">
      <c r="B172" s="70">
        <v>161</v>
      </c>
      <c r="C172" s="71" t="s">
        <v>524</v>
      </c>
      <c r="D172" s="71" t="s">
        <v>525</v>
      </c>
      <c r="E172" s="140" t="s">
        <v>64</v>
      </c>
      <c r="F172" s="71" t="s">
        <v>85</v>
      </c>
      <c r="G172" s="71" t="s">
        <v>1985</v>
      </c>
      <c r="H172" s="71" t="s">
        <v>1986</v>
      </c>
      <c r="S172" s="11"/>
      <c r="T172" s="11"/>
      <c r="U172" s="11"/>
      <c r="V172" s="11"/>
      <c r="W172" s="11"/>
    </row>
    <row r="173" spans="2:23" ht="30" customHeight="1">
      <c r="B173" s="70">
        <v>162</v>
      </c>
      <c r="C173" s="71" t="s">
        <v>526</v>
      </c>
      <c r="D173" s="71" t="s">
        <v>527</v>
      </c>
      <c r="E173" s="140" t="s">
        <v>64</v>
      </c>
      <c r="F173" s="71" t="s">
        <v>85</v>
      </c>
      <c r="G173" s="71" t="s">
        <v>1987</v>
      </c>
      <c r="H173" s="71" t="s">
        <v>1988</v>
      </c>
      <c r="S173" s="11"/>
      <c r="T173" s="11"/>
      <c r="U173" s="11"/>
      <c r="V173" s="11"/>
      <c r="W173" s="11"/>
    </row>
    <row r="174" spans="2:23" ht="30" customHeight="1">
      <c r="B174" s="70">
        <v>163</v>
      </c>
      <c r="C174" s="71" t="s">
        <v>528</v>
      </c>
      <c r="D174" s="71" t="s">
        <v>529</v>
      </c>
      <c r="E174" s="140" t="s">
        <v>64</v>
      </c>
      <c r="F174" s="71" t="s">
        <v>85</v>
      </c>
      <c r="G174" s="71" t="s">
        <v>1987</v>
      </c>
      <c r="H174" s="71" t="s">
        <v>1988</v>
      </c>
      <c r="S174" s="11"/>
      <c r="T174" s="11"/>
      <c r="U174" s="11"/>
      <c r="V174" s="11"/>
      <c r="W174" s="11"/>
    </row>
    <row r="175" spans="2:23" ht="30" customHeight="1">
      <c r="B175" s="70">
        <v>164</v>
      </c>
      <c r="C175" s="71" t="s">
        <v>530</v>
      </c>
      <c r="D175" s="71" t="s">
        <v>477</v>
      </c>
      <c r="E175" s="140" t="s">
        <v>64</v>
      </c>
      <c r="F175" s="71" t="s">
        <v>85</v>
      </c>
      <c r="G175" s="71" t="s">
        <v>1987</v>
      </c>
      <c r="H175" s="71" t="s">
        <v>1988</v>
      </c>
      <c r="S175" s="11"/>
      <c r="T175" s="11"/>
      <c r="U175" s="11"/>
      <c r="V175" s="11"/>
      <c r="W175" s="11"/>
    </row>
    <row r="176" spans="2:23" ht="30" customHeight="1">
      <c r="B176" s="70">
        <v>165</v>
      </c>
      <c r="C176" s="71" t="s">
        <v>531</v>
      </c>
      <c r="D176" s="71" t="s">
        <v>2132</v>
      </c>
      <c r="E176" s="140" t="s">
        <v>64</v>
      </c>
      <c r="F176" s="71" t="s">
        <v>85</v>
      </c>
      <c r="G176" s="71" t="s">
        <v>1987</v>
      </c>
      <c r="H176" s="71" t="s">
        <v>1988</v>
      </c>
      <c r="S176" s="11"/>
      <c r="T176" s="11"/>
      <c r="U176" s="11"/>
      <c r="V176" s="11"/>
      <c r="W176" s="11"/>
    </row>
    <row r="177" spans="2:23" ht="30" customHeight="1">
      <c r="B177" s="70">
        <v>166</v>
      </c>
      <c r="C177" s="71" t="s">
        <v>532</v>
      </c>
      <c r="D177" s="71" t="s">
        <v>533</v>
      </c>
      <c r="E177" s="140" t="s">
        <v>64</v>
      </c>
      <c r="F177" s="71" t="s">
        <v>85</v>
      </c>
      <c r="G177" s="71" t="s">
        <v>1987</v>
      </c>
      <c r="H177" s="71" t="s">
        <v>1988</v>
      </c>
      <c r="S177" s="11"/>
      <c r="T177" s="11"/>
      <c r="U177" s="11"/>
      <c r="V177" s="11"/>
      <c r="W177" s="11"/>
    </row>
    <row r="178" spans="2:23" ht="30" customHeight="1">
      <c r="B178" s="70">
        <v>167</v>
      </c>
      <c r="C178" s="71" t="s">
        <v>534</v>
      </c>
      <c r="D178" s="71" t="s">
        <v>535</v>
      </c>
      <c r="E178" s="140" t="s">
        <v>64</v>
      </c>
      <c r="F178" s="71" t="s">
        <v>85</v>
      </c>
      <c r="G178" s="71" t="s">
        <v>1989</v>
      </c>
      <c r="H178" s="71" t="s">
        <v>1990</v>
      </c>
      <c r="S178" s="11"/>
      <c r="T178" s="11"/>
      <c r="U178" s="11"/>
      <c r="V178" s="11"/>
      <c r="W178" s="11"/>
    </row>
    <row r="179" spans="2:23" ht="30" customHeight="1">
      <c r="B179" s="70">
        <v>168</v>
      </c>
      <c r="C179" s="71" t="s">
        <v>536</v>
      </c>
      <c r="D179" s="71" t="s">
        <v>537</v>
      </c>
      <c r="E179" s="140" t="s">
        <v>64</v>
      </c>
      <c r="F179" s="71" t="s">
        <v>85</v>
      </c>
      <c r="G179" s="71" t="s">
        <v>1989</v>
      </c>
      <c r="H179" s="71" t="s">
        <v>1990</v>
      </c>
      <c r="S179" s="11"/>
      <c r="T179" s="11"/>
      <c r="U179" s="11"/>
      <c r="V179" s="11"/>
      <c r="W179" s="11"/>
    </row>
    <row r="180" spans="2:23" ht="30" customHeight="1">
      <c r="B180" s="70">
        <v>169</v>
      </c>
      <c r="C180" s="71" t="s">
        <v>538</v>
      </c>
      <c r="D180" s="71" t="s">
        <v>477</v>
      </c>
      <c r="E180" s="140" t="s">
        <v>64</v>
      </c>
      <c r="F180" s="71" t="s">
        <v>85</v>
      </c>
      <c r="G180" s="71" t="s">
        <v>1989</v>
      </c>
      <c r="H180" s="71" t="s">
        <v>1990</v>
      </c>
      <c r="S180" s="11"/>
      <c r="T180" s="11"/>
      <c r="U180" s="11"/>
      <c r="V180" s="11"/>
      <c r="W180" s="11"/>
    </row>
    <row r="181" spans="2:23" ht="30" customHeight="1">
      <c r="B181" s="70">
        <v>170</v>
      </c>
      <c r="C181" s="71" t="s">
        <v>539</v>
      </c>
      <c r="D181" s="71" t="s">
        <v>2132</v>
      </c>
      <c r="E181" s="140" t="s">
        <v>64</v>
      </c>
      <c r="F181" s="71" t="s">
        <v>85</v>
      </c>
      <c r="G181" s="71" t="s">
        <v>1989</v>
      </c>
      <c r="H181" s="71" t="s">
        <v>1990</v>
      </c>
      <c r="S181" s="11"/>
      <c r="T181" s="11"/>
      <c r="U181" s="11"/>
      <c r="V181" s="11"/>
      <c r="W181" s="11"/>
    </row>
    <row r="182" spans="2:23" ht="30" customHeight="1">
      <c r="B182" s="70">
        <v>171</v>
      </c>
      <c r="C182" s="71" t="s">
        <v>540</v>
      </c>
      <c r="D182" s="71" t="s">
        <v>541</v>
      </c>
      <c r="E182" s="140" t="s">
        <v>64</v>
      </c>
      <c r="F182" s="71" t="s">
        <v>85</v>
      </c>
      <c r="G182" s="71" t="s">
        <v>1989</v>
      </c>
      <c r="H182" s="71" t="s">
        <v>1990</v>
      </c>
      <c r="S182" s="11"/>
      <c r="T182" s="11"/>
      <c r="U182" s="11"/>
      <c r="V182" s="11"/>
      <c r="W182" s="11"/>
    </row>
    <row r="183" spans="2:23" ht="30" customHeight="1">
      <c r="B183" s="70">
        <v>172</v>
      </c>
      <c r="C183" s="71" t="s">
        <v>542</v>
      </c>
      <c r="D183" s="71" t="s">
        <v>543</v>
      </c>
      <c r="E183" s="140" t="s">
        <v>64</v>
      </c>
      <c r="F183" s="71" t="s">
        <v>85</v>
      </c>
      <c r="G183" s="71" t="s">
        <v>1989</v>
      </c>
      <c r="H183" s="71" t="s">
        <v>1990</v>
      </c>
      <c r="S183" s="11"/>
      <c r="T183" s="11"/>
      <c r="U183" s="11"/>
      <c r="V183" s="11"/>
      <c r="W183" s="11"/>
    </row>
    <row r="184" spans="2:23" ht="30" customHeight="1">
      <c r="B184" s="70">
        <v>173</v>
      </c>
      <c r="C184" s="71" t="s">
        <v>544</v>
      </c>
      <c r="D184" s="71" t="s">
        <v>545</v>
      </c>
      <c r="E184" s="140" t="s">
        <v>64</v>
      </c>
      <c r="F184" s="71" t="s">
        <v>2108</v>
      </c>
      <c r="G184" s="71" t="s">
        <v>105</v>
      </c>
      <c r="H184" s="71" t="s">
        <v>1991</v>
      </c>
      <c r="S184" s="11"/>
      <c r="T184" s="11"/>
      <c r="U184" s="11"/>
      <c r="V184" s="11"/>
      <c r="W184" s="11"/>
    </row>
    <row r="185" spans="2:23" ht="30" customHeight="1">
      <c r="B185" s="70">
        <v>174</v>
      </c>
      <c r="C185" s="71" t="s">
        <v>546</v>
      </c>
      <c r="D185" s="71" t="s">
        <v>547</v>
      </c>
      <c r="E185" s="140" t="s">
        <v>64</v>
      </c>
      <c r="F185" s="71" t="s">
        <v>2108</v>
      </c>
      <c r="G185" s="71" t="s">
        <v>105</v>
      </c>
      <c r="H185" s="71" t="s">
        <v>1991</v>
      </c>
      <c r="S185" s="11"/>
      <c r="T185" s="11"/>
      <c r="U185" s="11"/>
      <c r="V185" s="11"/>
      <c r="W185" s="11"/>
    </row>
    <row r="186" spans="2:23" ht="30" customHeight="1">
      <c r="B186" s="70">
        <v>175</v>
      </c>
      <c r="C186" s="71" t="s">
        <v>548</v>
      </c>
      <c r="D186" s="71" t="s">
        <v>2134</v>
      </c>
      <c r="E186" s="140" t="s">
        <v>64</v>
      </c>
      <c r="F186" s="71" t="s">
        <v>2108</v>
      </c>
      <c r="G186" s="71" t="s">
        <v>2135</v>
      </c>
      <c r="H186" s="71" t="s">
        <v>1992</v>
      </c>
      <c r="S186" s="11"/>
      <c r="T186" s="11"/>
      <c r="U186" s="11"/>
      <c r="V186" s="11"/>
      <c r="W186" s="11"/>
    </row>
    <row r="187" spans="2:23" ht="30" customHeight="1">
      <c r="B187" s="70">
        <v>176</v>
      </c>
      <c r="C187" s="71" t="s">
        <v>549</v>
      </c>
      <c r="D187" s="71" t="s">
        <v>2136</v>
      </c>
      <c r="E187" s="140" t="s">
        <v>64</v>
      </c>
      <c r="F187" s="71" t="s">
        <v>2108</v>
      </c>
      <c r="G187" s="71" t="s">
        <v>2137</v>
      </c>
      <c r="H187" s="71" t="s">
        <v>1993</v>
      </c>
      <c r="S187" s="11"/>
      <c r="T187" s="11"/>
      <c r="U187" s="11"/>
      <c r="V187" s="11"/>
      <c r="W187" s="11"/>
    </row>
    <row r="188" spans="2:23" ht="30" customHeight="1">
      <c r="B188" s="70">
        <v>177</v>
      </c>
      <c r="C188" s="71" t="s">
        <v>550</v>
      </c>
      <c r="D188" s="71" t="s">
        <v>551</v>
      </c>
      <c r="E188" s="140" t="s">
        <v>64</v>
      </c>
      <c r="F188" s="71" t="s">
        <v>2108</v>
      </c>
      <c r="G188" s="71" t="s">
        <v>1994</v>
      </c>
      <c r="H188" s="71" t="s">
        <v>1995</v>
      </c>
      <c r="S188" s="11"/>
      <c r="T188" s="11"/>
      <c r="U188" s="11"/>
      <c r="V188" s="11"/>
      <c r="W188" s="11"/>
    </row>
    <row r="189" spans="2:23" ht="30" customHeight="1">
      <c r="B189" s="70">
        <v>178</v>
      </c>
      <c r="C189" s="71" t="s">
        <v>552</v>
      </c>
      <c r="D189" s="71" t="s">
        <v>553</v>
      </c>
      <c r="E189" s="140" t="s">
        <v>64</v>
      </c>
      <c r="F189" s="71" t="s">
        <v>2108</v>
      </c>
      <c r="G189" s="71" t="s">
        <v>1996</v>
      </c>
      <c r="H189" s="71" t="s">
        <v>1997</v>
      </c>
      <c r="S189" s="11"/>
      <c r="T189" s="11"/>
      <c r="U189" s="11"/>
      <c r="V189" s="11"/>
      <c r="W189" s="11"/>
    </row>
    <row r="190" spans="2:23" ht="30" customHeight="1">
      <c r="B190" s="70">
        <v>179</v>
      </c>
      <c r="C190" s="71" t="s">
        <v>554</v>
      </c>
      <c r="D190" s="71" t="s">
        <v>555</v>
      </c>
      <c r="E190" s="140" t="s">
        <v>64</v>
      </c>
      <c r="F190" s="71" t="s">
        <v>2108</v>
      </c>
      <c r="G190" s="71" t="s">
        <v>1998</v>
      </c>
      <c r="H190" s="71" t="s">
        <v>1999</v>
      </c>
      <c r="S190" s="11"/>
      <c r="T190" s="11"/>
      <c r="U190" s="11"/>
      <c r="V190" s="11"/>
      <c r="W190" s="11"/>
    </row>
    <row r="191" spans="2:23" ht="30" customHeight="1">
      <c r="B191" s="70">
        <v>180</v>
      </c>
      <c r="C191" s="71" t="s">
        <v>556</v>
      </c>
      <c r="D191" s="71" t="s">
        <v>557</v>
      </c>
      <c r="E191" s="140" t="s">
        <v>64</v>
      </c>
      <c r="F191" s="71" t="s">
        <v>2092</v>
      </c>
      <c r="G191" s="71" t="s">
        <v>2000</v>
      </c>
      <c r="H191" s="71" t="s">
        <v>2001</v>
      </c>
      <c r="S191" s="11"/>
      <c r="T191" s="11"/>
      <c r="U191" s="11"/>
      <c r="V191" s="11"/>
      <c r="W191" s="11"/>
    </row>
    <row r="192" spans="2:23" ht="30" customHeight="1">
      <c r="B192" s="70">
        <v>181</v>
      </c>
      <c r="C192" s="71" t="s">
        <v>558</v>
      </c>
      <c r="D192" s="71" t="s">
        <v>557</v>
      </c>
      <c r="E192" s="140" t="s">
        <v>64</v>
      </c>
      <c r="F192" s="71" t="s">
        <v>2092</v>
      </c>
      <c r="G192" s="71" t="s">
        <v>2002</v>
      </c>
      <c r="H192" s="71" t="s">
        <v>2003</v>
      </c>
      <c r="S192" s="11"/>
      <c r="T192" s="11"/>
      <c r="U192" s="11"/>
      <c r="V192" s="11"/>
      <c r="W192" s="11"/>
    </row>
    <row r="193" spans="2:23" ht="30" customHeight="1">
      <c r="B193" s="70">
        <v>182</v>
      </c>
      <c r="C193" s="71" t="s">
        <v>559</v>
      </c>
      <c r="D193" s="71" t="s">
        <v>557</v>
      </c>
      <c r="E193" s="140" t="s">
        <v>64</v>
      </c>
      <c r="F193" s="71" t="s">
        <v>2092</v>
      </c>
      <c r="G193" s="71" t="s">
        <v>2004</v>
      </c>
      <c r="H193" s="71" t="s">
        <v>2005</v>
      </c>
      <c r="S193" s="11"/>
      <c r="T193" s="11"/>
      <c r="U193" s="11"/>
      <c r="V193" s="11"/>
      <c r="W193" s="11"/>
    </row>
    <row r="194" spans="2:23" ht="30" customHeight="1">
      <c r="B194" s="70">
        <v>183</v>
      </c>
      <c r="C194" s="71" t="s">
        <v>560</v>
      </c>
      <c r="D194" s="71" t="s">
        <v>557</v>
      </c>
      <c r="E194" s="140" t="s">
        <v>64</v>
      </c>
      <c r="F194" s="71" t="s">
        <v>2092</v>
      </c>
      <c r="G194" s="71" t="s">
        <v>2006</v>
      </c>
      <c r="H194" s="71" t="s">
        <v>2007</v>
      </c>
      <c r="S194" s="11"/>
      <c r="T194" s="11"/>
      <c r="U194" s="11"/>
      <c r="V194" s="11"/>
      <c r="W194" s="11"/>
    </row>
    <row r="195" spans="2:23" ht="30" customHeight="1">
      <c r="B195" s="70">
        <v>184</v>
      </c>
      <c r="C195" s="71" t="s">
        <v>561</v>
      </c>
      <c r="D195" s="71" t="s">
        <v>557</v>
      </c>
      <c r="E195" s="140" t="s">
        <v>64</v>
      </c>
      <c r="F195" s="71" t="s">
        <v>2092</v>
      </c>
      <c r="G195" s="71" t="s">
        <v>2008</v>
      </c>
      <c r="H195" s="71" t="s">
        <v>2009</v>
      </c>
      <c r="S195" s="11"/>
      <c r="T195" s="11"/>
      <c r="U195" s="11"/>
      <c r="V195" s="11"/>
      <c r="W195" s="11"/>
    </row>
    <row r="196" spans="2:23" ht="30" customHeight="1">
      <c r="B196" s="70">
        <v>185</v>
      </c>
      <c r="C196" s="71" t="s">
        <v>562</v>
      </c>
      <c r="D196" s="71" t="s">
        <v>557</v>
      </c>
      <c r="E196" s="140" t="s">
        <v>64</v>
      </c>
      <c r="F196" s="71" t="s">
        <v>2092</v>
      </c>
      <c r="G196" s="71" t="s">
        <v>2010</v>
      </c>
      <c r="H196" s="71" t="s">
        <v>2011</v>
      </c>
      <c r="S196" s="11"/>
      <c r="T196" s="11"/>
      <c r="U196" s="11"/>
      <c r="V196" s="11"/>
      <c r="W196" s="11"/>
    </row>
    <row r="197" spans="2:23" ht="30" customHeight="1">
      <c r="B197" s="70">
        <v>186</v>
      </c>
      <c r="C197" s="71" t="s">
        <v>563</v>
      </c>
      <c r="D197" s="71" t="s">
        <v>557</v>
      </c>
      <c r="E197" s="140" t="s">
        <v>64</v>
      </c>
      <c r="F197" s="71" t="s">
        <v>85</v>
      </c>
      <c r="G197" s="71" t="s">
        <v>2012</v>
      </c>
      <c r="H197" s="71" t="s">
        <v>2013</v>
      </c>
      <c r="S197" s="11"/>
      <c r="T197" s="11"/>
      <c r="U197" s="11"/>
      <c r="V197" s="11"/>
      <c r="W197" s="11"/>
    </row>
    <row r="198" spans="2:23" ht="30" customHeight="1">
      <c r="B198" s="70">
        <v>187</v>
      </c>
      <c r="C198" s="71" t="s">
        <v>564</v>
      </c>
      <c r="D198" s="71" t="s">
        <v>557</v>
      </c>
      <c r="E198" s="140" t="s">
        <v>64</v>
      </c>
      <c r="F198" s="71" t="s">
        <v>85</v>
      </c>
      <c r="G198" s="71" t="s">
        <v>2014</v>
      </c>
      <c r="H198" s="71" t="s">
        <v>2015</v>
      </c>
      <c r="S198" s="11"/>
      <c r="T198" s="11"/>
      <c r="U198" s="11"/>
      <c r="V198" s="11"/>
      <c r="W198" s="11"/>
    </row>
    <row r="199" spans="2:23" ht="30" customHeight="1">
      <c r="B199" s="70">
        <v>188</v>
      </c>
      <c r="C199" s="71" t="s">
        <v>565</v>
      </c>
      <c r="D199" s="71" t="s">
        <v>566</v>
      </c>
      <c r="E199" s="71" t="s">
        <v>35</v>
      </c>
      <c r="F199" s="71" t="s">
        <v>2138</v>
      </c>
      <c r="G199" s="71" t="s">
        <v>16</v>
      </c>
      <c r="H199" s="71" t="s">
        <v>210</v>
      </c>
      <c r="S199" s="11"/>
      <c r="T199" s="11"/>
      <c r="U199" s="11"/>
      <c r="V199" s="11"/>
      <c r="W199" s="11"/>
    </row>
    <row r="200" spans="2:23" ht="30" customHeight="1">
      <c r="B200" s="70">
        <v>189</v>
      </c>
      <c r="C200" s="71" t="s">
        <v>567</v>
      </c>
      <c r="D200" s="71" t="s">
        <v>568</v>
      </c>
      <c r="E200" s="71" t="s">
        <v>35</v>
      </c>
      <c r="F200" s="71" t="s">
        <v>2138</v>
      </c>
      <c r="G200" s="71" t="s">
        <v>16</v>
      </c>
      <c r="H200" s="71" t="s">
        <v>210</v>
      </c>
      <c r="S200" s="11"/>
      <c r="T200" s="11"/>
      <c r="U200" s="11"/>
      <c r="V200" s="11"/>
      <c r="W200" s="11"/>
    </row>
    <row r="201" spans="2:23" ht="30" customHeight="1">
      <c r="B201" s="70">
        <v>190</v>
      </c>
      <c r="C201" s="71" t="s">
        <v>569</v>
      </c>
      <c r="D201" s="71" t="s">
        <v>570</v>
      </c>
      <c r="E201" s="71" t="s">
        <v>35</v>
      </c>
      <c r="F201" s="71" t="s">
        <v>2138</v>
      </c>
      <c r="G201" s="71" t="s">
        <v>221</v>
      </c>
      <c r="H201" s="71" t="s">
        <v>220</v>
      </c>
      <c r="S201" s="11"/>
      <c r="T201" s="11"/>
      <c r="U201" s="11"/>
      <c r="V201" s="11"/>
      <c r="W201" s="11"/>
    </row>
    <row r="202" spans="2:23" ht="30" customHeight="1">
      <c r="B202" s="70">
        <v>191</v>
      </c>
      <c r="C202" s="71" t="s">
        <v>571</v>
      </c>
      <c r="D202" s="71" t="s">
        <v>572</v>
      </c>
      <c r="E202" s="71" t="s">
        <v>35</v>
      </c>
      <c r="F202" s="71" t="s">
        <v>2139</v>
      </c>
      <c r="G202" s="71" t="s">
        <v>34</v>
      </c>
      <c r="H202" s="71" t="s">
        <v>33</v>
      </c>
      <c r="S202" s="11"/>
      <c r="T202" s="11"/>
      <c r="U202" s="11"/>
      <c r="V202" s="11"/>
      <c r="W202" s="11"/>
    </row>
    <row r="203" spans="2:23" ht="30" customHeight="1">
      <c r="B203" s="70">
        <v>192</v>
      </c>
      <c r="C203" s="71" t="s">
        <v>573</v>
      </c>
      <c r="D203" s="71" t="s">
        <v>574</v>
      </c>
      <c r="E203" s="71" t="s">
        <v>35</v>
      </c>
      <c r="F203" s="71" t="s">
        <v>2138</v>
      </c>
      <c r="G203" s="71" t="s">
        <v>16</v>
      </c>
      <c r="H203" s="71" t="s">
        <v>210</v>
      </c>
      <c r="S203" s="11"/>
      <c r="T203" s="11"/>
      <c r="U203" s="11"/>
      <c r="V203" s="11"/>
      <c r="W203" s="11"/>
    </row>
    <row r="204" spans="2:23" ht="30" customHeight="1">
      <c r="B204" s="70">
        <v>193</v>
      </c>
      <c r="C204" s="71" t="s">
        <v>575</v>
      </c>
      <c r="D204" s="71" t="s">
        <v>576</v>
      </c>
      <c r="E204" s="71" t="s">
        <v>35</v>
      </c>
      <c r="F204" s="71" t="s">
        <v>2138</v>
      </c>
      <c r="G204" s="71" t="s">
        <v>223</v>
      </c>
      <c r="H204" s="71" t="s">
        <v>222</v>
      </c>
      <c r="S204" s="11"/>
      <c r="T204" s="11"/>
      <c r="U204" s="11"/>
      <c r="V204" s="11"/>
      <c r="W204" s="11"/>
    </row>
    <row r="205" spans="2:23" ht="30" customHeight="1">
      <c r="B205" s="70">
        <v>194</v>
      </c>
      <c r="C205" s="71" t="s">
        <v>577</v>
      </c>
      <c r="D205" s="71" t="s">
        <v>578</v>
      </c>
      <c r="E205" s="71" t="s">
        <v>35</v>
      </c>
      <c r="F205" s="71" t="s">
        <v>2138</v>
      </c>
      <c r="G205" s="71" t="s">
        <v>223</v>
      </c>
      <c r="H205" s="71" t="s">
        <v>222</v>
      </c>
      <c r="S205" s="11"/>
      <c r="T205" s="11"/>
      <c r="U205" s="11"/>
      <c r="V205" s="11"/>
      <c r="W205" s="11"/>
    </row>
    <row r="206" spans="2:23" ht="30" customHeight="1">
      <c r="B206" s="70">
        <v>195</v>
      </c>
      <c r="C206" s="71" t="s">
        <v>579</v>
      </c>
      <c r="D206" s="71" t="s">
        <v>580</v>
      </c>
      <c r="E206" s="71" t="s">
        <v>35</v>
      </c>
      <c r="F206" s="71" t="s">
        <v>2138</v>
      </c>
      <c r="G206" s="71" t="s">
        <v>221</v>
      </c>
      <c r="H206" s="71" t="s">
        <v>220</v>
      </c>
      <c r="S206" s="11"/>
      <c r="T206" s="11"/>
      <c r="U206" s="11"/>
      <c r="V206" s="11"/>
      <c r="W206" s="11"/>
    </row>
    <row r="207" spans="2:23" ht="30" customHeight="1">
      <c r="B207" s="70">
        <v>196</v>
      </c>
      <c r="C207" s="71" t="s">
        <v>581</v>
      </c>
      <c r="D207" s="71" t="s">
        <v>582</v>
      </c>
      <c r="E207" s="71" t="s">
        <v>35</v>
      </c>
      <c r="F207" s="71" t="s">
        <v>2138</v>
      </c>
      <c r="G207" s="71" t="s">
        <v>219</v>
      </c>
      <c r="H207" s="71" t="s">
        <v>218</v>
      </c>
      <c r="S207" s="11"/>
      <c r="T207" s="11"/>
      <c r="U207" s="11"/>
      <c r="V207" s="11"/>
      <c r="W207" s="11"/>
    </row>
    <row r="208" spans="2:23" ht="30" customHeight="1">
      <c r="B208" s="70">
        <v>197</v>
      </c>
      <c r="C208" s="71" t="s">
        <v>583</v>
      </c>
      <c r="D208" s="71" t="s">
        <v>584</v>
      </c>
      <c r="E208" s="71" t="s">
        <v>35</v>
      </c>
      <c r="F208" s="71" t="s">
        <v>2138</v>
      </c>
      <c r="G208" s="71" t="s">
        <v>212</v>
      </c>
      <c r="H208" s="71" t="s">
        <v>211</v>
      </c>
      <c r="S208" s="11"/>
      <c r="T208" s="11"/>
      <c r="U208" s="11"/>
      <c r="V208" s="11"/>
      <c r="W208" s="11"/>
    </row>
    <row r="209" spans="2:23" ht="30" customHeight="1">
      <c r="B209" s="70">
        <v>198</v>
      </c>
      <c r="C209" s="71" t="s">
        <v>585</v>
      </c>
      <c r="D209" s="71" t="s">
        <v>586</v>
      </c>
      <c r="E209" s="71" t="s">
        <v>35</v>
      </c>
      <c r="F209" s="71" t="s">
        <v>2139</v>
      </c>
      <c r="G209" s="71" t="s">
        <v>17</v>
      </c>
      <c r="H209" s="71" t="s">
        <v>189</v>
      </c>
      <c r="S209" s="11"/>
      <c r="T209" s="11"/>
      <c r="U209" s="11"/>
      <c r="V209" s="11"/>
      <c r="W209" s="11"/>
    </row>
    <row r="210" spans="2:23" ht="30" customHeight="1">
      <c r="B210" s="70">
        <v>199</v>
      </c>
      <c r="C210" s="71" t="s">
        <v>587</v>
      </c>
      <c r="D210" s="71" t="s">
        <v>588</v>
      </c>
      <c r="E210" s="71" t="s">
        <v>35</v>
      </c>
      <c r="F210" s="71" t="s">
        <v>2138</v>
      </c>
      <c r="G210" s="71" t="s">
        <v>208</v>
      </c>
      <c r="H210" s="71" t="s">
        <v>2016</v>
      </c>
      <c r="S210" s="11"/>
      <c r="T210" s="11"/>
      <c r="U210" s="11"/>
      <c r="V210" s="11"/>
      <c r="W210" s="11"/>
    </row>
    <row r="211" spans="2:23" ht="30" customHeight="1">
      <c r="B211" s="70">
        <v>200</v>
      </c>
      <c r="C211" s="71" t="s">
        <v>589</v>
      </c>
      <c r="D211" s="71" t="s">
        <v>590</v>
      </c>
      <c r="E211" s="71" t="s">
        <v>35</v>
      </c>
      <c r="F211" s="71" t="s">
        <v>2138</v>
      </c>
      <c r="G211" s="71" t="s">
        <v>208</v>
      </c>
      <c r="H211" s="71" t="s">
        <v>2016</v>
      </c>
      <c r="S211" s="11"/>
      <c r="T211" s="11"/>
      <c r="U211" s="11"/>
      <c r="V211" s="11"/>
      <c r="W211" s="11"/>
    </row>
    <row r="212" spans="2:23" ht="30" customHeight="1">
      <c r="B212" s="70">
        <v>201</v>
      </c>
      <c r="C212" s="71" t="s">
        <v>585</v>
      </c>
      <c r="D212" s="71" t="s">
        <v>591</v>
      </c>
      <c r="E212" s="71" t="s">
        <v>35</v>
      </c>
      <c r="F212" s="71" t="s">
        <v>227</v>
      </c>
      <c r="G212" s="71" t="s">
        <v>229</v>
      </c>
      <c r="H212" s="71" t="s">
        <v>2017</v>
      </c>
      <c r="S212" s="11"/>
      <c r="T212" s="11"/>
      <c r="U212" s="11"/>
      <c r="V212" s="11"/>
      <c r="W212" s="11"/>
    </row>
    <row r="213" spans="2:23" ht="30" customHeight="1">
      <c r="B213" s="70">
        <v>202</v>
      </c>
      <c r="C213" s="71" t="s">
        <v>592</v>
      </c>
      <c r="D213" s="71" t="s">
        <v>2140</v>
      </c>
      <c r="E213" s="71" t="s">
        <v>35</v>
      </c>
      <c r="F213" s="71" t="s">
        <v>2139</v>
      </c>
      <c r="G213" s="71" t="s">
        <v>17</v>
      </c>
      <c r="H213" s="71" t="s">
        <v>189</v>
      </c>
      <c r="S213" s="11"/>
      <c r="T213" s="11"/>
      <c r="U213" s="11"/>
      <c r="V213" s="11"/>
      <c r="W213" s="11"/>
    </row>
    <row r="214" spans="2:23" ht="30" customHeight="1">
      <c r="B214" s="70">
        <v>203</v>
      </c>
      <c r="C214" s="71" t="s">
        <v>593</v>
      </c>
      <c r="D214" s="71" t="s">
        <v>2141</v>
      </c>
      <c r="E214" s="71" t="s">
        <v>35</v>
      </c>
      <c r="F214" s="71" t="s">
        <v>2139</v>
      </c>
      <c r="G214" s="71" t="s">
        <v>34</v>
      </c>
      <c r="H214" s="71" t="s">
        <v>33</v>
      </c>
      <c r="S214" s="11"/>
      <c r="T214" s="11"/>
      <c r="U214" s="11"/>
      <c r="V214" s="11"/>
      <c r="W214" s="11"/>
    </row>
    <row r="215" spans="2:23" ht="30" customHeight="1">
      <c r="B215" s="70">
        <v>204</v>
      </c>
      <c r="C215" s="71" t="s">
        <v>594</v>
      </c>
      <c r="D215" s="71" t="s">
        <v>2142</v>
      </c>
      <c r="E215" s="71" t="s">
        <v>35</v>
      </c>
      <c r="F215" s="71" t="s">
        <v>2138</v>
      </c>
      <c r="G215" s="71" t="s">
        <v>214</v>
      </c>
      <c r="H215" s="71" t="s">
        <v>213</v>
      </c>
      <c r="S215" s="11"/>
      <c r="T215" s="11"/>
      <c r="U215" s="11"/>
      <c r="V215" s="11"/>
      <c r="W215" s="11"/>
    </row>
    <row r="216" spans="2:23" ht="30" customHeight="1">
      <c r="B216" s="70">
        <v>205</v>
      </c>
      <c r="C216" s="71" t="s">
        <v>595</v>
      </c>
      <c r="D216" s="71" t="s">
        <v>2143</v>
      </c>
      <c r="E216" s="71" t="s">
        <v>35</v>
      </c>
      <c r="F216" s="71" t="s">
        <v>2138</v>
      </c>
      <c r="G216" s="71" t="s">
        <v>214</v>
      </c>
      <c r="H216" s="71" t="s">
        <v>213</v>
      </c>
      <c r="S216" s="11"/>
      <c r="T216" s="11"/>
      <c r="U216" s="11"/>
      <c r="V216" s="11"/>
      <c r="W216" s="11"/>
    </row>
    <row r="217" spans="2:23" ht="30" customHeight="1">
      <c r="B217" s="70">
        <v>206</v>
      </c>
      <c r="C217" s="71" t="s">
        <v>596</v>
      </c>
      <c r="D217" s="71" t="s">
        <v>2144</v>
      </c>
      <c r="E217" s="71" t="s">
        <v>35</v>
      </c>
      <c r="F217" s="71" t="s">
        <v>2138</v>
      </c>
      <c r="G217" s="71" t="s">
        <v>223</v>
      </c>
      <c r="H217" s="71" t="s">
        <v>222</v>
      </c>
      <c r="S217" s="11"/>
      <c r="T217" s="11"/>
      <c r="U217" s="11"/>
      <c r="V217" s="11"/>
      <c r="W217" s="11"/>
    </row>
    <row r="218" spans="2:23" ht="30" customHeight="1">
      <c r="B218" s="70">
        <v>207</v>
      </c>
      <c r="C218" s="71" t="s">
        <v>597</v>
      </c>
      <c r="D218" s="71" t="s">
        <v>2145</v>
      </c>
      <c r="E218" s="71" t="s">
        <v>35</v>
      </c>
      <c r="F218" s="71" t="s">
        <v>2138</v>
      </c>
      <c r="G218" s="71" t="s">
        <v>208</v>
      </c>
      <c r="H218" s="71" t="s">
        <v>2016</v>
      </c>
      <c r="S218" s="11"/>
      <c r="T218" s="11"/>
      <c r="U218" s="11"/>
      <c r="V218" s="11"/>
      <c r="W218" s="11"/>
    </row>
    <row r="219" spans="2:23" ht="30" customHeight="1">
      <c r="B219" s="70">
        <v>208</v>
      </c>
      <c r="C219" s="71" t="s">
        <v>598</v>
      </c>
      <c r="D219" s="71" t="s">
        <v>2146</v>
      </c>
      <c r="E219" s="71" t="s">
        <v>35</v>
      </c>
      <c r="F219" s="71" t="s">
        <v>2138</v>
      </c>
      <c r="G219" s="71" t="s">
        <v>208</v>
      </c>
      <c r="H219" s="71" t="s">
        <v>2016</v>
      </c>
      <c r="S219" s="11"/>
      <c r="T219" s="11"/>
      <c r="U219" s="11"/>
      <c r="V219" s="11"/>
      <c r="W219" s="11"/>
    </row>
    <row r="220" spans="2:23" ht="30" customHeight="1">
      <c r="B220" s="70">
        <v>209</v>
      </c>
      <c r="C220" s="71" t="s">
        <v>599</v>
      </c>
      <c r="D220" s="71" t="s">
        <v>2147</v>
      </c>
      <c r="E220" s="71" t="s">
        <v>35</v>
      </c>
      <c r="F220" s="71" t="s">
        <v>2138</v>
      </c>
      <c r="G220" s="71" t="s">
        <v>208</v>
      </c>
      <c r="H220" s="71" t="s">
        <v>2016</v>
      </c>
      <c r="S220" s="11"/>
      <c r="T220" s="11"/>
      <c r="U220" s="11"/>
      <c r="V220" s="11"/>
      <c r="W220" s="11"/>
    </row>
    <row r="221" spans="2:23" ht="30" customHeight="1">
      <c r="B221" s="70">
        <v>210</v>
      </c>
      <c r="C221" s="71" t="s">
        <v>600</v>
      </c>
      <c r="D221" s="71" t="s">
        <v>2148</v>
      </c>
      <c r="E221" s="71" t="s">
        <v>35</v>
      </c>
      <c r="F221" s="71" t="s">
        <v>2138</v>
      </c>
      <c r="G221" s="71" t="s">
        <v>208</v>
      </c>
      <c r="H221" s="71" t="s">
        <v>2016</v>
      </c>
      <c r="S221" s="11"/>
      <c r="T221" s="11"/>
      <c r="U221" s="11"/>
      <c r="V221" s="11"/>
      <c r="W221" s="11"/>
    </row>
    <row r="222" spans="2:23" ht="30" customHeight="1">
      <c r="B222" s="70">
        <v>211</v>
      </c>
      <c r="C222" s="71" t="s">
        <v>601</v>
      </c>
      <c r="D222" s="71" t="s">
        <v>2149</v>
      </c>
      <c r="E222" s="71" t="s">
        <v>35</v>
      </c>
      <c r="F222" s="71" t="s">
        <v>2138</v>
      </c>
      <c r="G222" s="71" t="s">
        <v>208</v>
      </c>
      <c r="H222" s="71" t="s">
        <v>2016</v>
      </c>
      <c r="S222" s="11"/>
      <c r="T222" s="11"/>
      <c r="U222" s="11"/>
      <c r="V222" s="11"/>
      <c r="W222" s="11"/>
    </row>
    <row r="223" spans="2:23" ht="30" customHeight="1">
      <c r="B223" s="70">
        <v>212</v>
      </c>
      <c r="C223" s="71" t="s">
        <v>602</v>
      </c>
      <c r="D223" s="71" t="s">
        <v>2150</v>
      </c>
      <c r="E223" s="71" t="s">
        <v>35</v>
      </c>
      <c r="F223" s="71" t="s">
        <v>2138</v>
      </c>
      <c r="G223" s="71" t="s">
        <v>207</v>
      </c>
      <c r="H223" s="71" t="s">
        <v>206</v>
      </c>
      <c r="S223" s="11"/>
      <c r="T223" s="11"/>
      <c r="U223" s="11"/>
      <c r="V223" s="11"/>
      <c r="W223" s="11"/>
    </row>
    <row r="224" spans="2:23" ht="30" customHeight="1">
      <c r="B224" s="70">
        <v>213</v>
      </c>
      <c r="C224" s="71" t="s">
        <v>603</v>
      </c>
      <c r="D224" s="71" t="s">
        <v>2151</v>
      </c>
      <c r="E224" s="71" t="s">
        <v>35</v>
      </c>
      <c r="F224" s="71" t="s">
        <v>2138</v>
      </c>
      <c r="G224" s="71" t="s">
        <v>209</v>
      </c>
      <c r="H224" s="71" t="s">
        <v>2018</v>
      </c>
      <c r="S224" s="11"/>
      <c r="T224" s="11"/>
      <c r="U224" s="11"/>
      <c r="V224" s="11"/>
      <c r="W224" s="11"/>
    </row>
    <row r="225" spans="2:23" ht="30" customHeight="1">
      <c r="B225" s="70">
        <v>214</v>
      </c>
      <c r="C225" s="71" t="s">
        <v>604</v>
      </c>
      <c r="D225" s="71" t="s">
        <v>2152</v>
      </c>
      <c r="E225" s="71" t="s">
        <v>35</v>
      </c>
      <c r="F225" s="71" t="s">
        <v>2138</v>
      </c>
      <c r="G225" s="71" t="s">
        <v>223</v>
      </c>
      <c r="H225" s="71" t="s">
        <v>222</v>
      </c>
      <c r="S225" s="11"/>
      <c r="T225" s="11"/>
      <c r="U225" s="11"/>
      <c r="V225" s="11"/>
      <c r="W225" s="11"/>
    </row>
    <row r="226" spans="2:23" ht="30" customHeight="1">
      <c r="B226" s="70">
        <v>215</v>
      </c>
      <c r="C226" s="71" t="s">
        <v>605</v>
      </c>
      <c r="D226" s="71" t="s">
        <v>2153</v>
      </c>
      <c r="E226" s="71" t="s">
        <v>35</v>
      </c>
      <c r="F226" s="71" t="s">
        <v>2138</v>
      </c>
      <c r="G226" s="71" t="s">
        <v>221</v>
      </c>
      <c r="H226" s="71" t="s">
        <v>220</v>
      </c>
      <c r="S226" s="11"/>
      <c r="T226" s="11"/>
      <c r="U226" s="11"/>
      <c r="V226" s="11"/>
      <c r="W226" s="11"/>
    </row>
    <row r="227" spans="2:23" ht="30" customHeight="1">
      <c r="B227" s="70">
        <v>216</v>
      </c>
      <c r="C227" s="71" t="s">
        <v>606</v>
      </c>
      <c r="D227" s="71" t="s">
        <v>2154</v>
      </c>
      <c r="E227" s="71" t="s">
        <v>35</v>
      </c>
      <c r="F227" s="71" t="s">
        <v>2138</v>
      </c>
      <c r="G227" s="71" t="s">
        <v>219</v>
      </c>
      <c r="H227" s="71" t="s">
        <v>218</v>
      </c>
      <c r="S227" s="11"/>
      <c r="T227" s="11"/>
      <c r="U227" s="11"/>
      <c r="V227" s="11"/>
      <c r="W227" s="11"/>
    </row>
    <row r="228" spans="2:23" ht="30" customHeight="1">
      <c r="B228" s="70">
        <v>217</v>
      </c>
      <c r="C228" s="71" t="s">
        <v>607</v>
      </c>
      <c r="D228" s="71" t="s">
        <v>2155</v>
      </c>
      <c r="E228" s="71" t="s">
        <v>35</v>
      </c>
      <c r="F228" s="71" t="s">
        <v>2138</v>
      </c>
      <c r="G228" s="71" t="s">
        <v>212</v>
      </c>
      <c r="H228" s="71" t="s">
        <v>211</v>
      </c>
      <c r="S228" s="11"/>
      <c r="T228" s="11"/>
      <c r="U228" s="11"/>
      <c r="V228" s="11"/>
      <c r="W228" s="11"/>
    </row>
    <row r="229" spans="2:23" ht="30" customHeight="1">
      <c r="B229" s="70">
        <v>218</v>
      </c>
      <c r="C229" s="71" t="s">
        <v>608</v>
      </c>
      <c r="D229" s="71" t="s">
        <v>2156</v>
      </c>
      <c r="E229" s="71" t="s">
        <v>35</v>
      </c>
      <c r="F229" s="71" t="s">
        <v>2138</v>
      </c>
      <c r="G229" s="71" t="s">
        <v>16</v>
      </c>
      <c r="H229" s="71" t="s">
        <v>210</v>
      </c>
      <c r="S229" s="11"/>
      <c r="T229" s="11"/>
      <c r="U229" s="11"/>
      <c r="V229" s="11"/>
      <c r="W229" s="11"/>
    </row>
    <row r="230" spans="2:23" ht="30" customHeight="1">
      <c r="B230" s="70">
        <v>219</v>
      </c>
      <c r="C230" s="71" t="s">
        <v>609</v>
      </c>
      <c r="D230" s="71" t="s">
        <v>2157</v>
      </c>
      <c r="E230" s="71" t="s">
        <v>35</v>
      </c>
      <c r="F230" s="71" t="s">
        <v>2138</v>
      </c>
      <c r="G230" s="71" t="s">
        <v>225</v>
      </c>
      <c r="H230" s="71" t="s">
        <v>224</v>
      </c>
      <c r="S230" s="11"/>
      <c r="T230" s="11"/>
      <c r="U230" s="11"/>
      <c r="V230" s="11"/>
      <c r="W230" s="11"/>
    </row>
    <row r="231" spans="2:23" ht="30" customHeight="1">
      <c r="B231" s="70">
        <v>220</v>
      </c>
      <c r="C231" s="71" t="s">
        <v>610</v>
      </c>
      <c r="D231" s="71" t="s">
        <v>2158</v>
      </c>
      <c r="E231" s="71" t="s">
        <v>35</v>
      </c>
      <c r="F231" s="71" t="s">
        <v>2138</v>
      </c>
      <c r="G231" s="71" t="s">
        <v>18</v>
      </c>
      <c r="H231" s="71" t="s">
        <v>215</v>
      </c>
      <c r="S231" s="11"/>
      <c r="T231" s="11"/>
      <c r="U231" s="11"/>
      <c r="V231" s="11"/>
      <c r="W231" s="11"/>
    </row>
    <row r="232" spans="2:23" ht="30" customHeight="1">
      <c r="B232" s="70">
        <v>221</v>
      </c>
      <c r="C232" s="71" t="s">
        <v>611</v>
      </c>
      <c r="D232" s="71" t="s">
        <v>2159</v>
      </c>
      <c r="E232" s="71" t="s">
        <v>35</v>
      </c>
      <c r="F232" s="71" t="s">
        <v>227</v>
      </c>
      <c r="G232" s="71" t="s">
        <v>229</v>
      </c>
      <c r="H232" s="71" t="s">
        <v>2017</v>
      </c>
      <c r="S232" s="11"/>
      <c r="T232" s="11"/>
      <c r="U232" s="11"/>
      <c r="V232" s="11"/>
      <c r="W232" s="11"/>
    </row>
    <row r="233" spans="2:23" ht="30" customHeight="1">
      <c r="B233" s="70">
        <v>222</v>
      </c>
      <c r="C233" s="71" t="s">
        <v>612</v>
      </c>
      <c r="D233" s="71" t="s">
        <v>613</v>
      </c>
      <c r="E233" s="71" t="s">
        <v>35</v>
      </c>
      <c r="F233" s="71" t="s">
        <v>2138</v>
      </c>
      <c r="G233" s="71" t="s">
        <v>214</v>
      </c>
      <c r="H233" s="71" t="s">
        <v>213</v>
      </c>
      <c r="S233" s="11"/>
      <c r="T233" s="11"/>
      <c r="U233" s="11"/>
      <c r="V233" s="11"/>
      <c r="W233" s="11"/>
    </row>
    <row r="234" spans="2:23" ht="30" customHeight="1">
      <c r="B234" s="70">
        <v>223</v>
      </c>
      <c r="C234" s="71" t="s">
        <v>614</v>
      </c>
      <c r="D234" s="71" t="s">
        <v>615</v>
      </c>
      <c r="E234" s="71" t="s">
        <v>35</v>
      </c>
      <c r="F234" s="71" t="s">
        <v>2138</v>
      </c>
      <c r="G234" s="71" t="s">
        <v>214</v>
      </c>
      <c r="H234" s="71" t="s">
        <v>213</v>
      </c>
      <c r="S234" s="11"/>
      <c r="T234" s="11"/>
      <c r="U234" s="11"/>
      <c r="V234" s="11"/>
      <c r="W234" s="11"/>
    </row>
    <row r="235" spans="2:23" ht="30" customHeight="1">
      <c r="B235" s="70">
        <v>224</v>
      </c>
      <c r="C235" s="71" t="s">
        <v>616</v>
      </c>
      <c r="D235" s="71" t="s">
        <v>617</v>
      </c>
      <c r="E235" s="71" t="s">
        <v>35</v>
      </c>
      <c r="F235" s="71" t="s">
        <v>2139</v>
      </c>
      <c r="G235" s="71" t="s">
        <v>17</v>
      </c>
      <c r="H235" s="71" t="s">
        <v>189</v>
      </c>
      <c r="S235" s="11"/>
      <c r="T235" s="11"/>
      <c r="U235" s="11"/>
      <c r="V235" s="11"/>
      <c r="W235" s="11"/>
    </row>
    <row r="236" spans="2:23" ht="30" customHeight="1">
      <c r="B236" s="70">
        <v>225</v>
      </c>
      <c r="C236" s="71" t="s">
        <v>618</v>
      </c>
      <c r="D236" s="71" t="s">
        <v>619</v>
      </c>
      <c r="E236" s="71" t="s">
        <v>35</v>
      </c>
      <c r="F236" s="71" t="s">
        <v>2139</v>
      </c>
      <c r="G236" s="71" t="s">
        <v>194</v>
      </c>
      <c r="H236" s="71" t="s">
        <v>193</v>
      </c>
      <c r="S236" s="11"/>
      <c r="T236" s="11"/>
      <c r="U236" s="11"/>
      <c r="V236" s="11"/>
      <c r="W236" s="11"/>
    </row>
    <row r="237" spans="2:23" ht="30" customHeight="1">
      <c r="B237" s="70">
        <v>226</v>
      </c>
      <c r="C237" s="71" t="s">
        <v>620</v>
      </c>
      <c r="D237" s="71" t="s">
        <v>621</v>
      </c>
      <c r="E237" s="71" t="s">
        <v>35</v>
      </c>
      <c r="F237" s="71" t="s">
        <v>234</v>
      </c>
      <c r="G237" s="71" t="s">
        <v>233</v>
      </c>
      <c r="H237" s="71" t="s">
        <v>232</v>
      </c>
      <c r="S237" s="11"/>
      <c r="T237" s="11"/>
      <c r="U237" s="11"/>
      <c r="V237" s="11"/>
      <c r="W237" s="11"/>
    </row>
    <row r="238" spans="2:23" ht="30" customHeight="1">
      <c r="B238" s="70">
        <v>227</v>
      </c>
      <c r="C238" s="71" t="s">
        <v>622</v>
      </c>
      <c r="D238" s="71" t="s">
        <v>623</v>
      </c>
      <c r="E238" s="71" t="s">
        <v>35</v>
      </c>
      <c r="F238" s="71" t="s">
        <v>2139</v>
      </c>
      <c r="G238" s="71" t="s">
        <v>196</v>
      </c>
      <c r="H238" s="71" t="s">
        <v>195</v>
      </c>
      <c r="S238" s="11"/>
      <c r="T238" s="11"/>
      <c r="U238" s="11"/>
      <c r="V238" s="11"/>
      <c r="W238" s="11"/>
    </row>
    <row r="239" spans="2:23" ht="30" customHeight="1">
      <c r="B239" s="70">
        <v>228</v>
      </c>
      <c r="C239" s="71" t="s">
        <v>624</v>
      </c>
      <c r="D239" s="71" t="s">
        <v>2160</v>
      </c>
      <c r="E239" s="71" t="s">
        <v>35</v>
      </c>
      <c r="F239" s="71" t="s">
        <v>2139</v>
      </c>
      <c r="G239" s="71" t="s">
        <v>196</v>
      </c>
      <c r="H239" s="71" t="s">
        <v>195</v>
      </c>
      <c r="S239" s="11"/>
      <c r="T239" s="11"/>
      <c r="U239" s="11"/>
      <c r="V239" s="11"/>
      <c r="W239" s="11"/>
    </row>
    <row r="240" spans="2:23" ht="30" customHeight="1">
      <c r="B240" s="70">
        <v>229</v>
      </c>
      <c r="C240" s="71" t="s">
        <v>625</v>
      </c>
      <c r="D240" s="71" t="s">
        <v>2161</v>
      </c>
      <c r="E240" s="71" t="s">
        <v>35</v>
      </c>
      <c r="F240" s="71" t="s">
        <v>2139</v>
      </c>
      <c r="G240" s="71" t="s">
        <v>34</v>
      </c>
      <c r="H240" s="71" t="s">
        <v>33</v>
      </c>
      <c r="S240" s="11"/>
      <c r="T240" s="11"/>
      <c r="U240" s="11"/>
      <c r="V240" s="11"/>
      <c r="W240" s="11"/>
    </row>
    <row r="241" spans="2:23" ht="30" customHeight="1">
      <c r="B241" s="70">
        <v>230</v>
      </c>
      <c r="C241" s="71" t="s">
        <v>626</v>
      </c>
      <c r="D241" s="71" t="s">
        <v>627</v>
      </c>
      <c r="E241" s="71" t="s">
        <v>35</v>
      </c>
      <c r="F241" s="71" t="s">
        <v>227</v>
      </c>
      <c r="G241" s="71" t="s">
        <v>230</v>
      </c>
      <c r="H241" s="71" t="s">
        <v>2019</v>
      </c>
      <c r="S241" s="11"/>
      <c r="T241" s="11"/>
      <c r="U241" s="11"/>
      <c r="V241" s="11"/>
      <c r="W241" s="11"/>
    </row>
    <row r="242" spans="2:23" ht="30" customHeight="1">
      <c r="B242" s="70">
        <v>231</v>
      </c>
      <c r="C242" s="71" t="s">
        <v>628</v>
      </c>
      <c r="D242" s="71" t="s">
        <v>629</v>
      </c>
      <c r="E242" s="71" t="s">
        <v>35</v>
      </c>
      <c r="F242" s="71" t="s">
        <v>227</v>
      </c>
      <c r="G242" s="71" t="s">
        <v>231</v>
      </c>
      <c r="H242" s="71" t="s">
        <v>2020</v>
      </c>
      <c r="S242" s="11"/>
      <c r="T242" s="11"/>
      <c r="U242" s="11"/>
      <c r="V242" s="11"/>
      <c r="W242" s="11"/>
    </row>
    <row r="243" spans="2:23" ht="30" customHeight="1">
      <c r="B243" s="70">
        <v>232</v>
      </c>
      <c r="C243" s="71" t="s">
        <v>630</v>
      </c>
      <c r="D243" s="71" t="s">
        <v>631</v>
      </c>
      <c r="E243" s="71" t="s">
        <v>35</v>
      </c>
      <c r="F243" s="71" t="s">
        <v>2162</v>
      </c>
      <c r="G243" s="71" t="s">
        <v>238</v>
      </c>
      <c r="H243" s="71" t="s">
        <v>237</v>
      </c>
      <c r="S243" s="11"/>
      <c r="T243" s="11"/>
      <c r="U243" s="11"/>
      <c r="V243" s="11"/>
      <c r="W243" s="11"/>
    </row>
    <row r="244" spans="2:23" ht="30" customHeight="1">
      <c r="B244" s="70">
        <v>233</v>
      </c>
      <c r="C244" s="71" t="s">
        <v>632</v>
      </c>
      <c r="D244" s="71" t="s">
        <v>633</v>
      </c>
      <c r="E244" s="71" t="s">
        <v>35</v>
      </c>
      <c r="F244" s="71" t="s">
        <v>2138</v>
      </c>
      <c r="G244" s="71" t="s">
        <v>16</v>
      </c>
      <c r="H244" s="71" t="s">
        <v>210</v>
      </c>
      <c r="S244" s="11"/>
      <c r="T244" s="11"/>
      <c r="U244" s="11"/>
      <c r="V244" s="11"/>
      <c r="W244" s="11"/>
    </row>
    <row r="245" spans="2:23" ht="30" customHeight="1">
      <c r="B245" s="70">
        <v>234</v>
      </c>
      <c r="C245" s="71" t="s">
        <v>634</v>
      </c>
      <c r="D245" s="71" t="s">
        <v>2163</v>
      </c>
      <c r="E245" s="71" t="s">
        <v>152</v>
      </c>
      <c r="F245" s="71" t="s">
        <v>2162</v>
      </c>
      <c r="G245" s="71" t="s">
        <v>238</v>
      </c>
      <c r="H245" s="71" t="s">
        <v>237</v>
      </c>
      <c r="S245" s="11"/>
      <c r="T245" s="11"/>
      <c r="U245" s="11"/>
      <c r="V245" s="11"/>
      <c r="W245" s="11"/>
    </row>
    <row r="246" spans="2:23" ht="30" customHeight="1">
      <c r="B246" s="70">
        <v>235</v>
      </c>
      <c r="C246" s="71" t="s">
        <v>635</v>
      </c>
      <c r="D246" s="71" t="s">
        <v>2164</v>
      </c>
      <c r="E246" s="71" t="s">
        <v>152</v>
      </c>
      <c r="F246" s="71" t="s">
        <v>2162</v>
      </c>
      <c r="G246" s="71" t="s">
        <v>238</v>
      </c>
      <c r="H246" s="71" t="s">
        <v>237</v>
      </c>
      <c r="S246" s="11"/>
      <c r="T246" s="11"/>
      <c r="U246" s="11"/>
      <c r="V246" s="11"/>
      <c r="W246" s="11"/>
    </row>
    <row r="247" spans="2:23" ht="30" customHeight="1">
      <c r="B247" s="70">
        <v>236</v>
      </c>
      <c r="C247" s="71" t="s">
        <v>635</v>
      </c>
      <c r="D247" s="71" t="s">
        <v>2165</v>
      </c>
      <c r="E247" s="71" t="s">
        <v>152</v>
      </c>
      <c r="F247" s="71" t="s">
        <v>2162</v>
      </c>
      <c r="G247" s="71" t="s">
        <v>238</v>
      </c>
      <c r="H247" s="71" t="s">
        <v>237</v>
      </c>
      <c r="S247" s="11"/>
      <c r="T247" s="11"/>
      <c r="U247" s="11"/>
      <c r="V247" s="11"/>
      <c r="W247" s="11"/>
    </row>
    <row r="248" spans="2:23" ht="30" customHeight="1">
      <c r="B248" s="70">
        <v>237</v>
      </c>
      <c r="C248" s="71" t="s">
        <v>636</v>
      </c>
      <c r="D248" s="71" t="s">
        <v>2166</v>
      </c>
      <c r="E248" s="71" t="s">
        <v>152</v>
      </c>
      <c r="F248" s="71" t="s">
        <v>2162</v>
      </c>
      <c r="G248" s="71" t="s">
        <v>238</v>
      </c>
      <c r="H248" s="71" t="s">
        <v>237</v>
      </c>
      <c r="S248" s="11"/>
      <c r="T248" s="11"/>
      <c r="U248" s="11"/>
      <c r="V248" s="11"/>
      <c r="W248" s="11"/>
    </row>
    <row r="249" spans="2:23" ht="30" customHeight="1">
      <c r="B249" s="70">
        <v>238</v>
      </c>
      <c r="C249" s="71" t="s">
        <v>637</v>
      </c>
      <c r="D249" s="71" t="s">
        <v>2167</v>
      </c>
      <c r="E249" s="71" t="s">
        <v>152</v>
      </c>
      <c r="F249" s="71" t="s">
        <v>2162</v>
      </c>
      <c r="G249" s="71" t="s">
        <v>238</v>
      </c>
      <c r="H249" s="71" t="s">
        <v>237</v>
      </c>
      <c r="S249" s="11"/>
      <c r="T249" s="11"/>
      <c r="U249" s="11"/>
      <c r="V249" s="11"/>
      <c r="W249" s="11"/>
    </row>
    <row r="250" spans="2:23" ht="30" customHeight="1">
      <c r="B250" s="70">
        <v>239</v>
      </c>
      <c r="C250" s="71" t="s">
        <v>638</v>
      </c>
      <c r="D250" s="71" t="s">
        <v>2168</v>
      </c>
      <c r="E250" s="71" t="s">
        <v>152</v>
      </c>
      <c r="F250" s="71" t="s">
        <v>2162</v>
      </c>
      <c r="G250" s="71" t="s">
        <v>238</v>
      </c>
      <c r="H250" s="71" t="s">
        <v>237</v>
      </c>
      <c r="S250" s="11"/>
      <c r="T250" s="11"/>
      <c r="U250" s="11"/>
      <c r="V250" s="11"/>
      <c r="W250" s="11"/>
    </row>
    <row r="251" spans="2:23" ht="30" customHeight="1">
      <c r="B251" s="70">
        <v>240</v>
      </c>
      <c r="C251" s="71" t="s">
        <v>639</v>
      </c>
      <c r="D251" s="71" t="s">
        <v>2169</v>
      </c>
      <c r="E251" s="71" t="s">
        <v>152</v>
      </c>
      <c r="F251" s="71" t="s">
        <v>2162</v>
      </c>
      <c r="G251" s="71" t="s">
        <v>238</v>
      </c>
      <c r="H251" s="71" t="s">
        <v>237</v>
      </c>
      <c r="S251" s="11"/>
      <c r="T251" s="11"/>
      <c r="U251" s="11"/>
      <c r="V251" s="11"/>
      <c r="W251" s="11"/>
    </row>
    <row r="252" spans="2:23" ht="30" customHeight="1">
      <c r="B252" s="70">
        <v>241</v>
      </c>
      <c r="C252" s="71" t="s">
        <v>640</v>
      </c>
      <c r="D252" s="71" t="s">
        <v>641</v>
      </c>
      <c r="E252" s="71" t="s">
        <v>152</v>
      </c>
      <c r="F252" s="71" t="s">
        <v>2162</v>
      </c>
      <c r="G252" s="71" t="s">
        <v>238</v>
      </c>
      <c r="H252" s="71" t="s">
        <v>237</v>
      </c>
      <c r="S252" s="11"/>
      <c r="T252" s="11"/>
      <c r="U252" s="11"/>
      <c r="V252" s="11"/>
      <c r="W252" s="11"/>
    </row>
    <row r="253" spans="2:23" ht="30" customHeight="1">
      <c r="B253" s="70">
        <v>242</v>
      </c>
      <c r="C253" s="71" t="s">
        <v>642</v>
      </c>
      <c r="D253" s="71" t="s">
        <v>643</v>
      </c>
      <c r="E253" s="71" t="s">
        <v>152</v>
      </c>
      <c r="F253" s="71" t="s">
        <v>2162</v>
      </c>
      <c r="G253" s="71" t="s">
        <v>238</v>
      </c>
      <c r="H253" s="71" t="s">
        <v>237</v>
      </c>
      <c r="S253" s="11"/>
      <c r="T253" s="11"/>
      <c r="U253" s="11"/>
      <c r="V253" s="11"/>
      <c r="W253" s="11"/>
    </row>
    <row r="254" spans="2:23" ht="30" customHeight="1">
      <c r="B254" s="70">
        <v>243</v>
      </c>
      <c r="C254" s="71" t="s">
        <v>644</v>
      </c>
      <c r="D254" s="71" t="s">
        <v>2170</v>
      </c>
      <c r="E254" s="71" t="s">
        <v>152</v>
      </c>
      <c r="F254" s="71" t="s">
        <v>2162</v>
      </c>
      <c r="G254" s="71" t="s">
        <v>238</v>
      </c>
      <c r="H254" s="71" t="s">
        <v>237</v>
      </c>
      <c r="S254" s="11"/>
      <c r="T254" s="11"/>
      <c r="U254" s="11"/>
      <c r="V254" s="11"/>
      <c r="W254" s="11"/>
    </row>
    <row r="255" spans="2:23" ht="30" customHeight="1">
      <c r="B255" s="70">
        <v>244</v>
      </c>
      <c r="C255" s="71" t="s">
        <v>645</v>
      </c>
      <c r="D255" s="71" t="s">
        <v>2170</v>
      </c>
      <c r="E255" s="71" t="s">
        <v>152</v>
      </c>
      <c r="F255" s="71" t="s">
        <v>2162</v>
      </c>
      <c r="G255" s="71" t="s">
        <v>238</v>
      </c>
      <c r="H255" s="71" t="s">
        <v>237</v>
      </c>
      <c r="S255" s="11"/>
      <c r="T255" s="11"/>
      <c r="U255" s="11"/>
      <c r="V255" s="11"/>
      <c r="W255" s="11"/>
    </row>
    <row r="256" spans="2:23" ht="30" customHeight="1">
      <c r="B256" s="70">
        <v>245</v>
      </c>
      <c r="C256" s="71" t="s">
        <v>646</v>
      </c>
      <c r="D256" s="71" t="s">
        <v>2171</v>
      </c>
      <c r="E256" s="71" t="s">
        <v>152</v>
      </c>
      <c r="F256" s="71" t="s">
        <v>2162</v>
      </c>
      <c r="G256" s="71" t="s">
        <v>238</v>
      </c>
      <c r="H256" s="71" t="s">
        <v>237</v>
      </c>
      <c r="S256" s="11"/>
      <c r="T256" s="11"/>
      <c r="U256" s="11"/>
      <c r="V256" s="11"/>
      <c r="W256" s="11"/>
    </row>
    <row r="257" spans="2:23" ht="30" customHeight="1">
      <c r="B257" s="70">
        <v>246</v>
      </c>
      <c r="C257" s="71" t="s">
        <v>647</v>
      </c>
      <c r="D257" s="71" t="s">
        <v>2172</v>
      </c>
      <c r="E257" s="71" t="s">
        <v>152</v>
      </c>
      <c r="F257" s="71" t="s">
        <v>2162</v>
      </c>
      <c r="G257" s="71" t="s">
        <v>238</v>
      </c>
      <c r="H257" s="71" t="s">
        <v>237</v>
      </c>
      <c r="S257" s="11"/>
      <c r="T257" s="11"/>
      <c r="U257" s="11"/>
      <c r="V257" s="11"/>
      <c r="W257" s="11"/>
    </row>
    <row r="258" spans="2:23" ht="30" customHeight="1">
      <c r="B258" s="70">
        <v>247</v>
      </c>
      <c r="C258" s="71" t="s">
        <v>648</v>
      </c>
      <c r="D258" s="71" t="s">
        <v>2172</v>
      </c>
      <c r="E258" s="71" t="s">
        <v>152</v>
      </c>
      <c r="F258" s="71" t="s">
        <v>2162</v>
      </c>
      <c r="G258" s="71" t="s">
        <v>238</v>
      </c>
      <c r="H258" s="71" t="s">
        <v>237</v>
      </c>
      <c r="S258" s="11"/>
      <c r="T258" s="11"/>
      <c r="U258" s="11"/>
      <c r="V258" s="11"/>
      <c r="W258" s="11"/>
    </row>
    <row r="259" spans="2:23" ht="30" customHeight="1">
      <c r="B259" s="70">
        <v>248</v>
      </c>
      <c r="C259" s="71" t="s">
        <v>649</v>
      </c>
      <c r="D259" s="71" t="s">
        <v>650</v>
      </c>
      <c r="E259" s="71" t="s">
        <v>152</v>
      </c>
      <c r="F259" s="71" t="s">
        <v>2162</v>
      </c>
      <c r="G259" s="71" t="s">
        <v>238</v>
      </c>
      <c r="H259" s="71" t="s">
        <v>237</v>
      </c>
      <c r="S259" s="11"/>
      <c r="T259" s="11"/>
      <c r="U259" s="11"/>
      <c r="V259" s="11"/>
      <c r="W259" s="11"/>
    </row>
    <row r="260" spans="2:23" ht="30" customHeight="1">
      <c r="B260" s="70">
        <v>249</v>
      </c>
      <c r="C260" s="71" t="s">
        <v>651</v>
      </c>
      <c r="D260" s="71" t="s">
        <v>652</v>
      </c>
      <c r="E260" s="71" t="s">
        <v>152</v>
      </c>
      <c r="F260" s="71" t="s">
        <v>2162</v>
      </c>
      <c r="G260" s="71" t="s">
        <v>238</v>
      </c>
      <c r="H260" s="71" t="s">
        <v>237</v>
      </c>
      <c r="S260" s="11"/>
      <c r="T260" s="11"/>
      <c r="U260" s="11"/>
      <c r="V260" s="11"/>
      <c r="W260" s="11"/>
    </row>
    <row r="261" spans="2:23" ht="30" customHeight="1">
      <c r="B261" s="70">
        <v>250</v>
      </c>
      <c r="C261" s="71" t="s">
        <v>653</v>
      </c>
      <c r="D261" s="71" t="s">
        <v>654</v>
      </c>
      <c r="E261" s="71" t="s">
        <v>152</v>
      </c>
      <c r="F261" s="71" t="s">
        <v>2162</v>
      </c>
      <c r="G261" s="71" t="s">
        <v>238</v>
      </c>
      <c r="H261" s="71" t="s">
        <v>237</v>
      </c>
      <c r="S261" s="11"/>
      <c r="T261" s="11"/>
      <c r="U261" s="11"/>
      <c r="V261" s="11"/>
      <c r="W261" s="11"/>
    </row>
    <row r="262" spans="2:23" ht="30" customHeight="1">
      <c r="B262" s="70">
        <v>251</v>
      </c>
      <c r="C262" s="71" t="s">
        <v>655</v>
      </c>
      <c r="D262" s="71" t="s">
        <v>656</v>
      </c>
      <c r="E262" s="71" t="s">
        <v>152</v>
      </c>
      <c r="F262" s="71" t="s">
        <v>2162</v>
      </c>
      <c r="G262" s="71" t="s">
        <v>238</v>
      </c>
      <c r="H262" s="71" t="s">
        <v>237</v>
      </c>
      <c r="S262" s="11"/>
      <c r="T262" s="11"/>
      <c r="U262" s="11"/>
      <c r="V262" s="11"/>
      <c r="W262" s="11"/>
    </row>
    <row r="263" spans="2:23" ht="30" customHeight="1">
      <c r="B263" s="70">
        <v>252</v>
      </c>
      <c r="C263" s="71" t="s">
        <v>657</v>
      </c>
      <c r="D263" s="71" t="s">
        <v>658</v>
      </c>
      <c r="E263" s="71" t="s">
        <v>152</v>
      </c>
      <c r="F263" s="71" t="s">
        <v>2162</v>
      </c>
      <c r="G263" s="71" t="s">
        <v>238</v>
      </c>
      <c r="H263" s="71" t="s">
        <v>237</v>
      </c>
      <c r="S263" s="11"/>
      <c r="T263" s="11"/>
      <c r="U263" s="11"/>
      <c r="V263" s="11"/>
      <c r="W263" s="11"/>
    </row>
    <row r="264" spans="2:23" ht="30" customHeight="1">
      <c r="B264" s="70">
        <v>253</v>
      </c>
      <c r="C264" s="71" t="s">
        <v>659</v>
      </c>
      <c r="D264" s="71" t="s">
        <v>660</v>
      </c>
      <c r="E264" s="71" t="s">
        <v>152</v>
      </c>
      <c r="F264" s="71" t="s">
        <v>2162</v>
      </c>
      <c r="G264" s="71" t="s">
        <v>238</v>
      </c>
      <c r="H264" s="71" t="s">
        <v>237</v>
      </c>
      <c r="S264" s="11"/>
      <c r="T264" s="11"/>
      <c r="U264" s="11"/>
      <c r="V264" s="11"/>
      <c r="W264" s="11"/>
    </row>
    <row r="265" spans="2:23" ht="30" customHeight="1">
      <c r="B265" s="70">
        <v>254</v>
      </c>
      <c r="C265" s="71" t="s">
        <v>661</v>
      </c>
      <c r="D265" s="71" t="s">
        <v>662</v>
      </c>
      <c r="E265" s="71" t="s">
        <v>152</v>
      </c>
      <c r="F265" s="71" t="s">
        <v>2162</v>
      </c>
      <c r="G265" s="71" t="s">
        <v>238</v>
      </c>
      <c r="H265" s="71" t="s">
        <v>237</v>
      </c>
      <c r="S265" s="11"/>
      <c r="T265" s="11"/>
      <c r="U265" s="11"/>
      <c r="V265" s="11"/>
      <c r="W265" s="11"/>
    </row>
    <row r="266" spans="2:23" ht="30" customHeight="1">
      <c r="B266" s="70">
        <v>255</v>
      </c>
      <c r="C266" s="71" t="s">
        <v>663</v>
      </c>
      <c r="D266" s="71" t="s">
        <v>664</v>
      </c>
      <c r="E266" s="71" t="s">
        <v>152</v>
      </c>
      <c r="F266" s="71" t="s">
        <v>2162</v>
      </c>
      <c r="G266" s="71" t="s">
        <v>238</v>
      </c>
      <c r="H266" s="71" t="s">
        <v>237</v>
      </c>
      <c r="S266" s="11"/>
      <c r="T266" s="11"/>
      <c r="U266" s="11"/>
      <c r="V266" s="11"/>
      <c r="W266" s="11"/>
    </row>
    <row r="267" spans="2:23" ht="30" customHeight="1">
      <c r="B267" s="70">
        <v>256</v>
      </c>
      <c r="C267" s="71" t="s">
        <v>665</v>
      </c>
      <c r="D267" s="71" t="s">
        <v>666</v>
      </c>
      <c r="E267" s="140" t="s">
        <v>64</v>
      </c>
      <c r="F267" s="71" t="s">
        <v>2092</v>
      </c>
      <c r="G267" s="71" t="s">
        <v>2021</v>
      </c>
      <c r="H267" s="71" t="s">
        <v>2022</v>
      </c>
      <c r="S267" s="11"/>
      <c r="T267" s="11"/>
      <c r="U267" s="11"/>
      <c r="V267" s="11"/>
      <c r="W267" s="11"/>
    </row>
    <row r="268" spans="2:23" ht="30" customHeight="1">
      <c r="B268" s="70">
        <v>257</v>
      </c>
      <c r="C268" s="71" t="s">
        <v>667</v>
      </c>
      <c r="D268" s="71" t="s">
        <v>668</v>
      </c>
      <c r="E268" s="140" t="s">
        <v>64</v>
      </c>
      <c r="F268" s="71" t="s">
        <v>2092</v>
      </c>
      <c r="G268" s="71" t="s">
        <v>2021</v>
      </c>
      <c r="H268" s="71" t="s">
        <v>2022</v>
      </c>
      <c r="S268" s="11"/>
      <c r="T268" s="11"/>
      <c r="U268" s="11"/>
      <c r="V268" s="11"/>
      <c r="W268" s="11"/>
    </row>
    <row r="269" spans="2:23" ht="30" customHeight="1">
      <c r="B269" s="70">
        <v>258</v>
      </c>
      <c r="C269" s="71" t="s">
        <v>669</v>
      </c>
      <c r="D269" s="71" t="s">
        <v>2133</v>
      </c>
      <c r="E269" s="140" t="s">
        <v>64</v>
      </c>
      <c r="F269" s="71" t="s">
        <v>2092</v>
      </c>
      <c r="G269" s="71" t="s">
        <v>2021</v>
      </c>
      <c r="H269" s="71" t="s">
        <v>2022</v>
      </c>
      <c r="S269" s="11"/>
      <c r="T269" s="11"/>
      <c r="U269" s="11"/>
      <c r="V269" s="11"/>
      <c r="W269" s="11"/>
    </row>
    <row r="270" spans="2:23" ht="30" customHeight="1">
      <c r="B270" s="70">
        <v>259</v>
      </c>
      <c r="C270" s="71" t="s">
        <v>670</v>
      </c>
      <c r="D270" s="71" t="s">
        <v>671</v>
      </c>
      <c r="E270" s="140" t="s">
        <v>64</v>
      </c>
      <c r="F270" s="71" t="s">
        <v>2092</v>
      </c>
      <c r="G270" s="71" t="s">
        <v>2021</v>
      </c>
      <c r="H270" s="71" t="s">
        <v>2022</v>
      </c>
      <c r="S270" s="11"/>
      <c r="T270" s="11"/>
      <c r="U270" s="11"/>
      <c r="V270" s="11"/>
      <c r="W270" s="11"/>
    </row>
    <row r="271" spans="2:23" ht="30" customHeight="1">
      <c r="B271" s="70">
        <v>260</v>
      </c>
      <c r="C271" s="71" t="s">
        <v>672</v>
      </c>
      <c r="D271" s="71" t="s">
        <v>673</v>
      </c>
      <c r="E271" s="140" t="s">
        <v>64</v>
      </c>
      <c r="F271" s="71" t="s">
        <v>2092</v>
      </c>
      <c r="G271" s="71" t="s">
        <v>2021</v>
      </c>
      <c r="H271" s="71" t="s">
        <v>2022</v>
      </c>
      <c r="S271" s="11"/>
      <c r="T271" s="11"/>
      <c r="U271" s="11"/>
      <c r="V271" s="11"/>
      <c r="W271" s="11"/>
    </row>
    <row r="272" spans="2:23" ht="30" customHeight="1">
      <c r="B272" s="70">
        <v>261</v>
      </c>
      <c r="C272" s="71" t="s">
        <v>674</v>
      </c>
      <c r="D272" s="71" t="s">
        <v>2173</v>
      </c>
      <c r="E272" s="140" t="s">
        <v>64</v>
      </c>
      <c r="F272" s="71" t="s">
        <v>2092</v>
      </c>
      <c r="G272" s="71" t="s">
        <v>2021</v>
      </c>
      <c r="H272" s="71" t="s">
        <v>2022</v>
      </c>
      <c r="S272" s="11"/>
      <c r="T272" s="11"/>
      <c r="U272" s="11"/>
      <c r="V272" s="11"/>
      <c r="W272" s="11"/>
    </row>
    <row r="273" spans="2:23" ht="30" customHeight="1">
      <c r="B273" s="70">
        <v>262</v>
      </c>
      <c r="C273" s="71" t="s">
        <v>675</v>
      </c>
      <c r="D273" s="71" t="s">
        <v>676</v>
      </c>
      <c r="E273" s="140" t="s">
        <v>64</v>
      </c>
      <c r="F273" s="71" t="s">
        <v>2092</v>
      </c>
      <c r="G273" s="71" t="s">
        <v>2023</v>
      </c>
      <c r="H273" s="71" t="s">
        <v>2024</v>
      </c>
      <c r="S273" s="11"/>
      <c r="T273" s="11"/>
      <c r="U273" s="11"/>
      <c r="V273" s="11"/>
      <c r="W273" s="11"/>
    </row>
    <row r="274" spans="2:23" ht="30" customHeight="1">
      <c r="B274" s="70">
        <v>263</v>
      </c>
      <c r="C274" s="71" t="s">
        <v>677</v>
      </c>
      <c r="D274" s="71" t="s">
        <v>668</v>
      </c>
      <c r="E274" s="140" t="s">
        <v>64</v>
      </c>
      <c r="F274" s="71" t="s">
        <v>2092</v>
      </c>
      <c r="G274" s="71" t="s">
        <v>2023</v>
      </c>
      <c r="H274" s="71" t="s">
        <v>2024</v>
      </c>
      <c r="S274" s="11"/>
      <c r="T274" s="11"/>
      <c r="U274" s="11"/>
      <c r="V274" s="11"/>
      <c r="W274" s="11"/>
    </row>
    <row r="275" spans="2:23" ht="30" customHeight="1">
      <c r="B275" s="70">
        <v>264</v>
      </c>
      <c r="C275" s="71" t="s">
        <v>678</v>
      </c>
      <c r="D275" s="71" t="s">
        <v>2133</v>
      </c>
      <c r="E275" s="140" t="s">
        <v>64</v>
      </c>
      <c r="F275" s="71" t="s">
        <v>2092</v>
      </c>
      <c r="G275" s="71" t="s">
        <v>2023</v>
      </c>
      <c r="H275" s="71" t="s">
        <v>2024</v>
      </c>
      <c r="S275" s="11"/>
      <c r="T275" s="11"/>
      <c r="U275" s="11"/>
      <c r="V275" s="11"/>
      <c r="W275" s="11"/>
    </row>
    <row r="276" spans="2:23" ht="30" customHeight="1">
      <c r="B276" s="70">
        <v>265</v>
      </c>
      <c r="C276" s="71" t="s">
        <v>679</v>
      </c>
      <c r="D276" s="71" t="s">
        <v>671</v>
      </c>
      <c r="E276" s="140" t="s">
        <v>64</v>
      </c>
      <c r="F276" s="71" t="s">
        <v>2092</v>
      </c>
      <c r="G276" s="71" t="s">
        <v>2023</v>
      </c>
      <c r="H276" s="71" t="s">
        <v>2024</v>
      </c>
      <c r="S276" s="11"/>
      <c r="T276" s="11"/>
      <c r="U276" s="11"/>
      <c r="V276" s="11"/>
      <c r="W276" s="11"/>
    </row>
    <row r="277" spans="2:23" ht="30" customHeight="1">
      <c r="B277" s="70">
        <v>266</v>
      </c>
      <c r="C277" s="71" t="s">
        <v>680</v>
      </c>
      <c r="D277" s="71" t="s">
        <v>673</v>
      </c>
      <c r="E277" s="140" t="s">
        <v>64</v>
      </c>
      <c r="F277" s="71" t="s">
        <v>2092</v>
      </c>
      <c r="G277" s="71" t="s">
        <v>2023</v>
      </c>
      <c r="H277" s="71" t="s">
        <v>2024</v>
      </c>
      <c r="S277" s="11"/>
      <c r="T277" s="11"/>
      <c r="U277" s="11"/>
      <c r="V277" s="11"/>
      <c r="W277" s="11"/>
    </row>
    <row r="278" spans="2:23" ht="30" customHeight="1">
      <c r="B278" s="70">
        <v>267</v>
      </c>
      <c r="C278" s="71" t="s">
        <v>681</v>
      </c>
      <c r="D278" s="71" t="s">
        <v>2174</v>
      </c>
      <c r="E278" s="140" t="s">
        <v>64</v>
      </c>
      <c r="F278" s="71" t="s">
        <v>2092</v>
      </c>
      <c r="G278" s="71" t="s">
        <v>2023</v>
      </c>
      <c r="H278" s="71" t="s">
        <v>2024</v>
      </c>
      <c r="S278" s="11"/>
      <c r="T278" s="11"/>
      <c r="U278" s="11"/>
      <c r="V278" s="11"/>
      <c r="W278" s="11"/>
    </row>
    <row r="279" spans="2:23" ht="30" customHeight="1">
      <c r="B279" s="70">
        <v>268</v>
      </c>
      <c r="C279" s="71" t="s">
        <v>682</v>
      </c>
      <c r="D279" s="71" t="s">
        <v>683</v>
      </c>
      <c r="E279" s="140" t="s">
        <v>64</v>
      </c>
      <c r="F279" s="71" t="s">
        <v>2092</v>
      </c>
      <c r="G279" s="71" t="s">
        <v>2025</v>
      </c>
      <c r="H279" s="71" t="s">
        <v>2026</v>
      </c>
      <c r="S279" s="11"/>
      <c r="T279" s="11"/>
      <c r="U279" s="11"/>
      <c r="V279" s="11"/>
      <c r="W279" s="11"/>
    </row>
    <row r="280" spans="2:23" ht="30" customHeight="1">
      <c r="B280" s="70">
        <v>269</v>
      </c>
      <c r="C280" s="71" t="s">
        <v>684</v>
      </c>
      <c r="D280" s="71" t="s">
        <v>668</v>
      </c>
      <c r="E280" s="140" t="s">
        <v>64</v>
      </c>
      <c r="F280" s="71" t="s">
        <v>2092</v>
      </c>
      <c r="G280" s="71" t="s">
        <v>2025</v>
      </c>
      <c r="H280" s="71" t="s">
        <v>2026</v>
      </c>
      <c r="S280" s="11"/>
      <c r="T280" s="11"/>
      <c r="U280" s="11"/>
      <c r="V280" s="11"/>
      <c r="W280" s="11"/>
    </row>
    <row r="281" spans="2:23" ht="30" customHeight="1">
      <c r="B281" s="70">
        <v>270</v>
      </c>
      <c r="C281" s="71" t="s">
        <v>685</v>
      </c>
      <c r="D281" s="71" t="s">
        <v>2133</v>
      </c>
      <c r="E281" s="140" t="s">
        <v>64</v>
      </c>
      <c r="F281" s="71" t="s">
        <v>2092</v>
      </c>
      <c r="G281" s="71" t="s">
        <v>2025</v>
      </c>
      <c r="H281" s="71" t="s">
        <v>2026</v>
      </c>
      <c r="S281" s="11"/>
      <c r="T281" s="11"/>
      <c r="U281" s="11"/>
      <c r="V281" s="11"/>
      <c r="W281" s="11"/>
    </row>
    <row r="282" spans="2:23" ht="30" customHeight="1">
      <c r="B282" s="70">
        <v>271</v>
      </c>
      <c r="C282" s="71" t="s">
        <v>686</v>
      </c>
      <c r="D282" s="71" t="s">
        <v>671</v>
      </c>
      <c r="E282" s="140" t="s">
        <v>64</v>
      </c>
      <c r="F282" s="71" t="s">
        <v>2092</v>
      </c>
      <c r="G282" s="71" t="s">
        <v>2025</v>
      </c>
      <c r="H282" s="71" t="s">
        <v>2026</v>
      </c>
      <c r="S282" s="11"/>
      <c r="T282" s="11"/>
      <c r="U282" s="11"/>
      <c r="V282" s="11"/>
      <c r="W282" s="11"/>
    </row>
    <row r="283" spans="2:23" ht="30" customHeight="1">
      <c r="B283" s="70">
        <v>272</v>
      </c>
      <c r="C283" s="71" t="s">
        <v>687</v>
      </c>
      <c r="D283" s="71" t="s">
        <v>673</v>
      </c>
      <c r="E283" s="140" t="s">
        <v>64</v>
      </c>
      <c r="F283" s="71" t="s">
        <v>2092</v>
      </c>
      <c r="G283" s="71" t="s">
        <v>2025</v>
      </c>
      <c r="H283" s="71" t="s">
        <v>2026</v>
      </c>
      <c r="S283" s="11"/>
      <c r="T283" s="11"/>
      <c r="U283" s="11"/>
      <c r="V283" s="11"/>
      <c r="W283" s="11"/>
    </row>
    <row r="284" spans="2:23" ht="30" customHeight="1">
      <c r="B284" s="70">
        <v>273</v>
      </c>
      <c r="C284" s="71" t="s">
        <v>688</v>
      </c>
      <c r="D284" s="71" t="s">
        <v>2175</v>
      </c>
      <c r="E284" s="140" t="s">
        <v>64</v>
      </c>
      <c r="F284" s="71" t="s">
        <v>2092</v>
      </c>
      <c r="G284" s="71" t="s">
        <v>2025</v>
      </c>
      <c r="H284" s="71" t="s">
        <v>2026</v>
      </c>
      <c r="S284" s="11"/>
      <c r="T284" s="11"/>
      <c r="U284" s="11"/>
      <c r="V284" s="11"/>
      <c r="W284" s="11"/>
    </row>
    <row r="285" spans="2:23" ht="30" customHeight="1">
      <c r="B285" s="70">
        <v>274</v>
      </c>
      <c r="C285" s="71" t="s">
        <v>689</v>
      </c>
      <c r="D285" s="71" t="s">
        <v>690</v>
      </c>
      <c r="E285" s="140" t="s">
        <v>64</v>
      </c>
      <c r="F285" s="71" t="s">
        <v>2092</v>
      </c>
      <c r="G285" s="71" t="s">
        <v>126</v>
      </c>
      <c r="H285" s="71" t="s">
        <v>125</v>
      </c>
      <c r="S285" s="11"/>
      <c r="T285" s="11"/>
      <c r="U285" s="11"/>
      <c r="V285" s="11"/>
      <c r="W285" s="11"/>
    </row>
    <row r="286" spans="2:23" ht="30" customHeight="1">
      <c r="B286" s="70">
        <v>275</v>
      </c>
      <c r="C286" s="71" t="s">
        <v>691</v>
      </c>
      <c r="D286" s="71" t="s">
        <v>692</v>
      </c>
      <c r="E286" s="140" t="s">
        <v>64</v>
      </c>
      <c r="F286" s="71" t="s">
        <v>2092</v>
      </c>
      <c r="G286" s="71" t="s">
        <v>128</v>
      </c>
      <c r="H286" s="71" t="s">
        <v>127</v>
      </c>
      <c r="S286" s="11"/>
      <c r="T286" s="11"/>
      <c r="U286" s="11"/>
      <c r="V286" s="11"/>
      <c r="W286" s="11"/>
    </row>
    <row r="287" spans="2:23" ht="30" customHeight="1">
      <c r="B287" s="70">
        <v>276</v>
      </c>
      <c r="C287" s="71" t="s">
        <v>693</v>
      </c>
      <c r="D287" s="71" t="s">
        <v>2176</v>
      </c>
      <c r="E287" s="140" t="s">
        <v>64</v>
      </c>
      <c r="F287" s="71" t="s">
        <v>2092</v>
      </c>
      <c r="G287" s="71" t="s">
        <v>132</v>
      </c>
      <c r="H287" s="71" t="s">
        <v>131</v>
      </c>
      <c r="S287" s="11"/>
      <c r="T287" s="11"/>
      <c r="U287" s="11"/>
      <c r="V287" s="11"/>
      <c r="W287" s="11"/>
    </row>
    <row r="288" spans="2:23" ht="30" customHeight="1">
      <c r="B288" s="70">
        <v>277</v>
      </c>
      <c r="C288" s="71" t="s">
        <v>694</v>
      </c>
      <c r="D288" s="71" t="s">
        <v>695</v>
      </c>
      <c r="E288" s="140" t="s">
        <v>64</v>
      </c>
      <c r="F288" s="71" t="s">
        <v>2092</v>
      </c>
      <c r="G288" s="71" t="s">
        <v>132</v>
      </c>
      <c r="H288" s="71" t="s">
        <v>131</v>
      </c>
      <c r="S288" s="11"/>
      <c r="T288" s="11"/>
      <c r="U288" s="11"/>
      <c r="V288" s="11"/>
      <c r="W288" s="11"/>
    </row>
    <row r="289" spans="2:23" ht="30" customHeight="1">
      <c r="B289" s="70">
        <v>278</v>
      </c>
      <c r="C289" s="71" t="s">
        <v>696</v>
      </c>
      <c r="D289" s="71" t="s">
        <v>2177</v>
      </c>
      <c r="E289" s="140" t="s">
        <v>64</v>
      </c>
      <c r="F289" s="71" t="s">
        <v>2092</v>
      </c>
      <c r="G289" s="71" t="s">
        <v>2178</v>
      </c>
      <c r="H289" s="71" t="s">
        <v>2027</v>
      </c>
      <c r="S289" s="11"/>
      <c r="T289" s="11"/>
      <c r="U289" s="11"/>
      <c r="V289" s="11"/>
      <c r="W289" s="11"/>
    </row>
    <row r="290" spans="2:23" ht="30" customHeight="1">
      <c r="B290" s="70">
        <v>279</v>
      </c>
      <c r="C290" s="146" t="s">
        <v>697</v>
      </c>
      <c r="D290" s="71" t="s">
        <v>2179</v>
      </c>
      <c r="E290" s="140" t="s">
        <v>64</v>
      </c>
      <c r="F290" s="71" t="s">
        <v>2092</v>
      </c>
      <c r="G290" s="71" t="s">
        <v>2178</v>
      </c>
      <c r="H290" s="71" t="s">
        <v>2027</v>
      </c>
      <c r="S290" s="11"/>
      <c r="T290" s="11"/>
      <c r="U290" s="11"/>
      <c r="V290" s="11"/>
      <c r="W290" s="11"/>
    </row>
    <row r="291" spans="2:23" ht="30" customHeight="1">
      <c r="B291" s="70">
        <v>280</v>
      </c>
      <c r="C291" s="146" t="s">
        <v>698</v>
      </c>
      <c r="D291" s="71" t="s">
        <v>699</v>
      </c>
      <c r="E291" s="140" t="s">
        <v>64</v>
      </c>
      <c r="F291" s="71" t="s">
        <v>2092</v>
      </c>
      <c r="G291" s="71" t="s">
        <v>2178</v>
      </c>
      <c r="H291" s="71" t="s">
        <v>2027</v>
      </c>
      <c r="S291" s="11"/>
      <c r="T291" s="11"/>
      <c r="U291" s="11"/>
      <c r="V291" s="11"/>
      <c r="W291" s="11"/>
    </row>
    <row r="292" spans="2:23" ht="30" customHeight="1">
      <c r="B292" s="70">
        <v>281</v>
      </c>
      <c r="C292" s="146" t="s">
        <v>700</v>
      </c>
      <c r="D292" s="71" t="s">
        <v>701</v>
      </c>
      <c r="E292" s="140" t="s">
        <v>64</v>
      </c>
      <c r="F292" s="71" t="s">
        <v>2092</v>
      </c>
      <c r="G292" s="71" t="s">
        <v>2178</v>
      </c>
      <c r="H292" s="71" t="s">
        <v>2027</v>
      </c>
      <c r="S292" s="11"/>
      <c r="T292" s="11"/>
      <c r="U292" s="11"/>
      <c r="V292" s="11"/>
      <c r="W292" s="11"/>
    </row>
    <row r="293" spans="2:23" ht="30" customHeight="1">
      <c r="B293" s="70">
        <v>282</v>
      </c>
      <c r="C293" s="146" t="s">
        <v>702</v>
      </c>
      <c r="D293" s="71" t="s">
        <v>703</v>
      </c>
      <c r="E293" s="140" t="s">
        <v>64</v>
      </c>
      <c r="F293" s="71" t="s">
        <v>2092</v>
      </c>
      <c r="G293" s="71" t="s">
        <v>2178</v>
      </c>
      <c r="H293" s="71" t="s">
        <v>2027</v>
      </c>
      <c r="S293" s="11"/>
      <c r="T293" s="11"/>
      <c r="U293" s="11"/>
      <c r="V293" s="11"/>
      <c r="W293" s="11"/>
    </row>
    <row r="294" spans="2:23" ht="30" customHeight="1">
      <c r="B294" s="70">
        <v>283</v>
      </c>
      <c r="C294" s="146" t="s">
        <v>704</v>
      </c>
      <c r="D294" s="71" t="s">
        <v>705</v>
      </c>
      <c r="E294" s="140" t="s">
        <v>64</v>
      </c>
      <c r="F294" s="71" t="s">
        <v>2092</v>
      </c>
      <c r="G294" s="71" t="s">
        <v>2178</v>
      </c>
      <c r="H294" s="71" t="s">
        <v>2027</v>
      </c>
      <c r="S294" s="11"/>
      <c r="T294" s="11"/>
      <c r="U294" s="11"/>
      <c r="V294" s="11"/>
      <c r="W294" s="11"/>
    </row>
    <row r="295" spans="2:23" ht="30" customHeight="1">
      <c r="B295" s="70">
        <v>284</v>
      </c>
      <c r="C295" s="146" t="s">
        <v>706</v>
      </c>
      <c r="D295" s="71" t="s">
        <v>707</v>
      </c>
      <c r="E295" s="140" t="s">
        <v>64</v>
      </c>
      <c r="F295" s="71" t="s">
        <v>2092</v>
      </c>
      <c r="G295" s="71" t="s">
        <v>2178</v>
      </c>
      <c r="H295" s="71" t="s">
        <v>2027</v>
      </c>
      <c r="S295" s="11"/>
      <c r="T295" s="11"/>
      <c r="U295" s="11"/>
      <c r="V295" s="11"/>
      <c r="W295" s="11"/>
    </row>
    <row r="296" spans="2:23" ht="30" customHeight="1">
      <c r="B296" s="70">
        <v>285</v>
      </c>
      <c r="C296" s="146" t="s">
        <v>708</v>
      </c>
      <c r="D296" s="71" t="s">
        <v>2028</v>
      </c>
      <c r="E296" s="140" t="s">
        <v>64</v>
      </c>
      <c r="F296" s="71" t="s">
        <v>2092</v>
      </c>
      <c r="G296" s="71" t="s">
        <v>2178</v>
      </c>
      <c r="H296" s="71" t="s">
        <v>2027</v>
      </c>
      <c r="S296" s="11"/>
      <c r="T296" s="11"/>
      <c r="U296" s="11"/>
      <c r="V296" s="11"/>
      <c r="W296" s="11"/>
    </row>
    <row r="297" spans="2:23" ht="30" customHeight="1">
      <c r="B297" s="70">
        <v>286</v>
      </c>
      <c r="C297" s="146" t="s">
        <v>710</v>
      </c>
      <c r="D297" s="71" t="s">
        <v>2029</v>
      </c>
      <c r="E297" s="140" t="s">
        <v>64</v>
      </c>
      <c r="F297" s="71" t="s">
        <v>2092</v>
      </c>
      <c r="G297" s="71" t="s">
        <v>2178</v>
      </c>
      <c r="H297" s="71" t="s">
        <v>2027</v>
      </c>
      <c r="S297" s="11"/>
      <c r="T297" s="11"/>
      <c r="U297" s="11"/>
      <c r="V297" s="11"/>
      <c r="W297" s="11"/>
    </row>
    <row r="298" spans="2:23" ht="30" customHeight="1">
      <c r="B298" s="70">
        <v>287</v>
      </c>
      <c r="C298" s="146" t="s">
        <v>711</v>
      </c>
      <c r="D298" s="71" t="s">
        <v>709</v>
      </c>
      <c r="E298" s="140" t="s">
        <v>64</v>
      </c>
      <c r="F298" s="71" t="s">
        <v>2092</v>
      </c>
      <c r="G298" s="71" t="s">
        <v>2178</v>
      </c>
      <c r="H298" s="71" t="s">
        <v>2027</v>
      </c>
      <c r="S298" s="11"/>
      <c r="T298" s="11"/>
      <c r="U298" s="11"/>
      <c r="V298" s="11"/>
      <c r="W298" s="11"/>
    </row>
    <row r="299" spans="2:23" ht="30" customHeight="1">
      <c r="B299" s="70">
        <v>288</v>
      </c>
      <c r="C299" s="71" t="s">
        <v>712</v>
      </c>
      <c r="D299" s="71" t="s">
        <v>2180</v>
      </c>
      <c r="E299" s="140" t="s">
        <v>64</v>
      </c>
      <c r="F299" s="71" t="s">
        <v>2092</v>
      </c>
      <c r="G299" s="71" t="s">
        <v>2181</v>
      </c>
      <c r="H299" s="71" t="s">
        <v>2030</v>
      </c>
      <c r="S299" s="11"/>
      <c r="T299" s="11"/>
      <c r="U299" s="11"/>
      <c r="V299" s="11"/>
      <c r="W299" s="11"/>
    </row>
    <row r="300" spans="2:23" ht="30" customHeight="1">
      <c r="B300" s="70">
        <v>289</v>
      </c>
      <c r="C300" s="146" t="s">
        <v>713</v>
      </c>
      <c r="D300" s="71" t="s">
        <v>699</v>
      </c>
      <c r="E300" s="140" t="s">
        <v>64</v>
      </c>
      <c r="F300" s="71" t="s">
        <v>2092</v>
      </c>
      <c r="G300" s="71" t="s">
        <v>2181</v>
      </c>
      <c r="H300" s="71" t="s">
        <v>2030</v>
      </c>
      <c r="S300" s="11"/>
      <c r="T300" s="11"/>
      <c r="U300" s="11"/>
      <c r="V300" s="11"/>
      <c r="W300" s="11"/>
    </row>
    <row r="301" spans="2:23" ht="30" customHeight="1">
      <c r="B301" s="70">
        <v>290</v>
      </c>
      <c r="C301" s="146" t="s">
        <v>714</v>
      </c>
      <c r="D301" s="71" t="s">
        <v>703</v>
      </c>
      <c r="E301" s="140" t="s">
        <v>64</v>
      </c>
      <c r="F301" s="71" t="s">
        <v>2092</v>
      </c>
      <c r="G301" s="71" t="s">
        <v>2181</v>
      </c>
      <c r="H301" s="71" t="s">
        <v>2030</v>
      </c>
      <c r="S301" s="11"/>
      <c r="T301" s="11"/>
      <c r="U301" s="11"/>
      <c r="V301" s="11"/>
      <c r="W301" s="11"/>
    </row>
    <row r="302" spans="2:23" ht="30" customHeight="1">
      <c r="B302" s="70">
        <v>291</v>
      </c>
      <c r="C302" s="146" t="s">
        <v>715</v>
      </c>
      <c r="D302" s="71" t="s">
        <v>705</v>
      </c>
      <c r="E302" s="140" t="s">
        <v>64</v>
      </c>
      <c r="F302" s="71" t="s">
        <v>2092</v>
      </c>
      <c r="G302" s="71" t="s">
        <v>2181</v>
      </c>
      <c r="H302" s="71" t="s">
        <v>2030</v>
      </c>
      <c r="S302" s="11"/>
      <c r="T302" s="11"/>
      <c r="U302" s="11"/>
      <c r="V302" s="11"/>
      <c r="W302" s="11"/>
    </row>
    <row r="303" spans="2:23" ht="30" customHeight="1">
      <c r="B303" s="70">
        <v>292</v>
      </c>
      <c r="C303" s="146" t="s">
        <v>716</v>
      </c>
      <c r="D303" s="71" t="s">
        <v>707</v>
      </c>
      <c r="E303" s="140" t="s">
        <v>64</v>
      </c>
      <c r="F303" s="71" t="s">
        <v>2092</v>
      </c>
      <c r="G303" s="71" t="s">
        <v>2181</v>
      </c>
      <c r="H303" s="71" t="s">
        <v>2030</v>
      </c>
      <c r="S303" s="11"/>
      <c r="T303" s="11"/>
      <c r="U303" s="11"/>
      <c r="V303" s="11"/>
      <c r="W303" s="11"/>
    </row>
    <row r="304" spans="2:23" ht="30" customHeight="1">
      <c r="B304" s="70">
        <v>293</v>
      </c>
      <c r="C304" s="146" t="s">
        <v>717</v>
      </c>
      <c r="D304" s="71" t="s">
        <v>718</v>
      </c>
      <c r="E304" s="140" t="s">
        <v>64</v>
      </c>
      <c r="F304" s="71" t="s">
        <v>2092</v>
      </c>
      <c r="G304" s="71" t="s">
        <v>2181</v>
      </c>
      <c r="H304" s="71" t="s">
        <v>2030</v>
      </c>
      <c r="S304" s="11"/>
      <c r="T304" s="11"/>
      <c r="U304" s="11"/>
      <c r="V304" s="11"/>
      <c r="W304" s="11"/>
    </row>
    <row r="305" spans="2:23" ht="30" customHeight="1">
      <c r="B305" s="70">
        <v>294</v>
      </c>
      <c r="C305" s="146" t="s">
        <v>719</v>
      </c>
      <c r="D305" s="71" t="s">
        <v>718</v>
      </c>
      <c r="E305" s="140" t="s">
        <v>64</v>
      </c>
      <c r="F305" s="71" t="s">
        <v>2092</v>
      </c>
      <c r="G305" s="71" t="s">
        <v>2181</v>
      </c>
      <c r="H305" s="71" t="s">
        <v>2030</v>
      </c>
      <c r="S305" s="11"/>
      <c r="T305" s="11"/>
      <c r="U305" s="11"/>
      <c r="V305" s="11"/>
      <c r="W305" s="11"/>
    </row>
    <row r="306" spans="2:23" ht="30" customHeight="1">
      <c r="B306" s="70">
        <v>295</v>
      </c>
      <c r="C306" s="146" t="s">
        <v>720</v>
      </c>
      <c r="D306" s="71" t="s">
        <v>2182</v>
      </c>
      <c r="E306" s="140" t="s">
        <v>64</v>
      </c>
      <c r="F306" s="71" t="s">
        <v>2092</v>
      </c>
      <c r="G306" s="71" t="s">
        <v>2181</v>
      </c>
      <c r="H306" s="71" t="s">
        <v>2030</v>
      </c>
      <c r="S306" s="11"/>
      <c r="T306" s="11"/>
      <c r="U306" s="11"/>
      <c r="V306" s="11"/>
      <c r="W306" s="11"/>
    </row>
    <row r="307" spans="2:23" ht="30" customHeight="1">
      <c r="B307" s="70">
        <v>296</v>
      </c>
      <c r="C307" s="71" t="s">
        <v>721</v>
      </c>
      <c r="D307" s="71" t="s">
        <v>2183</v>
      </c>
      <c r="E307" s="140" t="s">
        <v>64</v>
      </c>
      <c r="F307" s="71" t="s">
        <v>2092</v>
      </c>
      <c r="G307" s="71" t="s">
        <v>2184</v>
      </c>
      <c r="H307" s="71" t="s">
        <v>2031</v>
      </c>
      <c r="S307" s="11"/>
      <c r="T307" s="11"/>
      <c r="U307" s="11"/>
      <c r="V307" s="11"/>
      <c r="W307" s="11"/>
    </row>
    <row r="308" spans="2:23" ht="30" customHeight="1">
      <c r="B308" s="70">
        <v>297</v>
      </c>
      <c r="C308" s="146" t="s">
        <v>722</v>
      </c>
      <c r="D308" s="71" t="s">
        <v>699</v>
      </c>
      <c r="E308" s="140" t="s">
        <v>64</v>
      </c>
      <c r="F308" s="71" t="s">
        <v>2092</v>
      </c>
      <c r="G308" s="71" t="s">
        <v>2184</v>
      </c>
      <c r="H308" s="71" t="s">
        <v>2031</v>
      </c>
      <c r="S308" s="11"/>
      <c r="T308" s="11"/>
      <c r="U308" s="11"/>
      <c r="V308" s="11"/>
      <c r="W308" s="11"/>
    </row>
    <row r="309" spans="2:23" ht="30" customHeight="1">
      <c r="B309" s="70">
        <v>298</v>
      </c>
      <c r="C309" s="146" t="s">
        <v>723</v>
      </c>
      <c r="D309" s="71" t="s">
        <v>701</v>
      </c>
      <c r="E309" s="140" t="s">
        <v>64</v>
      </c>
      <c r="F309" s="71" t="s">
        <v>2092</v>
      </c>
      <c r="G309" s="71" t="s">
        <v>2184</v>
      </c>
      <c r="H309" s="71" t="s">
        <v>2031</v>
      </c>
      <c r="S309" s="11"/>
      <c r="T309" s="11"/>
      <c r="U309" s="11"/>
      <c r="V309" s="11"/>
      <c r="W309" s="11"/>
    </row>
    <row r="310" spans="2:23" ht="30" customHeight="1">
      <c r="B310" s="70">
        <v>299</v>
      </c>
      <c r="C310" s="146" t="s">
        <v>724</v>
      </c>
      <c r="D310" s="71" t="s">
        <v>703</v>
      </c>
      <c r="E310" s="140" t="s">
        <v>64</v>
      </c>
      <c r="F310" s="71" t="s">
        <v>2092</v>
      </c>
      <c r="G310" s="71" t="s">
        <v>2184</v>
      </c>
      <c r="H310" s="71" t="s">
        <v>2031</v>
      </c>
      <c r="S310" s="11"/>
      <c r="T310" s="11"/>
      <c r="U310" s="11"/>
      <c r="V310" s="11"/>
      <c r="W310" s="11"/>
    </row>
    <row r="311" spans="2:23" ht="30" customHeight="1">
      <c r="B311" s="70">
        <v>300</v>
      </c>
      <c r="C311" s="146" t="s">
        <v>725</v>
      </c>
      <c r="D311" s="71" t="s">
        <v>705</v>
      </c>
      <c r="E311" s="140" t="s">
        <v>64</v>
      </c>
      <c r="F311" s="71" t="s">
        <v>2092</v>
      </c>
      <c r="G311" s="71" t="s">
        <v>2184</v>
      </c>
      <c r="H311" s="71" t="s">
        <v>2031</v>
      </c>
      <c r="S311" s="11"/>
      <c r="T311" s="11"/>
      <c r="U311" s="11"/>
      <c r="V311" s="11"/>
      <c r="W311" s="11"/>
    </row>
    <row r="312" spans="2:23" ht="30" customHeight="1">
      <c r="B312" s="70">
        <v>301</v>
      </c>
      <c r="C312" s="146" t="s">
        <v>726</v>
      </c>
      <c r="D312" s="71" t="s">
        <v>707</v>
      </c>
      <c r="E312" s="140" t="s">
        <v>64</v>
      </c>
      <c r="F312" s="71" t="s">
        <v>2092</v>
      </c>
      <c r="G312" s="71" t="s">
        <v>2184</v>
      </c>
      <c r="H312" s="71" t="s">
        <v>2031</v>
      </c>
      <c r="S312" s="11"/>
      <c r="T312" s="11"/>
      <c r="U312" s="11"/>
      <c r="V312" s="11"/>
      <c r="W312" s="11"/>
    </row>
    <row r="313" spans="2:23" ht="30" customHeight="1">
      <c r="B313" s="70">
        <v>302</v>
      </c>
      <c r="C313" s="146" t="s">
        <v>727</v>
      </c>
      <c r="D313" s="71" t="s">
        <v>2032</v>
      </c>
      <c r="E313" s="140" t="s">
        <v>64</v>
      </c>
      <c r="F313" s="71" t="s">
        <v>2092</v>
      </c>
      <c r="G313" s="71" t="s">
        <v>2184</v>
      </c>
      <c r="H313" s="71" t="s">
        <v>2031</v>
      </c>
      <c r="S313" s="11"/>
      <c r="T313" s="11"/>
      <c r="U313" s="11"/>
      <c r="V313" s="11"/>
      <c r="W313" s="11"/>
    </row>
    <row r="314" spans="2:23" ht="30" customHeight="1">
      <c r="B314" s="70">
        <v>303</v>
      </c>
      <c r="C314" s="146" t="s">
        <v>728</v>
      </c>
      <c r="D314" s="71" t="s">
        <v>2033</v>
      </c>
      <c r="E314" s="140" t="s">
        <v>64</v>
      </c>
      <c r="F314" s="71" t="s">
        <v>2092</v>
      </c>
      <c r="G314" s="71" t="s">
        <v>2184</v>
      </c>
      <c r="H314" s="71" t="s">
        <v>2031</v>
      </c>
      <c r="S314" s="11"/>
      <c r="T314" s="11"/>
      <c r="U314" s="11"/>
      <c r="V314" s="11"/>
      <c r="W314" s="11"/>
    </row>
    <row r="315" spans="2:23" ht="30" customHeight="1">
      <c r="B315" s="70">
        <v>304</v>
      </c>
      <c r="C315" s="146" t="s">
        <v>729</v>
      </c>
      <c r="D315" s="71" t="s">
        <v>2185</v>
      </c>
      <c r="E315" s="140" t="s">
        <v>64</v>
      </c>
      <c r="F315" s="71" t="s">
        <v>2092</v>
      </c>
      <c r="G315" s="71" t="s">
        <v>2184</v>
      </c>
      <c r="H315" s="71" t="s">
        <v>2031</v>
      </c>
      <c r="S315" s="11"/>
      <c r="T315" s="11"/>
      <c r="U315" s="11"/>
      <c r="V315" s="11"/>
      <c r="W315" s="11"/>
    </row>
    <row r="316" spans="2:23" ht="30" customHeight="1">
      <c r="B316" s="70">
        <v>305</v>
      </c>
      <c r="C316" s="71" t="s">
        <v>730</v>
      </c>
      <c r="D316" s="71" t="s">
        <v>731</v>
      </c>
      <c r="E316" s="140" t="s">
        <v>64</v>
      </c>
      <c r="F316" s="71" t="s">
        <v>2092</v>
      </c>
      <c r="G316" s="71" t="s">
        <v>2178</v>
      </c>
      <c r="H316" s="71" t="s">
        <v>2027</v>
      </c>
      <c r="S316" s="11"/>
      <c r="T316" s="11"/>
      <c r="U316" s="11"/>
      <c r="V316" s="11"/>
      <c r="W316" s="11"/>
    </row>
    <row r="317" spans="2:23" ht="30" customHeight="1">
      <c r="B317" s="70">
        <v>306</v>
      </c>
      <c r="C317" s="71" t="s">
        <v>732</v>
      </c>
      <c r="D317" s="71" t="s">
        <v>733</v>
      </c>
      <c r="E317" s="140" t="s">
        <v>64</v>
      </c>
      <c r="F317" s="71" t="s">
        <v>2092</v>
      </c>
      <c r="G317" s="71" t="s">
        <v>2178</v>
      </c>
      <c r="H317" s="71" t="s">
        <v>2027</v>
      </c>
      <c r="S317" s="11"/>
      <c r="T317" s="11"/>
      <c r="U317" s="11"/>
      <c r="V317" s="11"/>
      <c r="W317" s="11"/>
    </row>
    <row r="318" spans="2:23" ht="30" customHeight="1">
      <c r="B318" s="70">
        <v>307</v>
      </c>
      <c r="C318" s="71" t="s">
        <v>734</v>
      </c>
      <c r="D318" s="71" t="s">
        <v>735</v>
      </c>
      <c r="E318" s="140" t="s">
        <v>64</v>
      </c>
      <c r="F318" s="71" t="s">
        <v>2092</v>
      </c>
      <c r="G318" s="71" t="s">
        <v>2178</v>
      </c>
      <c r="H318" s="71" t="s">
        <v>2027</v>
      </c>
      <c r="S318" s="11"/>
      <c r="T318" s="11"/>
      <c r="U318" s="11"/>
      <c r="V318" s="11"/>
      <c r="W318" s="11"/>
    </row>
    <row r="319" spans="2:23" ht="30" customHeight="1">
      <c r="B319" s="70">
        <v>308</v>
      </c>
      <c r="C319" s="71" t="s">
        <v>736</v>
      </c>
      <c r="D319" s="71" t="s">
        <v>737</v>
      </c>
      <c r="E319" s="140" t="s">
        <v>64</v>
      </c>
      <c r="F319" s="71" t="s">
        <v>2092</v>
      </c>
      <c r="G319" s="71" t="s">
        <v>2178</v>
      </c>
      <c r="H319" s="71" t="s">
        <v>2027</v>
      </c>
      <c r="S319" s="11"/>
      <c r="T319" s="11"/>
      <c r="U319" s="11"/>
      <c r="V319" s="11"/>
      <c r="W319" s="11"/>
    </row>
    <row r="320" spans="2:23" ht="30" customHeight="1">
      <c r="B320" s="70">
        <v>309</v>
      </c>
      <c r="C320" s="71" t="s">
        <v>738</v>
      </c>
      <c r="D320" s="71" t="s">
        <v>739</v>
      </c>
      <c r="E320" s="140" t="s">
        <v>64</v>
      </c>
      <c r="F320" s="71" t="s">
        <v>2092</v>
      </c>
      <c r="G320" s="71" t="s">
        <v>2178</v>
      </c>
      <c r="H320" s="71" t="s">
        <v>2027</v>
      </c>
      <c r="S320" s="11"/>
      <c r="T320" s="11"/>
      <c r="U320" s="11"/>
      <c r="V320" s="11"/>
      <c r="W320" s="11"/>
    </row>
    <row r="321" spans="2:23" ht="30" customHeight="1">
      <c r="B321" s="70">
        <v>310</v>
      </c>
      <c r="C321" s="71" t="s">
        <v>740</v>
      </c>
      <c r="D321" s="71" t="s">
        <v>741</v>
      </c>
      <c r="E321" s="140" t="s">
        <v>64</v>
      </c>
      <c r="F321" s="71" t="s">
        <v>2092</v>
      </c>
      <c r="G321" s="71" t="s">
        <v>2178</v>
      </c>
      <c r="H321" s="71" t="s">
        <v>2027</v>
      </c>
      <c r="S321" s="11"/>
      <c r="T321" s="11"/>
      <c r="U321" s="11"/>
      <c r="V321" s="11"/>
      <c r="W321" s="11"/>
    </row>
    <row r="322" spans="2:23" ht="30" customHeight="1">
      <c r="B322" s="70">
        <v>311</v>
      </c>
      <c r="C322" s="71" t="s">
        <v>742</v>
      </c>
      <c r="D322" s="71" t="s">
        <v>743</v>
      </c>
      <c r="E322" s="140" t="s">
        <v>64</v>
      </c>
      <c r="F322" s="71" t="s">
        <v>2092</v>
      </c>
      <c r="G322" s="71" t="s">
        <v>2178</v>
      </c>
      <c r="H322" s="71" t="s">
        <v>2027</v>
      </c>
      <c r="S322" s="11"/>
      <c r="T322" s="11"/>
      <c r="U322" s="11"/>
      <c r="V322" s="11"/>
      <c r="W322" s="11"/>
    </row>
    <row r="323" spans="2:23" ht="30" customHeight="1">
      <c r="B323" s="70">
        <v>312</v>
      </c>
      <c r="C323" s="71" t="s">
        <v>744</v>
      </c>
      <c r="D323" s="71" t="s">
        <v>745</v>
      </c>
      <c r="E323" s="140" t="s">
        <v>64</v>
      </c>
      <c r="F323" s="71" t="s">
        <v>2092</v>
      </c>
      <c r="G323" s="71" t="s">
        <v>2178</v>
      </c>
      <c r="H323" s="71" t="s">
        <v>2027</v>
      </c>
      <c r="S323" s="11"/>
      <c r="T323" s="11"/>
      <c r="U323" s="11"/>
      <c r="V323" s="11"/>
      <c r="W323" s="11"/>
    </row>
    <row r="324" spans="2:23" ht="30" customHeight="1">
      <c r="B324" s="70">
        <v>313</v>
      </c>
      <c r="C324" s="71" t="s">
        <v>746</v>
      </c>
      <c r="D324" s="71" t="s">
        <v>747</v>
      </c>
      <c r="E324" s="140" t="s">
        <v>64</v>
      </c>
      <c r="F324" s="71" t="s">
        <v>2092</v>
      </c>
      <c r="G324" s="71" t="s">
        <v>2178</v>
      </c>
      <c r="H324" s="71" t="s">
        <v>2027</v>
      </c>
      <c r="S324" s="11"/>
      <c r="T324" s="11"/>
      <c r="U324" s="11"/>
      <c r="V324" s="11"/>
      <c r="W324" s="11"/>
    </row>
    <row r="325" spans="2:23" ht="30" customHeight="1">
      <c r="B325" s="70">
        <v>314</v>
      </c>
      <c r="C325" s="71" t="s">
        <v>748</v>
      </c>
      <c r="D325" s="71" t="s">
        <v>749</v>
      </c>
      <c r="E325" s="140" t="s">
        <v>64</v>
      </c>
      <c r="F325" s="71" t="s">
        <v>2092</v>
      </c>
      <c r="G325" s="71" t="s">
        <v>2178</v>
      </c>
      <c r="H325" s="71" t="s">
        <v>2027</v>
      </c>
      <c r="S325" s="11"/>
      <c r="T325" s="11"/>
      <c r="U325" s="11"/>
      <c r="V325" s="11"/>
      <c r="W325" s="11"/>
    </row>
    <row r="326" spans="2:23" ht="30" customHeight="1">
      <c r="B326" s="70">
        <v>315</v>
      </c>
      <c r="C326" s="71" t="s">
        <v>750</v>
      </c>
      <c r="D326" s="71" t="s">
        <v>751</v>
      </c>
      <c r="E326" s="140" t="s">
        <v>64</v>
      </c>
      <c r="F326" s="71" t="s">
        <v>2092</v>
      </c>
      <c r="G326" s="71" t="s">
        <v>2181</v>
      </c>
      <c r="H326" s="71" t="s">
        <v>2030</v>
      </c>
      <c r="S326" s="11"/>
      <c r="T326" s="11"/>
      <c r="U326" s="11"/>
      <c r="V326" s="11"/>
      <c r="W326" s="11"/>
    </row>
    <row r="327" spans="2:23" ht="30" customHeight="1">
      <c r="B327" s="70">
        <v>316</v>
      </c>
      <c r="C327" s="71" t="s">
        <v>752</v>
      </c>
      <c r="D327" s="71" t="s">
        <v>753</v>
      </c>
      <c r="E327" s="140" t="s">
        <v>64</v>
      </c>
      <c r="F327" s="71" t="s">
        <v>2092</v>
      </c>
      <c r="G327" s="71" t="s">
        <v>2181</v>
      </c>
      <c r="H327" s="71" t="s">
        <v>2030</v>
      </c>
      <c r="S327" s="11"/>
      <c r="T327" s="11"/>
      <c r="U327" s="11"/>
      <c r="V327" s="11"/>
      <c r="W327" s="11"/>
    </row>
    <row r="328" spans="2:23" ht="30" customHeight="1">
      <c r="B328" s="70">
        <v>317</v>
      </c>
      <c r="C328" s="71" t="s">
        <v>754</v>
      </c>
      <c r="D328" s="71" t="s">
        <v>755</v>
      </c>
      <c r="E328" s="140" t="s">
        <v>64</v>
      </c>
      <c r="F328" s="71" t="s">
        <v>2092</v>
      </c>
      <c r="G328" s="71" t="s">
        <v>2181</v>
      </c>
      <c r="H328" s="71" t="s">
        <v>2030</v>
      </c>
      <c r="S328" s="11"/>
      <c r="T328" s="11"/>
      <c r="U328" s="11"/>
      <c r="V328" s="11"/>
      <c r="W328" s="11"/>
    </row>
    <row r="329" spans="2:23" ht="30" customHeight="1">
      <c r="B329" s="70">
        <v>318</v>
      </c>
      <c r="C329" s="71" t="s">
        <v>756</v>
      </c>
      <c r="D329" s="71" t="s">
        <v>757</v>
      </c>
      <c r="E329" s="140" t="s">
        <v>64</v>
      </c>
      <c r="F329" s="71" t="s">
        <v>2092</v>
      </c>
      <c r="G329" s="71" t="s">
        <v>2181</v>
      </c>
      <c r="H329" s="71" t="s">
        <v>2030</v>
      </c>
      <c r="S329" s="11"/>
      <c r="T329" s="11"/>
      <c r="U329" s="11"/>
      <c r="V329" s="11"/>
      <c r="W329" s="11"/>
    </row>
    <row r="330" spans="2:23" ht="30" customHeight="1">
      <c r="B330" s="70">
        <v>319</v>
      </c>
      <c r="C330" s="71" t="s">
        <v>758</v>
      </c>
      <c r="D330" s="71" t="s">
        <v>759</v>
      </c>
      <c r="E330" s="140" t="s">
        <v>64</v>
      </c>
      <c r="F330" s="71" t="s">
        <v>2092</v>
      </c>
      <c r="G330" s="71" t="s">
        <v>2181</v>
      </c>
      <c r="H330" s="71" t="s">
        <v>2030</v>
      </c>
      <c r="S330" s="11"/>
      <c r="T330" s="11"/>
      <c r="U330" s="11"/>
      <c r="V330" s="11"/>
      <c r="W330" s="11"/>
    </row>
    <row r="331" spans="2:23" ht="30" customHeight="1">
      <c r="B331" s="70">
        <v>320</v>
      </c>
      <c r="C331" s="71" t="s">
        <v>760</v>
      </c>
      <c r="D331" s="71" t="s">
        <v>761</v>
      </c>
      <c r="E331" s="140" t="s">
        <v>64</v>
      </c>
      <c r="F331" s="71" t="s">
        <v>2092</v>
      </c>
      <c r="G331" s="71" t="s">
        <v>2181</v>
      </c>
      <c r="H331" s="71" t="s">
        <v>2030</v>
      </c>
      <c r="S331" s="11"/>
      <c r="T331" s="11"/>
      <c r="U331" s="11"/>
      <c r="V331" s="11"/>
      <c r="W331" s="11"/>
    </row>
    <row r="332" spans="2:23" ht="30" customHeight="1">
      <c r="B332" s="70">
        <v>321</v>
      </c>
      <c r="C332" s="71" t="s">
        <v>762</v>
      </c>
      <c r="D332" s="71" t="s">
        <v>763</v>
      </c>
      <c r="E332" s="140" t="s">
        <v>64</v>
      </c>
      <c r="F332" s="71" t="s">
        <v>2092</v>
      </c>
      <c r="G332" s="71" t="s">
        <v>2181</v>
      </c>
      <c r="H332" s="71" t="s">
        <v>2030</v>
      </c>
      <c r="S332" s="11"/>
      <c r="T332" s="11"/>
      <c r="U332" s="11"/>
      <c r="V332" s="11"/>
      <c r="W332" s="11"/>
    </row>
    <row r="333" spans="2:23" ht="30" customHeight="1">
      <c r="B333" s="70">
        <v>322</v>
      </c>
      <c r="C333" s="71" t="s">
        <v>764</v>
      </c>
      <c r="D333" s="71" t="s">
        <v>765</v>
      </c>
      <c r="E333" s="140" t="s">
        <v>64</v>
      </c>
      <c r="F333" s="71" t="s">
        <v>2092</v>
      </c>
      <c r="G333" s="71" t="s">
        <v>2181</v>
      </c>
      <c r="H333" s="71" t="s">
        <v>2030</v>
      </c>
      <c r="S333" s="11"/>
      <c r="T333" s="11"/>
      <c r="U333" s="11"/>
      <c r="V333" s="11"/>
      <c r="W333" s="11"/>
    </row>
    <row r="334" spans="2:23" ht="30" customHeight="1">
      <c r="B334" s="70">
        <v>323</v>
      </c>
      <c r="C334" s="71" t="s">
        <v>766</v>
      </c>
      <c r="D334" s="71" t="s">
        <v>767</v>
      </c>
      <c r="E334" s="140" t="s">
        <v>64</v>
      </c>
      <c r="F334" s="71" t="s">
        <v>2092</v>
      </c>
      <c r="G334" s="71" t="s">
        <v>2184</v>
      </c>
      <c r="H334" s="71" t="s">
        <v>2031</v>
      </c>
      <c r="S334" s="11"/>
      <c r="T334" s="11"/>
      <c r="U334" s="11"/>
      <c r="V334" s="11"/>
      <c r="W334" s="11"/>
    </row>
    <row r="335" spans="2:23" ht="30" customHeight="1">
      <c r="B335" s="70">
        <v>324</v>
      </c>
      <c r="C335" s="71" t="s">
        <v>768</v>
      </c>
      <c r="D335" s="71" t="s">
        <v>769</v>
      </c>
      <c r="E335" s="140" t="s">
        <v>64</v>
      </c>
      <c r="F335" s="71" t="s">
        <v>2092</v>
      </c>
      <c r="G335" s="71" t="s">
        <v>2184</v>
      </c>
      <c r="H335" s="71" t="s">
        <v>2031</v>
      </c>
      <c r="S335" s="11"/>
      <c r="T335" s="11"/>
      <c r="U335" s="11"/>
      <c r="V335" s="11"/>
      <c r="W335" s="11"/>
    </row>
    <row r="336" spans="2:23" ht="30" customHeight="1">
      <c r="B336" s="70">
        <v>325</v>
      </c>
      <c r="C336" s="71" t="s">
        <v>770</v>
      </c>
      <c r="D336" s="71" t="s">
        <v>771</v>
      </c>
      <c r="E336" s="140" t="s">
        <v>64</v>
      </c>
      <c r="F336" s="71" t="s">
        <v>2092</v>
      </c>
      <c r="G336" s="71" t="s">
        <v>2184</v>
      </c>
      <c r="H336" s="71" t="s">
        <v>2031</v>
      </c>
      <c r="S336" s="11"/>
      <c r="T336" s="11"/>
      <c r="U336" s="11"/>
      <c r="V336" s="11"/>
      <c r="W336" s="11"/>
    </row>
    <row r="337" spans="2:23" ht="30" customHeight="1">
      <c r="B337" s="70">
        <v>326</v>
      </c>
      <c r="C337" s="71" t="s">
        <v>772</v>
      </c>
      <c r="D337" s="71" t="s">
        <v>773</v>
      </c>
      <c r="E337" s="140" t="s">
        <v>64</v>
      </c>
      <c r="F337" s="71" t="s">
        <v>2092</v>
      </c>
      <c r="G337" s="71" t="s">
        <v>2184</v>
      </c>
      <c r="H337" s="71" t="s">
        <v>2031</v>
      </c>
      <c r="S337" s="11"/>
      <c r="T337" s="11"/>
      <c r="U337" s="11"/>
      <c r="V337" s="11"/>
      <c r="W337" s="11"/>
    </row>
    <row r="338" spans="2:23" ht="30" customHeight="1">
      <c r="B338" s="70">
        <v>327</v>
      </c>
      <c r="C338" s="71" t="s">
        <v>774</v>
      </c>
      <c r="D338" s="71" t="s">
        <v>775</v>
      </c>
      <c r="E338" s="140" t="s">
        <v>64</v>
      </c>
      <c r="F338" s="71" t="s">
        <v>2092</v>
      </c>
      <c r="G338" s="71" t="s">
        <v>2184</v>
      </c>
      <c r="H338" s="71" t="s">
        <v>2031</v>
      </c>
      <c r="S338" s="11"/>
      <c r="T338" s="11"/>
      <c r="U338" s="11"/>
      <c r="V338" s="11"/>
      <c r="W338" s="11"/>
    </row>
    <row r="339" spans="2:23" ht="30" customHeight="1">
      <c r="B339" s="70">
        <v>328</v>
      </c>
      <c r="C339" s="71" t="s">
        <v>776</v>
      </c>
      <c r="D339" s="71" t="s">
        <v>777</v>
      </c>
      <c r="E339" s="140" t="s">
        <v>64</v>
      </c>
      <c r="F339" s="71" t="s">
        <v>2092</v>
      </c>
      <c r="G339" s="71" t="s">
        <v>2184</v>
      </c>
      <c r="H339" s="71" t="s">
        <v>2031</v>
      </c>
      <c r="S339" s="11"/>
      <c r="T339" s="11"/>
      <c r="U339" s="11"/>
      <c r="V339" s="11"/>
      <c r="W339" s="11"/>
    </row>
    <row r="340" spans="2:23" ht="30" customHeight="1">
      <c r="B340" s="70">
        <v>329</v>
      </c>
      <c r="C340" s="71" t="s">
        <v>778</v>
      </c>
      <c r="D340" s="71" t="s">
        <v>779</v>
      </c>
      <c r="E340" s="140" t="s">
        <v>64</v>
      </c>
      <c r="F340" s="71" t="s">
        <v>2092</v>
      </c>
      <c r="G340" s="71" t="s">
        <v>2184</v>
      </c>
      <c r="H340" s="71" t="s">
        <v>2031</v>
      </c>
      <c r="S340" s="11"/>
      <c r="T340" s="11"/>
      <c r="U340" s="11"/>
      <c r="V340" s="11"/>
      <c r="W340" s="11"/>
    </row>
    <row r="341" spans="2:23" ht="30" customHeight="1">
      <c r="B341" s="70">
        <v>330</v>
      </c>
      <c r="C341" s="71" t="s">
        <v>780</v>
      </c>
      <c r="D341" s="71" t="s">
        <v>781</v>
      </c>
      <c r="E341" s="140" t="s">
        <v>64</v>
      </c>
      <c r="F341" s="71" t="s">
        <v>2092</v>
      </c>
      <c r="G341" s="71" t="s">
        <v>2184</v>
      </c>
      <c r="H341" s="71" t="s">
        <v>2031</v>
      </c>
      <c r="S341" s="11"/>
      <c r="T341" s="11"/>
      <c r="U341" s="11"/>
      <c r="V341" s="11"/>
      <c r="W341" s="11"/>
    </row>
    <row r="342" spans="2:23" ht="30" customHeight="1">
      <c r="B342" s="70">
        <v>331</v>
      </c>
      <c r="C342" s="71" t="s">
        <v>782</v>
      </c>
      <c r="D342" s="71" t="s">
        <v>783</v>
      </c>
      <c r="E342" s="140" t="s">
        <v>64</v>
      </c>
      <c r="F342" s="71" t="s">
        <v>2092</v>
      </c>
      <c r="G342" s="71" t="s">
        <v>2178</v>
      </c>
      <c r="H342" s="71" t="s">
        <v>2031</v>
      </c>
      <c r="S342" s="11"/>
      <c r="T342" s="11"/>
      <c r="U342" s="11"/>
      <c r="V342" s="11"/>
      <c r="W342" s="11"/>
    </row>
    <row r="343" spans="2:23" ht="30" customHeight="1">
      <c r="B343" s="70">
        <v>332</v>
      </c>
      <c r="C343" s="71" t="s">
        <v>784</v>
      </c>
      <c r="D343" s="71" t="s">
        <v>785</v>
      </c>
      <c r="E343" s="140" t="s">
        <v>64</v>
      </c>
      <c r="F343" s="71" t="s">
        <v>2092</v>
      </c>
      <c r="G343" s="71" t="s">
        <v>2178</v>
      </c>
      <c r="H343" s="71" t="s">
        <v>2031</v>
      </c>
      <c r="S343" s="11"/>
      <c r="T343" s="11"/>
      <c r="U343" s="11"/>
      <c r="V343" s="11"/>
      <c r="W343" s="11"/>
    </row>
    <row r="344" spans="2:23" ht="30" customHeight="1">
      <c r="B344" s="70">
        <v>333</v>
      </c>
      <c r="C344" s="147" t="s">
        <v>786</v>
      </c>
      <c r="D344" s="71" t="s">
        <v>787</v>
      </c>
      <c r="E344" s="140" t="s">
        <v>64</v>
      </c>
      <c r="F344" s="71" t="s">
        <v>2186</v>
      </c>
      <c r="G344" s="71" t="s">
        <v>2034</v>
      </c>
      <c r="H344" s="71" t="s">
        <v>2035</v>
      </c>
      <c r="S344" s="11"/>
      <c r="T344" s="11"/>
      <c r="U344" s="11"/>
      <c r="V344" s="11"/>
      <c r="W344" s="11"/>
    </row>
    <row r="345" spans="2:23" ht="30" customHeight="1">
      <c r="B345" s="70">
        <v>334</v>
      </c>
      <c r="C345" s="147" t="s">
        <v>788</v>
      </c>
      <c r="D345" s="71" t="s">
        <v>789</v>
      </c>
      <c r="E345" s="140" t="s">
        <v>64</v>
      </c>
      <c r="F345" s="71" t="s">
        <v>2186</v>
      </c>
      <c r="G345" s="71" t="s">
        <v>2034</v>
      </c>
      <c r="H345" s="71" t="s">
        <v>2035</v>
      </c>
      <c r="S345" s="11"/>
      <c r="T345" s="11"/>
      <c r="U345" s="11"/>
      <c r="V345" s="11"/>
      <c r="W345" s="11"/>
    </row>
    <row r="346" spans="2:23" ht="30" customHeight="1">
      <c r="B346" s="70">
        <v>335</v>
      </c>
      <c r="C346" s="147" t="s">
        <v>790</v>
      </c>
      <c r="D346" s="71" t="s">
        <v>2187</v>
      </c>
      <c r="E346" s="140" t="s">
        <v>64</v>
      </c>
      <c r="F346" s="71" t="s">
        <v>165</v>
      </c>
      <c r="G346" s="71" t="s">
        <v>2036</v>
      </c>
      <c r="H346" s="71" t="s">
        <v>2037</v>
      </c>
      <c r="S346" s="11"/>
      <c r="T346" s="11"/>
      <c r="U346" s="11"/>
      <c r="V346" s="11"/>
      <c r="W346" s="11"/>
    </row>
    <row r="347" spans="2:23" ht="30" customHeight="1">
      <c r="B347" s="70">
        <v>336</v>
      </c>
      <c r="C347" s="147" t="s">
        <v>791</v>
      </c>
      <c r="D347" s="71" t="s">
        <v>792</v>
      </c>
      <c r="E347" s="140" t="s">
        <v>64</v>
      </c>
      <c r="F347" s="71" t="s">
        <v>165</v>
      </c>
      <c r="G347" s="71" t="s">
        <v>169</v>
      </c>
      <c r="H347" s="71" t="s">
        <v>168</v>
      </c>
      <c r="S347" s="11"/>
      <c r="T347" s="11"/>
      <c r="U347" s="11"/>
      <c r="V347" s="11"/>
      <c r="W347" s="11"/>
    </row>
    <row r="348" spans="2:23" ht="30" customHeight="1">
      <c r="B348" s="70">
        <v>337</v>
      </c>
      <c r="C348" s="147" t="s">
        <v>793</v>
      </c>
      <c r="D348" s="71" t="s">
        <v>794</v>
      </c>
      <c r="E348" s="140" t="s">
        <v>64</v>
      </c>
      <c r="F348" s="71" t="s">
        <v>2089</v>
      </c>
      <c r="G348" s="71" t="s">
        <v>162</v>
      </c>
      <c r="H348" s="71" t="s">
        <v>161</v>
      </c>
      <c r="S348" s="11"/>
      <c r="T348" s="11"/>
      <c r="U348" s="11"/>
      <c r="V348" s="11"/>
      <c r="W348" s="11"/>
    </row>
    <row r="349" spans="2:23" ht="30" customHeight="1">
      <c r="B349" s="70">
        <v>338</v>
      </c>
      <c r="C349" s="147" t="s">
        <v>795</v>
      </c>
      <c r="D349" s="71" t="s">
        <v>796</v>
      </c>
      <c r="E349" s="140" t="s">
        <v>64</v>
      </c>
      <c r="F349" s="71" t="s">
        <v>2089</v>
      </c>
      <c r="G349" s="71" t="s">
        <v>162</v>
      </c>
      <c r="H349" s="71" t="s">
        <v>161</v>
      </c>
      <c r="S349" s="11"/>
      <c r="T349" s="11"/>
      <c r="U349" s="11"/>
      <c r="V349" s="11"/>
      <c r="W349" s="11"/>
    </row>
    <row r="350" spans="2:23" ht="30" customHeight="1">
      <c r="B350" s="70">
        <v>339</v>
      </c>
      <c r="C350" s="71" t="s">
        <v>797</v>
      </c>
      <c r="D350" s="71" t="s">
        <v>2188</v>
      </c>
      <c r="E350" s="140" t="s">
        <v>64</v>
      </c>
      <c r="F350" s="71" t="s">
        <v>165</v>
      </c>
      <c r="G350" s="71" t="s">
        <v>2038</v>
      </c>
      <c r="H350" s="71" t="s">
        <v>166</v>
      </c>
      <c r="S350" s="11"/>
      <c r="T350" s="11"/>
      <c r="U350" s="11"/>
      <c r="V350" s="11"/>
      <c r="W350" s="11"/>
    </row>
    <row r="351" spans="2:23" ht="30" customHeight="1">
      <c r="B351" s="70">
        <v>340</v>
      </c>
      <c r="C351" s="71" t="s">
        <v>798</v>
      </c>
      <c r="D351" s="71" t="s">
        <v>2189</v>
      </c>
      <c r="E351" s="140" t="s">
        <v>64</v>
      </c>
      <c r="F351" s="71" t="s">
        <v>2186</v>
      </c>
      <c r="G351" s="71" t="s">
        <v>2039</v>
      </c>
      <c r="H351" s="71" t="s">
        <v>170</v>
      </c>
      <c r="S351" s="11"/>
      <c r="T351" s="11"/>
      <c r="U351" s="11"/>
      <c r="V351" s="11"/>
      <c r="W351" s="11"/>
    </row>
    <row r="352" spans="2:23" ht="30" customHeight="1">
      <c r="B352" s="70">
        <v>341</v>
      </c>
      <c r="C352" s="71" t="s">
        <v>799</v>
      </c>
      <c r="D352" s="71" t="s">
        <v>2190</v>
      </c>
      <c r="E352" s="140" t="s">
        <v>64</v>
      </c>
      <c r="F352" s="71" t="s">
        <v>2186</v>
      </c>
      <c r="G352" s="71" t="s">
        <v>2039</v>
      </c>
      <c r="H352" s="71" t="s">
        <v>170</v>
      </c>
      <c r="S352" s="11"/>
      <c r="T352" s="11"/>
      <c r="U352" s="11"/>
      <c r="V352" s="11"/>
      <c r="W352" s="11"/>
    </row>
    <row r="353" spans="2:23" ht="30" customHeight="1">
      <c r="B353" s="70">
        <v>342</v>
      </c>
      <c r="C353" s="71" t="s">
        <v>800</v>
      </c>
      <c r="D353" s="71" t="s">
        <v>801</v>
      </c>
      <c r="E353" s="140" t="s">
        <v>64</v>
      </c>
      <c r="F353" s="71" t="s">
        <v>2186</v>
      </c>
      <c r="G353" s="71" t="s">
        <v>2039</v>
      </c>
      <c r="H353" s="71" t="s">
        <v>170</v>
      </c>
      <c r="S353" s="11"/>
      <c r="T353" s="11"/>
      <c r="U353" s="11"/>
      <c r="V353" s="11"/>
      <c r="W353" s="11"/>
    </row>
    <row r="354" spans="2:23" ht="30" customHeight="1">
      <c r="B354" s="70">
        <v>343</v>
      </c>
      <c r="C354" s="71" t="s">
        <v>802</v>
      </c>
      <c r="D354" s="71" t="s">
        <v>2191</v>
      </c>
      <c r="E354" s="140" t="s">
        <v>64</v>
      </c>
      <c r="F354" s="71" t="s">
        <v>2186</v>
      </c>
      <c r="G354" s="71" t="s">
        <v>2040</v>
      </c>
      <c r="H354" s="71" t="s">
        <v>173</v>
      </c>
      <c r="S354" s="11"/>
      <c r="T354" s="11"/>
      <c r="U354" s="11"/>
      <c r="V354" s="11"/>
      <c r="W354" s="11"/>
    </row>
    <row r="355" spans="2:23" ht="30" customHeight="1">
      <c r="B355" s="70">
        <v>344</v>
      </c>
      <c r="C355" s="71" t="s">
        <v>803</v>
      </c>
      <c r="D355" s="71" t="s">
        <v>2192</v>
      </c>
      <c r="E355" s="140" t="s">
        <v>64</v>
      </c>
      <c r="F355" s="71" t="s">
        <v>2186</v>
      </c>
      <c r="G355" s="71" t="s">
        <v>2040</v>
      </c>
      <c r="H355" s="71" t="s">
        <v>173</v>
      </c>
      <c r="S355" s="11"/>
      <c r="T355" s="11"/>
      <c r="U355" s="11"/>
      <c r="V355" s="11"/>
      <c r="W355" s="11"/>
    </row>
    <row r="356" spans="2:23" ht="30" customHeight="1">
      <c r="B356" s="70">
        <v>345</v>
      </c>
      <c r="C356" s="71" t="s">
        <v>804</v>
      </c>
      <c r="D356" s="71" t="s">
        <v>805</v>
      </c>
      <c r="E356" s="140" t="s">
        <v>64</v>
      </c>
      <c r="F356" s="71" t="s">
        <v>2186</v>
      </c>
      <c r="G356" s="71" t="s">
        <v>2040</v>
      </c>
      <c r="H356" s="71" t="s">
        <v>173</v>
      </c>
      <c r="S356" s="11"/>
      <c r="T356" s="11"/>
      <c r="U356" s="11"/>
      <c r="V356" s="11"/>
      <c r="W356" s="11"/>
    </row>
    <row r="357" spans="2:23" ht="30" customHeight="1">
      <c r="B357" s="70">
        <v>346</v>
      </c>
      <c r="C357" s="71" t="s">
        <v>806</v>
      </c>
      <c r="D357" s="71" t="s">
        <v>2193</v>
      </c>
      <c r="E357" s="140" t="s">
        <v>64</v>
      </c>
      <c r="F357" s="71" t="s">
        <v>2186</v>
      </c>
      <c r="G357" s="71" t="s">
        <v>2041</v>
      </c>
      <c r="H357" s="71" t="s">
        <v>175</v>
      </c>
      <c r="S357" s="11"/>
      <c r="T357" s="11"/>
      <c r="U357" s="11"/>
      <c r="V357" s="11"/>
      <c r="W357" s="11"/>
    </row>
    <row r="358" spans="2:23" ht="30" customHeight="1">
      <c r="B358" s="70">
        <v>347</v>
      </c>
      <c r="C358" s="71" t="s">
        <v>807</v>
      </c>
      <c r="D358" s="71" t="s">
        <v>2194</v>
      </c>
      <c r="E358" s="140" t="s">
        <v>64</v>
      </c>
      <c r="F358" s="71" t="s">
        <v>2186</v>
      </c>
      <c r="G358" s="71" t="s">
        <v>2041</v>
      </c>
      <c r="H358" s="71" t="s">
        <v>175</v>
      </c>
      <c r="S358" s="11"/>
      <c r="T358" s="11"/>
      <c r="U358" s="11"/>
      <c r="V358" s="11"/>
      <c r="W358" s="11"/>
    </row>
    <row r="359" spans="2:23" ht="30" customHeight="1">
      <c r="B359" s="70">
        <v>348</v>
      </c>
      <c r="C359" s="71" t="s">
        <v>808</v>
      </c>
      <c r="D359" s="71" t="s">
        <v>809</v>
      </c>
      <c r="E359" s="140" t="s">
        <v>64</v>
      </c>
      <c r="F359" s="71" t="s">
        <v>2186</v>
      </c>
      <c r="G359" s="71" t="s">
        <v>2041</v>
      </c>
      <c r="H359" s="71" t="s">
        <v>175</v>
      </c>
      <c r="S359" s="11"/>
      <c r="T359" s="11"/>
      <c r="U359" s="11"/>
      <c r="V359" s="11"/>
      <c r="W359" s="11"/>
    </row>
    <row r="360" spans="2:23" s="27" customFormat="1" ht="30" customHeight="1">
      <c r="B360" s="70">
        <v>349</v>
      </c>
      <c r="C360" s="70" t="s">
        <v>810</v>
      </c>
      <c r="D360" s="70" t="s">
        <v>811</v>
      </c>
      <c r="E360" s="140" t="s">
        <v>64</v>
      </c>
      <c r="F360" s="71" t="s">
        <v>2092</v>
      </c>
      <c r="G360" s="70" t="s">
        <v>2042</v>
      </c>
      <c r="H360" s="70" t="s">
        <v>2043</v>
      </c>
    </row>
    <row r="361" spans="2:23" s="27" customFormat="1" ht="30" customHeight="1">
      <c r="B361" s="70">
        <v>350</v>
      </c>
      <c r="C361" s="70" t="s">
        <v>812</v>
      </c>
      <c r="D361" s="70" t="s">
        <v>2044</v>
      </c>
      <c r="E361" s="140" t="s">
        <v>64</v>
      </c>
      <c r="F361" s="71" t="s">
        <v>2092</v>
      </c>
      <c r="G361" s="70" t="s">
        <v>2042</v>
      </c>
      <c r="H361" s="70" t="s">
        <v>2045</v>
      </c>
    </row>
    <row r="362" spans="2:23" s="2" customFormat="1" ht="30" customHeight="1">
      <c r="B362" s="70">
        <v>351</v>
      </c>
      <c r="C362" s="71" t="s">
        <v>813</v>
      </c>
      <c r="D362" s="71" t="s">
        <v>814</v>
      </c>
      <c r="E362" s="140" t="s">
        <v>64</v>
      </c>
      <c r="F362" s="71" t="s">
        <v>2092</v>
      </c>
      <c r="G362" s="71" t="s">
        <v>134</v>
      </c>
      <c r="H362" s="71" t="s">
        <v>133</v>
      </c>
    </row>
    <row r="363" spans="2:23" s="2" customFormat="1" ht="30" customHeight="1">
      <c r="B363" s="70">
        <v>352</v>
      </c>
      <c r="C363" s="71" t="s">
        <v>815</v>
      </c>
      <c r="D363" s="71" t="s">
        <v>816</v>
      </c>
      <c r="E363" s="140" t="s">
        <v>64</v>
      </c>
      <c r="F363" s="71" t="s">
        <v>2092</v>
      </c>
      <c r="G363" s="71" t="s">
        <v>134</v>
      </c>
      <c r="H363" s="71" t="s">
        <v>133</v>
      </c>
    </row>
    <row r="364" spans="2:23" s="10" customFormat="1" ht="12.75">
      <c r="B364" s="70">
        <v>353</v>
      </c>
      <c r="C364" s="71" t="s">
        <v>817</v>
      </c>
      <c r="D364" s="71" t="s">
        <v>818</v>
      </c>
      <c r="E364" s="140" t="s">
        <v>64</v>
      </c>
      <c r="F364" s="71" t="s">
        <v>2092</v>
      </c>
      <c r="G364" s="71" t="s">
        <v>136</v>
      </c>
      <c r="H364" s="71" t="s">
        <v>135</v>
      </c>
    </row>
    <row r="365" spans="2:23" s="10" customFormat="1" ht="12.75">
      <c r="B365" s="70">
        <v>354</v>
      </c>
      <c r="C365" s="71" t="s">
        <v>819</v>
      </c>
      <c r="D365" s="71" t="s">
        <v>820</v>
      </c>
      <c r="E365" s="140" t="s">
        <v>64</v>
      </c>
      <c r="F365" s="71" t="s">
        <v>2092</v>
      </c>
      <c r="G365" s="71" t="s">
        <v>136</v>
      </c>
      <c r="H365" s="71" t="s">
        <v>135</v>
      </c>
    </row>
    <row r="366" spans="2:23" s="2" customFormat="1" ht="25.5" customHeight="1">
      <c r="B366" s="70">
        <v>355</v>
      </c>
      <c r="C366" s="71" t="s">
        <v>575</v>
      </c>
      <c r="D366" s="71" t="s">
        <v>821</v>
      </c>
      <c r="E366" s="71" t="s">
        <v>35</v>
      </c>
      <c r="F366" s="71" t="s">
        <v>2138</v>
      </c>
      <c r="G366" s="71" t="s">
        <v>223</v>
      </c>
      <c r="H366" s="71" t="s">
        <v>222</v>
      </c>
    </row>
    <row r="367" spans="2:23" s="2" customFormat="1" ht="25.5" customHeight="1">
      <c r="B367" s="70">
        <v>356</v>
      </c>
      <c r="C367" s="71" t="s">
        <v>822</v>
      </c>
      <c r="D367" s="71" t="s">
        <v>823</v>
      </c>
      <c r="E367" s="71" t="s">
        <v>35</v>
      </c>
      <c r="F367" s="71" t="s">
        <v>2138</v>
      </c>
      <c r="G367" s="71" t="s">
        <v>16</v>
      </c>
      <c r="H367" s="71" t="s">
        <v>210</v>
      </c>
    </row>
    <row r="368" spans="2:23" s="2" customFormat="1" ht="25.5" customHeight="1">
      <c r="B368" s="70">
        <v>357</v>
      </c>
      <c r="C368" s="71" t="s">
        <v>824</v>
      </c>
      <c r="D368" s="71" t="s">
        <v>2195</v>
      </c>
      <c r="E368" s="71" t="s">
        <v>35</v>
      </c>
      <c r="F368" s="71" t="s">
        <v>2139</v>
      </c>
      <c r="G368" s="71" t="s">
        <v>194</v>
      </c>
      <c r="H368" s="71" t="s">
        <v>193</v>
      </c>
    </row>
    <row r="369" spans="2:23" s="2" customFormat="1" ht="25.5" customHeight="1">
      <c r="B369" s="70">
        <v>358</v>
      </c>
      <c r="C369" s="71" t="s">
        <v>825</v>
      </c>
      <c r="D369" s="71" t="s">
        <v>826</v>
      </c>
      <c r="E369" s="71" t="s">
        <v>35</v>
      </c>
      <c r="F369" s="71" t="s">
        <v>227</v>
      </c>
      <c r="G369" s="71" t="s">
        <v>228</v>
      </c>
      <c r="H369" s="71" t="s">
        <v>2020</v>
      </c>
    </row>
    <row r="370" spans="2:23" s="2" customFormat="1" ht="25.5" customHeight="1">
      <c r="B370" s="70">
        <v>359</v>
      </c>
      <c r="C370" s="71" t="s">
        <v>827</v>
      </c>
      <c r="D370" s="71" t="s">
        <v>2196</v>
      </c>
      <c r="E370" s="71" t="s">
        <v>35</v>
      </c>
      <c r="F370" s="71" t="s">
        <v>227</v>
      </c>
      <c r="G370" s="71" t="s">
        <v>228</v>
      </c>
      <c r="H370" s="71" t="s">
        <v>2020</v>
      </c>
    </row>
    <row r="371" spans="2:23" s="2" customFormat="1" ht="25.5" customHeight="1">
      <c r="B371" s="70">
        <v>360</v>
      </c>
      <c r="C371" s="71" t="s">
        <v>828</v>
      </c>
      <c r="D371" s="71" t="s">
        <v>829</v>
      </c>
      <c r="E371" s="71" t="s">
        <v>35</v>
      </c>
      <c r="F371" s="71" t="s">
        <v>227</v>
      </c>
      <c r="G371" s="71" t="s">
        <v>226</v>
      </c>
      <c r="H371" s="71" t="s">
        <v>2019</v>
      </c>
    </row>
    <row r="372" spans="2:23" s="2" customFormat="1" ht="25.5" customHeight="1">
      <c r="B372" s="70">
        <v>361</v>
      </c>
      <c r="C372" s="71" t="s">
        <v>830</v>
      </c>
      <c r="D372" s="71" t="s">
        <v>831</v>
      </c>
      <c r="E372" s="71" t="s">
        <v>35</v>
      </c>
      <c r="F372" s="71" t="s">
        <v>227</v>
      </c>
      <c r="G372" s="71" t="s">
        <v>226</v>
      </c>
      <c r="H372" s="71" t="s">
        <v>2019</v>
      </c>
    </row>
    <row r="373" spans="2:23" s="2" customFormat="1" ht="25.5" customHeight="1">
      <c r="B373" s="70">
        <v>362</v>
      </c>
      <c r="C373" s="71" t="s">
        <v>832</v>
      </c>
      <c r="D373" s="71" t="s">
        <v>2197</v>
      </c>
      <c r="E373" s="71" t="s">
        <v>35</v>
      </c>
      <c r="F373" s="71" t="s">
        <v>227</v>
      </c>
      <c r="G373" s="71" t="s">
        <v>226</v>
      </c>
      <c r="H373" s="71" t="s">
        <v>2019</v>
      </c>
    </row>
    <row r="374" spans="2:23" s="2" customFormat="1" ht="25.5" customHeight="1">
      <c r="B374" s="70">
        <v>363</v>
      </c>
      <c r="C374" s="71" t="s">
        <v>833</v>
      </c>
      <c r="D374" s="71" t="s">
        <v>834</v>
      </c>
      <c r="E374" s="71" t="s">
        <v>35</v>
      </c>
      <c r="F374" s="71" t="s">
        <v>2162</v>
      </c>
      <c r="G374" s="71" t="s">
        <v>238</v>
      </c>
      <c r="H374" s="71" t="s">
        <v>237</v>
      </c>
    </row>
    <row r="375" spans="2:23" s="2" customFormat="1" ht="25.5" customHeight="1">
      <c r="B375" s="70">
        <v>364</v>
      </c>
      <c r="C375" s="71" t="s">
        <v>835</v>
      </c>
      <c r="D375" s="71" t="s">
        <v>2198</v>
      </c>
      <c r="E375" s="71" t="s">
        <v>35</v>
      </c>
      <c r="F375" s="71" t="s">
        <v>2162</v>
      </c>
      <c r="G375" s="71" t="s">
        <v>238</v>
      </c>
      <c r="H375" s="71" t="s">
        <v>237</v>
      </c>
    </row>
    <row r="376" spans="2:23" ht="25.5" customHeight="1">
      <c r="B376" s="70">
        <v>365</v>
      </c>
      <c r="C376" s="71" t="s">
        <v>836</v>
      </c>
      <c r="D376" s="71" t="s">
        <v>837</v>
      </c>
      <c r="E376" s="71" t="s">
        <v>152</v>
      </c>
      <c r="F376" s="71" t="s">
        <v>2162</v>
      </c>
      <c r="G376" s="71" t="s">
        <v>238</v>
      </c>
      <c r="H376" s="71" t="s">
        <v>237</v>
      </c>
      <c r="S376" s="11"/>
      <c r="T376" s="11"/>
      <c r="U376" s="11"/>
      <c r="V376" s="11"/>
      <c r="W376" s="11"/>
    </row>
    <row r="377" spans="2:23" ht="25.5" customHeight="1">
      <c r="B377" s="70">
        <v>366</v>
      </c>
      <c r="C377" s="71" t="s">
        <v>838</v>
      </c>
      <c r="D377" s="71" t="s">
        <v>2199</v>
      </c>
      <c r="E377" s="71" t="s">
        <v>152</v>
      </c>
      <c r="F377" s="71" t="s">
        <v>2162</v>
      </c>
      <c r="G377" s="71" t="s">
        <v>238</v>
      </c>
      <c r="H377" s="71" t="s">
        <v>237</v>
      </c>
      <c r="S377" s="11"/>
      <c r="T377" s="11"/>
      <c r="U377" s="11"/>
      <c r="V377" s="11"/>
      <c r="W377" s="11"/>
    </row>
    <row r="378" spans="2:23" ht="25.5" customHeight="1">
      <c r="B378" s="70">
        <v>367</v>
      </c>
      <c r="C378" s="71" t="s">
        <v>839</v>
      </c>
      <c r="D378" s="71" t="s">
        <v>840</v>
      </c>
      <c r="E378" s="71" t="s">
        <v>152</v>
      </c>
      <c r="F378" s="71" t="s">
        <v>2162</v>
      </c>
      <c r="G378" s="71" t="s">
        <v>238</v>
      </c>
      <c r="H378" s="71" t="s">
        <v>237</v>
      </c>
      <c r="S378" s="11"/>
      <c r="T378" s="11"/>
      <c r="U378" s="11"/>
      <c r="V378" s="11"/>
      <c r="W378" s="11"/>
    </row>
    <row r="379" spans="2:23" ht="25.5" customHeight="1">
      <c r="B379" s="70">
        <v>368</v>
      </c>
      <c r="C379" s="71" t="s">
        <v>841</v>
      </c>
      <c r="D379" s="71" t="s">
        <v>842</v>
      </c>
      <c r="E379" s="71" t="s">
        <v>152</v>
      </c>
      <c r="F379" s="71" t="s">
        <v>2162</v>
      </c>
      <c r="G379" s="71" t="s">
        <v>238</v>
      </c>
      <c r="H379" s="71" t="s">
        <v>237</v>
      </c>
      <c r="S379" s="11"/>
      <c r="T379" s="11"/>
      <c r="U379" s="11"/>
      <c r="V379" s="11"/>
      <c r="W379" s="11"/>
    </row>
    <row r="380" spans="2:23" ht="25.5" customHeight="1">
      <c r="B380" s="70">
        <v>369</v>
      </c>
      <c r="C380" s="71" t="s">
        <v>843</v>
      </c>
      <c r="D380" s="71" t="s">
        <v>844</v>
      </c>
      <c r="E380" s="71" t="s">
        <v>152</v>
      </c>
      <c r="F380" s="71" t="s">
        <v>2162</v>
      </c>
      <c r="G380" s="71" t="s">
        <v>238</v>
      </c>
      <c r="H380" s="71" t="s">
        <v>237</v>
      </c>
      <c r="S380" s="11"/>
      <c r="T380" s="11"/>
      <c r="U380" s="11"/>
      <c r="V380" s="11"/>
      <c r="W380" s="11"/>
    </row>
    <row r="381" spans="2:23" ht="25.5" customHeight="1">
      <c r="B381" s="70">
        <v>370</v>
      </c>
      <c r="C381" s="71" t="s">
        <v>845</v>
      </c>
      <c r="D381" s="71" t="s">
        <v>846</v>
      </c>
      <c r="E381" s="71" t="s">
        <v>152</v>
      </c>
      <c r="F381" s="71" t="s">
        <v>2162</v>
      </c>
      <c r="G381" s="71" t="s">
        <v>238</v>
      </c>
      <c r="H381" s="71" t="s">
        <v>237</v>
      </c>
      <c r="S381" s="11"/>
      <c r="T381" s="11"/>
      <c r="U381" s="11"/>
      <c r="V381" s="11"/>
      <c r="W381" s="11"/>
    </row>
    <row r="382" spans="2:23" ht="25.5" customHeight="1">
      <c r="B382" s="70">
        <v>371</v>
      </c>
      <c r="C382" s="71" t="s">
        <v>847</v>
      </c>
      <c r="D382" s="71" t="s">
        <v>2200</v>
      </c>
      <c r="E382" s="71" t="s">
        <v>152</v>
      </c>
      <c r="F382" s="71" t="s">
        <v>2162</v>
      </c>
      <c r="G382" s="71" t="s">
        <v>238</v>
      </c>
      <c r="H382" s="71" t="s">
        <v>237</v>
      </c>
      <c r="S382" s="11"/>
      <c r="T382" s="11"/>
      <c r="U382" s="11"/>
      <c r="V382" s="11"/>
      <c r="W382" s="11"/>
    </row>
    <row r="383" spans="2:23" ht="25.5" customHeight="1">
      <c r="B383" s="70">
        <v>372</v>
      </c>
      <c r="C383" s="71" t="s">
        <v>848</v>
      </c>
      <c r="D383" s="71" t="s">
        <v>849</v>
      </c>
      <c r="E383" s="71" t="s">
        <v>152</v>
      </c>
      <c r="F383" s="71" t="s">
        <v>2162</v>
      </c>
      <c r="G383" s="71" t="s">
        <v>238</v>
      </c>
      <c r="H383" s="71" t="s">
        <v>237</v>
      </c>
      <c r="S383" s="11"/>
      <c r="T383" s="11"/>
      <c r="U383" s="11"/>
      <c r="V383" s="11"/>
      <c r="W383" s="11"/>
    </row>
    <row r="384" spans="2:23" ht="25.5" customHeight="1">
      <c r="B384" s="70">
        <v>373</v>
      </c>
      <c r="C384" s="71" t="s">
        <v>850</v>
      </c>
      <c r="D384" s="71" t="s">
        <v>849</v>
      </c>
      <c r="E384" s="71" t="s">
        <v>152</v>
      </c>
      <c r="F384" s="71" t="s">
        <v>2162</v>
      </c>
      <c r="G384" s="71" t="s">
        <v>238</v>
      </c>
      <c r="H384" s="71" t="s">
        <v>237</v>
      </c>
      <c r="S384" s="11"/>
      <c r="T384" s="11"/>
      <c r="U384" s="11"/>
      <c r="V384" s="11"/>
      <c r="W384" s="11"/>
    </row>
    <row r="385" spans="2:23" ht="25.5" customHeight="1">
      <c r="B385" s="70">
        <v>374</v>
      </c>
      <c r="C385" s="71" t="s">
        <v>851</v>
      </c>
      <c r="D385" s="71" t="s">
        <v>852</v>
      </c>
      <c r="E385" s="71" t="s">
        <v>152</v>
      </c>
      <c r="F385" s="71" t="s">
        <v>2162</v>
      </c>
      <c r="G385" s="71" t="s">
        <v>238</v>
      </c>
      <c r="H385" s="71" t="s">
        <v>237</v>
      </c>
      <c r="S385" s="11"/>
      <c r="T385" s="11"/>
      <c r="U385" s="11"/>
      <c r="V385" s="11"/>
      <c r="W385" s="11"/>
    </row>
    <row r="386" spans="2:23" ht="25.5" customHeight="1">
      <c r="B386" s="70">
        <v>375</v>
      </c>
      <c r="C386" s="71" t="s">
        <v>853</v>
      </c>
      <c r="D386" s="71" t="s">
        <v>852</v>
      </c>
      <c r="E386" s="71" t="s">
        <v>152</v>
      </c>
      <c r="F386" s="71" t="s">
        <v>2162</v>
      </c>
      <c r="G386" s="71" t="s">
        <v>238</v>
      </c>
      <c r="H386" s="71" t="s">
        <v>237</v>
      </c>
      <c r="S386" s="11"/>
      <c r="T386" s="11"/>
      <c r="U386" s="11"/>
      <c r="V386" s="11"/>
      <c r="W386" s="11"/>
    </row>
    <row r="387" spans="2:23" ht="25.5" customHeight="1">
      <c r="B387" s="70">
        <v>376</v>
      </c>
      <c r="C387" s="71" t="s">
        <v>854</v>
      </c>
      <c r="D387" s="71" t="s">
        <v>855</v>
      </c>
      <c r="E387" s="71" t="s">
        <v>152</v>
      </c>
      <c r="F387" s="71" t="s">
        <v>2162</v>
      </c>
      <c r="G387" s="71" t="s">
        <v>238</v>
      </c>
      <c r="H387" s="71" t="s">
        <v>237</v>
      </c>
      <c r="S387" s="11"/>
      <c r="T387" s="11"/>
      <c r="U387" s="11"/>
      <c r="V387" s="11"/>
      <c r="W387" s="11"/>
    </row>
    <row r="388" spans="2:23" ht="25.5" customHeight="1">
      <c r="B388" s="70">
        <v>377</v>
      </c>
      <c r="C388" s="71" t="s">
        <v>856</v>
      </c>
      <c r="D388" s="71" t="s">
        <v>855</v>
      </c>
      <c r="E388" s="71" t="s">
        <v>152</v>
      </c>
      <c r="F388" s="71" t="s">
        <v>2162</v>
      </c>
      <c r="G388" s="71" t="s">
        <v>238</v>
      </c>
      <c r="H388" s="71" t="s">
        <v>237</v>
      </c>
      <c r="S388" s="11"/>
      <c r="T388" s="11"/>
      <c r="U388" s="11"/>
      <c r="V388" s="11"/>
      <c r="W388" s="11"/>
    </row>
    <row r="389" spans="2:23" ht="25.5" customHeight="1">
      <c r="B389" s="70">
        <v>378</v>
      </c>
      <c r="C389" s="71" t="s">
        <v>857</v>
      </c>
      <c r="D389" s="71" t="s">
        <v>858</v>
      </c>
      <c r="E389" s="71" t="s">
        <v>152</v>
      </c>
      <c r="F389" s="71" t="s">
        <v>2162</v>
      </c>
      <c r="G389" s="71" t="s">
        <v>238</v>
      </c>
      <c r="H389" s="71" t="s">
        <v>237</v>
      </c>
      <c r="S389" s="11"/>
      <c r="T389" s="11"/>
      <c r="U389" s="11"/>
      <c r="V389" s="11"/>
      <c r="W389" s="11"/>
    </row>
    <row r="390" spans="2:23" ht="25.5" customHeight="1">
      <c r="B390" s="70">
        <v>379</v>
      </c>
      <c r="C390" s="71" t="s">
        <v>859</v>
      </c>
      <c r="D390" s="71" t="s">
        <v>858</v>
      </c>
      <c r="E390" s="71" t="s">
        <v>152</v>
      </c>
      <c r="F390" s="71" t="s">
        <v>2162</v>
      </c>
      <c r="G390" s="71" t="s">
        <v>238</v>
      </c>
      <c r="H390" s="71" t="s">
        <v>237</v>
      </c>
      <c r="S390" s="11"/>
      <c r="T390" s="11"/>
      <c r="U390" s="11"/>
      <c r="V390" s="11"/>
      <c r="W390" s="11"/>
    </row>
    <row r="391" spans="2:23" ht="25.5" customHeight="1">
      <c r="B391" s="70">
        <v>380</v>
      </c>
      <c r="C391" s="71" t="s">
        <v>860</v>
      </c>
      <c r="D391" s="71" t="s">
        <v>861</v>
      </c>
      <c r="E391" s="71" t="s">
        <v>152</v>
      </c>
      <c r="F391" s="71" t="s">
        <v>2162</v>
      </c>
      <c r="G391" s="71" t="s">
        <v>238</v>
      </c>
      <c r="H391" s="71" t="s">
        <v>237</v>
      </c>
      <c r="S391" s="11"/>
      <c r="T391" s="11"/>
      <c r="U391" s="11"/>
      <c r="V391" s="11"/>
      <c r="W391" s="11"/>
    </row>
    <row r="392" spans="2:23" ht="25.5" customHeight="1">
      <c r="B392" s="70">
        <v>381</v>
      </c>
      <c r="C392" s="71" t="s">
        <v>862</v>
      </c>
      <c r="D392" s="71" t="s">
        <v>861</v>
      </c>
      <c r="E392" s="71" t="s">
        <v>152</v>
      </c>
      <c r="F392" s="71" t="s">
        <v>2162</v>
      </c>
      <c r="G392" s="71" t="s">
        <v>238</v>
      </c>
      <c r="H392" s="71" t="s">
        <v>237</v>
      </c>
      <c r="S392" s="11"/>
      <c r="T392" s="11"/>
      <c r="U392" s="11"/>
      <c r="V392" s="11"/>
      <c r="W392" s="11"/>
    </row>
    <row r="393" spans="2:23" ht="25.5" customHeight="1">
      <c r="B393" s="70">
        <v>382</v>
      </c>
      <c r="C393" s="71" t="s">
        <v>863</v>
      </c>
      <c r="D393" s="71" t="s">
        <v>864</v>
      </c>
      <c r="E393" s="71" t="s">
        <v>152</v>
      </c>
      <c r="F393" s="71" t="s">
        <v>2162</v>
      </c>
      <c r="G393" s="71" t="s">
        <v>238</v>
      </c>
      <c r="H393" s="71" t="s">
        <v>237</v>
      </c>
      <c r="S393" s="11"/>
      <c r="T393" s="11"/>
      <c r="U393" s="11"/>
      <c r="V393" s="11"/>
      <c r="W393" s="11"/>
    </row>
    <row r="394" spans="2:23" ht="25.5" customHeight="1">
      <c r="B394" s="70">
        <v>383</v>
      </c>
      <c r="C394" s="71" t="s">
        <v>865</v>
      </c>
      <c r="D394" s="71" t="s">
        <v>864</v>
      </c>
      <c r="E394" s="71" t="s">
        <v>152</v>
      </c>
      <c r="F394" s="71" t="s">
        <v>2162</v>
      </c>
      <c r="G394" s="71" t="s">
        <v>238</v>
      </c>
      <c r="H394" s="71" t="s">
        <v>237</v>
      </c>
      <c r="S394" s="11"/>
      <c r="T394" s="11"/>
      <c r="U394" s="11"/>
      <c r="V394" s="11"/>
      <c r="W394" s="11"/>
    </row>
    <row r="395" spans="2:23" ht="25.5" customHeight="1">
      <c r="B395" s="70">
        <v>384</v>
      </c>
      <c r="C395" s="71" t="s">
        <v>866</v>
      </c>
      <c r="D395" s="71" t="s">
        <v>867</v>
      </c>
      <c r="E395" s="71" t="s">
        <v>152</v>
      </c>
      <c r="F395" s="71" t="s">
        <v>2162</v>
      </c>
      <c r="G395" s="71" t="s">
        <v>238</v>
      </c>
      <c r="H395" s="71" t="s">
        <v>237</v>
      </c>
      <c r="S395" s="11"/>
      <c r="T395" s="11"/>
      <c r="U395" s="11"/>
      <c r="V395" s="11"/>
      <c r="W395" s="11"/>
    </row>
    <row r="396" spans="2:23" ht="25.5" customHeight="1">
      <c r="B396" s="70">
        <v>385</v>
      </c>
      <c r="C396" s="71" t="s">
        <v>868</v>
      </c>
      <c r="D396" s="71" t="s">
        <v>867</v>
      </c>
      <c r="E396" s="71" t="s">
        <v>152</v>
      </c>
      <c r="F396" s="71" t="s">
        <v>2162</v>
      </c>
      <c r="G396" s="71" t="s">
        <v>238</v>
      </c>
      <c r="H396" s="71" t="s">
        <v>237</v>
      </c>
      <c r="S396" s="11"/>
      <c r="T396" s="11"/>
      <c r="U396" s="11"/>
      <c r="V396" s="11"/>
      <c r="W396" s="11"/>
    </row>
    <row r="397" spans="2:23" ht="25.5" customHeight="1">
      <c r="B397" s="70">
        <v>386</v>
      </c>
      <c r="C397" s="71" t="s">
        <v>869</v>
      </c>
      <c r="D397" s="71" t="s">
        <v>870</v>
      </c>
      <c r="E397" s="71" t="s">
        <v>152</v>
      </c>
      <c r="F397" s="71" t="s">
        <v>2162</v>
      </c>
      <c r="G397" s="71" t="s">
        <v>238</v>
      </c>
      <c r="H397" s="71" t="s">
        <v>237</v>
      </c>
      <c r="S397" s="11"/>
      <c r="T397" s="11"/>
      <c r="U397" s="11"/>
      <c r="V397" s="11"/>
      <c r="W397" s="11"/>
    </row>
    <row r="398" spans="2:23" ht="25.5" customHeight="1">
      <c r="B398" s="70">
        <v>387</v>
      </c>
      <c r="C398" s="71" t="s">
        <v>871</v>
      </c>
      <c r="D398" s="71" t="s">
        <v>870</v>
      </c>
      <c r="E398" s="71" t="s">
        <v>152</v>
      </c>
      <c r="F398" s="71" t="s">
        <v>2162</v>
      </c>
      <c r="G398" s="71" t="s">
        <v>238</v>
      </c>
      <c r="H398" s="71" t="s">
        <v>237</v>
      </c>
      <c r="S398" s="11"/>
      <c r="T398" s="11"/>
      <c r="U398" s="11"/>
      <c r="V398" s="11"/>
      <c r="W398" s="11"/>
    </row>
    <row r="399" spans="2:23" ht="25.5" customHeight="1">
      <c r="B399" s="70">
        <v>388</v>
      </c>
      <c r="C399" s="71" t="s">
        <v>872</v>
      </c>
      <c r="D399" s="71" t="s">
        <v>873</v>
      </c>
      <c r="E399" s="71" t="s">
        <v>152</v>
      </c>
      <c r="F399" s="71" t="s">
        <v>2162</v>
      </c>
      <c r="G399" s="71" t="s">
        <v>238</v>
      </c>
      <c r="H399" s="71" t="s">
        <v>237</v>
      </c>
      <c r="S399" s="11"/>
      <c r="T399" s="11"/>
      <c r="U399" s="11"/>
      <c r="V399" s="11"/>
      <c r="W399" s="11"/>
    </row>
    <row r="400" spans="2:23" ht="25.5" customHeight="1">
      <c r="B400" s="70">
        <v>389</v>
      </c>
      <c r="C400" s="71" t="s">
        <v>874</v>
      </c>
      <c r="D400" s="71" t="s">
        <v>873</v>
      </c>
      <c r="E400" s="71" t="s">
        <v>152</v>
      </c>
      <c r="F400" s="71" t="s">
        <v>2162</v>
      </c>
      <c r="G400" s="71" t="s">
        <v>238</v>
      </c>
      <c r="H400" s="71" t="s">
        <v>237</v>
      </c>
      <c r="S400" s="11"/>
      <c r="T400" s="11"/>
      <c r="U400" s="11"/>
      <c r="V400" s="11"/>
      <c r="W400" s="11"/>
    </row>
    <row r="401" spans="2:23" ht="25.5" customHeight="1">
      <c r="B401" s="70">
        <v>390</v>
      </c>
      <c r="C401" s="71" t="s">
        <v>875</v>
      </c>
      <c r="D401" s="71" t="s">
        <v>2201</v>
      </c>
      <c r="E401" s="140" t="s">
        <v>24</v>
      </c>
      <c r="F401" s="71" t="s">
        <v>2110</v>
      </c>
      <c r="G401" s="71" t="s">
        <v>1953</v>
      </c>
      <c r="H401" s="71" t="s">
        <v>192</v>
      </c>
      <c r="S401" s="11"/>
      <c r="T401" s="11"/>
      <c r="U401" s="11"/>
      <c r="V401" s="11"/>
      <c r="W401" s="11"/>
    </row>
    <row r="402" spans="2:23" ht="25.5" customHeight="1">
      <c r="B402" s="70">
        <v>391</v>
      </c>
      <c r="C402" s="71" t="s">
        <v>876</v>
      </c>
      <c r="D402" s="71" t="s">
        <v>2202</v>
      </c>
      <c r="E402" s="140" t="s">
        <v>24</v>
      </c>
      <c r="F402" s="71" t="s">
        <v>20</v>
      </c>
      <c r="G402" s="71" t="s">
        <v>1960</v>
      </c>
      <c r="H402" s="71" t="s">
        <v>41</v>
      </c>
      <c r="S402" s="11"/>
      <c r="T402" s="11"/>
      <c r="U402" s="11"/>
      <c r="V402" s="11"/>
      <c r="W402" s="11"/>
    </row>
    <row r="403" spans="2:23" ht="25.5" customHeight="1">
      <c r="B403" s="70">
        <v>392</v>
      </c>
      <c r="C403" s="71" t="s">
        <v>877</v>
      </c>
      <c r="D403" s="71" t="s">
        <v>2203</v>
      </c>
      <c r="E403" s="140" t="s">
        <v>24</v>
      </c>
      <c r="F403" s="71" t="s">
        <v>20</v>
      </c>
      <c r="G403" s="71" t="s">
        <v>1962</v>
      </c>
      <c r="H403" s="71" t="s">
        <v>43</v>
      </c>
      <c r="S403" s="11"/>
      <c r="T403" s="11"/>
      <c r="U403" s="11"/>
      <c r="V403" s="11"/>
      <c r="W403" s="11"/>
    </row>
    <row r="404" spans="2:23" ht="25.5" customHeight="1">
      <c r="B404" s="70">
        <v>393</v>
      </c>
      <c r="C404" s="71" t="s">
        <v>878</v>
      </c>
      <c r="D404" s="71" t="s">
        <v>2204</v>
      </c>
      <c r="E404" s="140" t="s">
        <v>24</v>
      </c>
      <c r="F404" s="71" t="s">
        <v>20</v>
      </c>
      <c r="G404" s="71" t="s">
        <v>1963</v>
      </c>
      <c r="H404" s="71" t="s">
        <v>45</v>
      </c>
      <c r="S404" s="11"/>
      <c r="T404" s="11"/>
      <c r="U404" s="11"/>
      <c r="V404" s="11"/>
      <c r="W404" s="11"/>
    </row>
    <row r="405" spans="2:23" ht="25.5" customHeight="1">
      <c r="B405" s="70">
        <v>394</v>
      </c>
      <c r="C405" s="71" t="s">
        <v>879</v>
      </c>
      <c r="D405" s="71" t="s">
        <v>2205</v>
      </c>
      <c r="E405" s="140" t="s">
        <v>24</v>
      </c>
      <c r="F405" s="71" t="s">
        <v>20</v>
      </c>
      <c r="G405" s="71" t="s">
        <v>1964</v>
      </c>
      <c r="H405" s="71" t="s">
        <v>47</v>
      </c>
      <c r="S405" s="11"/>
      <c r="T405" s="11"/>
      <c r="U405" s="11"/>
      <c r="V405" s="11"/>
      <c r="W405" s="11"/>
    </row>
    <row r="406" spans="2:23" ht="25.5" customHeight="1">
      <c r="B406" s="70">
        <v>395</v>
      </c>
      <c r="C406" s="71" t="s">
        <v>880</v>
      </c>
      <c r="D406" s="71" t="s">
        <v>2206</v>
      </c>
      <c r="E406" s="140" t="s">
        <v>24</v>
      </c>
      <c r="F406" s="71" t="s">
        <v>20</v>
      </c>
      <c r="G406" s="71" t="s">
        <v>1965</v>
      </c>
      <c r="H406" s="71" t="s">
        <v>49</v>
      </c>
      <c r="S406" s="11"/>
      <c r="T406" s="11"/>
      <c r="U406" s="11"/>
      <c r="V406" s="11"/>
      <c r="W406" s="11"/>
    </row>
    <row r="407" spans="2:23" ht="25.5" customHeight="1">
      <c r="B407" s="70">
        <v>396</v>
      </c>
      <c r="C407" s="71" t="s">
        <v>881</v>
      </c>
      <c r="D407" s="71" t="s">
        <v>2207</v>
      </c>
      <c r="E407" s="140" t="s">
        <v>24</v>
      </c>
      <c r="F407" s="71" t="s">
        <v>20</v>
      </c>
      <c r="G407" s="71" t="s">
        <v>1966</v>
      </c>
      <c r="H407" s="71" t="s">
        <v>51</v>
      </c>
      <c r="S407" s="11"/>
      <c r="T407" s="11"/>
      <c r="U407" s="11"/>
      <c r="V407" s="11"/>
      <c r="W407" s="11"/>
    </row>
    <row r="408" spans="2:23" ht="25.5" customHeight="1">
      <c r="B408" s="70">
        <v>397</v>
      </c>
      <c r="C408" s="71" t="s">
        <v>882</v>
      </c>
      <c r="D408" s="71" t="s">
        <v>2208</v>
      </c>
      <c r="E408" s="140" t="s">
        <v>64</v>
      </c>
      <c r="F408" s="71" t="s">
        <v>85</v>
      </c>
      <c r="G408" s="71" t="s">
        <v>67</v>
      </c>
      <c r="H408" s="71" t="s">
        <v>1972</v>
      </c>
      <c r="S408" s="11"/>
      <c r="T408" s="11"/>
      <c r="U408" s="11"/>
      <c r="V408" s="11"/>
      <c r="W408" s="11"/>
    </row>
    <row r="409" spans="2:23" ht="25.5" customHeight="1">
      <c r="B409" s="70">
        <v>398</v>
      </c>
      <c r="C409" s="71" t="s">
        <v>883</v>
      </c>
      <c r="D409" s="71" t="s">
        <v>2209</v>
      </c>
      <c r="E409" s="140" t="s">
        <v>64</v>
      </c>
      <c r="F409" s="71" t="s">
        <v>85</v>
      </c>
      <c r="G409" s="71" t="s">
        <v>69</v>
      </c>
      <c r="H409" s="71" t="s">
        <v>1974</v>
      </c>
      <c r="S409" s="11"/>
      <c r="T409" s="11"/>
      <c r="U409" s="11"/>
      <c r="V409" s="11"/>
      <c r="W409" s="11"/>
    </row>
    <row r="410" spans="2:23" ht="25.5" customHeight="1">
      <c r="B410" s="70">
        <v>399</v>
      </c>
      <c r="C410" s="71" t="s">
        <v>884</v>
      </c>
      <c r="D410" s="71" t="s">
        <v>2210</v>
      </c>
      <c r="E410" s="140" t="s">
        <v>64</v>
      </c>
      <c r="F410" s="71" t="s">
        <v>70</v>
      </c>
      <c r="G410" s="71" t="s">
        <v>1967</v>
      </c>
      <c r="H410" s="71" t="s">
        <v>1971</v>
      </c>
      <c r="S410" s="11"/>
      <c r="T410" s="11"/>
      <c r="U410" s="11"/>
      <c r="V410" s="11"/>
      <c r="W410" s="11"/>
    </row>
    <row r="411" spans="2:23" ht="25.5" customHeight="1">
      <c r="B411" s="70">
        <v>400</v>
      </c>
      <c r="C411" s="71" t="s">
        <v>885</v>
      </c>
      <c r="D411" s="71" t="s">
        <v>2211</v>
      </c>
      <c r="E411" s="140" t="s">
        <v>64</v>
      </c>
      <c r="F411" s="71" t="s">
        <v>2108</v>
      </c>
      <c r="G411" s="71" t="s">
        <v>105</v>
      </c>
      <c r="H411" s="71" t="s">
        <v>104</v>
      </c>
      <c r="S411" s="11"/>
      <c r="T411" s="11"/>
      <c r="U411" s="11"/>
      <c r="V411" s="11"/>
      <c r="W411" s="11"/>
    </row>
    <row r="412" spans="2:23" ht="25.5" customHeight="1">
      <c r="B412" s="70">
        <v>401</v>
      </c>
      <c r="C412" s="71" t="s">
        <v>886</v>
      </c>
      <c r="D412" s="71" t="s">
        <v>887</v>
      </c>
      <c r="E412" s="71" t="s">
        <v>152</v>
      </c>
      <c r="F412" s="71" t="s">
        <v>2162</v>
      </c>
      <c r="G412" s="71" t="s">
        <v>241</v>
      </c>
      <c r="H412" s="71" t="s">
        <v>240</v>
      </c>
      <c r="S412" s="11"/>
      <c r="T412" s="11"/>
      <c r="U412" s="11"/>
      <c r="V412" s="11"/>
      <c r="W412" s="11"/>
    </row>
    <row r="413" spans="2:23" ht="25.5" customHeight="1">
      <c r="B413" s="70">
        <v>402</v>
      </c>
      <c r="C413" s="70" t="s">
        <v>888</v>
      </c>
      <c r="D413" s="71" t="s">
        <v>889</v>
      </c>
      <c r="E413" s="71" t="s">
        <v>152</v>
      </c>
      <c r="F413" s="71" t="s">
        <v>2162</v>
      </c>
      <c r="G413" s="71" t="s">
        <v>241</v>
      </c>
      <c r="H413" s="71" t="s">
        <v>240</v>
      </c>
      <c r="S413" s="11"/>
      <c r="T413" s="11"/>
      <c r="U413" s="11"/>
      <c r="V413" s="11"/>
      <c r="W413" s="11"/>
    </row>
    <row r="414" spans="2:23" ht="25.5" customHeight="1">
      <c r="B414" s="70">
        <v>403</v>
      </c>
      <c r="C414" s="70" t="s">
        <v>890</v>
      </c>
      <c r="D414" s="71" t="s">
        <v>891</v>
      </c>
      <c r="E414" s="71" t="s">
        <v>152</v>
      </c>
      <c r="F414" s="71" t="s">
        <v>2162</v>
      </c>
      <c r="G414" s="71" t="s">
        <v>241</v>
      </c>
      <c r="H414" s="71" t="s">
        <v>240</v>
      </c>
      <c r="S414" s="11"/>
      <c r="T414" s="11"/>
      <c r="U414" s="11"/>
      <c r="V414" s="11"/>
      <c r="W414" s="11"/>
    </row>
    <row r="415" spans="2:23" ht="25.5" customHeight="1">
      <c r="B415" s="70">
        <v>404</v>
      </c>
      <c r="C415" s="70" t="s">
        <v>892</v>
      </c>
      <c r="D415" s="71" t="s">
        <v>893</v>
      </c>
      <c r="E415" s="71" t="s">
        <v>152</v>
      </c>
      <c r="F415" s="71" t="s">
        <v>2162</v>
      </c>
      <c r="G415" s="71" t="s">
        <v>241</v>
      </c>
      <c r="H415" s="71" t="s">
        <v>240</v>
      </c>
      <c r="S415" s="11"/>
      <c r="T415" s="11"/>
      <c r="U415" s="11"/>
      <c r="V415" s="11"/>
      <c r="W415" s="11"/>
    </row>
    <row r="416" spans="2:23" ht="25.5" customHeight="1">
      <c r="B416" s="70">
        <v>405</v>
      </c>
      <c r="C416" s="70" t="s">
        <v>894</v>
      </c>
      <c r="D416" s="71" t="s">
        <v>895</v>
      </c>
      <c r="E416" s="71" t="s">
        <v>152</v>
      </c>
      <c r="F416" s="71" t="s">
        <v>2162</v>
      </c>
      <c r="G416" s="71" t="s">
        <v>241</v>
      </c>
      <c r="H416" s="71" t="s">
        <v>240</v>
      </c>
      <c r="S416" s="11"/>
      <c r="T416" s="11"/>
      <c r="U416" s="11"/>
      <c r="V416" s="11"/>
      <c r="W416" s="11"/>
    </row>
    <row r="417" spans="2:23" ht="25.5" customHeight="1">
      <c r="B417" s="70">
        <v>406</v>
      </c>
      <c r="C417" s="70" t="s">
        <v>896</v>
      </c>
      <c r="D417" s="71" t="s">
        <v>897</v>
      </c>
      <c r="E417" s="71" t="s">
        <v>152</v>
      </c>
      <c r="F417" s="71" t="s">
        <v>2162</v>
      </c>
      <c r="G417" s="71" t="s">
        <v>241</v>
      </c>
      <c r="H417" s="71" t="s">
        <v>240</v>
      </c>
      <c r="S417" s="11"/>
      <c r="T417" s="11"/>
      <c r="U417" s="11"/>
      <c r="V417" s="11"/>
      <c r="W417" s="11"/>
    </row>
    <row r="418" spans="2:23" ht="25.5" customHeight="1">
      <c r="B418" s="70">
        <v>407</v>
      </c>
      <c r="C418" s="70" t="s">
        <v>898</v>
      </c>
      <c r="D418" s="71" t="s">
        <v>899</v>
      </c>
      <c r="E418" s="71" t="s">
        <v>152</v>
      </c>
      <c r="F418" s="71" t="s">
        <v>2162</v>
      </c>
      <c r="G418" s="71" t="s">
        <v>241</v>
      </c>
      <c r="H418" s="71" t="s">
        <v>240</v>
      </c>
      <c r="S418" s="11"/>
      <c r="T418" s="11"/>
      <c r="U418" s="11"/>
      <c r="V418" s="11"/>
      <c r="W418" s="11"/>
    </row>
    <row r="419" spans="2:23" ht="25.5" customHeight="1">
      <c r="B419" s="70">
        <v>408</v>
      </c>
      <c r="C419" s="70" t="s">
        <v>900</v>
      </c>
      <c r="D419" s="71" t="s">
        <v>901</v>
      </c>
      <c r="E419" s="71" t="s">
        <v>152</v>
      </c>
      <c r="F419" s="71" t="s">
        <v>2162</v>
      </c>
      <c r="G419" s="71" t="s">
        <v>241</v>
      </c>
      <c r="H419" s="71" t="s">
        <v>240</v>
      </c>
      <c r="S419" s="11"/>
      <c r="T419" s="11"/>
      <c r="U419" s="11"/>
      <c r="V419" s="11"/>
      <c r="W419" s="11"/>
    </row>
    <row r="420" spans="2:23" ht="25.5" customHeight="1">
      <c r="B420" s="70">
        <v>409</v>
      </c>
      <c r="C420" s="70" t="s">
        <v>902</v>
      </c>
      <c r="D420" s="70" t="s">
        <v>903</v>
      </c>
      <c r="E420" s="71" t="s">
        <v>152</v>
      </c>
      <c r="F420" s="71" t="s">
        <v>2162</v>
      </c>
      <c r="G420" s="71" t="s">
        <v>241</v>
      </c>
      <c r="H420" s="71" t="s">
        <v>240</v>
      </c>
      <c r="S420" s="11"/>
      <c r="T420" s="11"/>
      <c r="U420" s="11"/>
      <c r="V420" s="11"/>
      <c r="W420" s="11"/>
    </row>
    <row r="421" spans="2:23" ht="25.5" customHeight="1">
      <c r="B421" s="70">
        <v>410</v>
      </c>
      <c r="C421" s="70" t="s">
        <v>904</v>
      </c>
      <c r="D421" s="70" t="s">
        <v>2212</v>
      </c>
      <c r="E421" s="71" t="s">
        <v>152</v>
      </c>
      <c r="F421" s="71" t="s">
        <v>2162</v>
      </c>
      <c r="G421" s="71" t="s">
        <v>241</v>
      </c>
      <c r="H421" s="71" t="s">
        <v>240</v>
      </c>
      <c r="S421" s="11"/>
      <c r="T421" s="11"/>
      <c r="U421" s="11"/>
      <c r="V421" s="11"/>
      <c r="W421" s="11"/>
    </row>
    <row r="422" spans="2:23" ht="25.5" customHeight="1">
      <c r="B422" s="70">
        <v>411</v>
      </c>
      <c r="C422" s="70" t="s">
        <v>905</v>
      </c>
      <c r="D422" s="70" t="s">
        <v>906</v>
      </c>
      <c r="E422" s="71" t="s">
        <v>152</v>
      </c>
      <c r="F422" s="71" t="s">
        <v>2162</v>
      </c>
      <c r="G422" s="71" t="s">
        <v>241</v>
      </c>
      <c r="H422" s="71" t="s">
        <v>240</v>
      </c>
      <c r="S422" s="11"/>
      <c r="T422" s="11"/>
      <c r="U422" s="11"/>
      <c r="V422" s="11"/>
      <c r="W422" s="11"/>
    </row>
    <row r="423" spans="2:23" ht="25.5" customHeight="1">
      <c r="B423" s="70">
        <v>412</v>
      </c>
      <c r="C423" s="70" t="s">
        <v>907</v>
      </c>
      <c r="D423" s="70" t="s">
        <v>908</v>
      </c>
      <c r="E423" s="71" t="s">
        <v>152</v>
      </c>
      <c r="F423" s="71" t="s">
        <v>2162</v>
      </c>
      <c r="G423" s="71" t="s">
        <v>241</v>
      </c>
      <c r="H423" s="71" t="s">
        <v>240</v>
      </c>
      <c r="S423" s="11"/>
      <c r="T423" s="11"/>
      <c r="U423" s="11"/>
      <c r="V423" s="11"/>
      <c r="W423" s="11"/>
    </row>
    <row r="424" spans="2:23" ht="25.5" customHeight="1">
      <c r="B424" s="70">
        <v>413</v>
      </c>
      <c r="C424" s="70" t="s">
        <v>909</v>
      </c>
      <c r="D424" s="70" t="s">
        <v>910</v>
      </c>
      <c r="E424" s="71" t="s">
        <v>152</v>
      </c>
      <c r="F424" s="71" t="s">
        <v>2162</v>
      </c>
      <c r="G424" s="71" t="s">
        <v>241</v>
      </c>
      <c r="H424" s="71" t="s">
        <v>240</v>
      </c>
      <c r="S424" s="11"/>
      <c r="T424" s="11"/>
      <c r="U424" s="11"/>
      <c r="V424" s="11"/>
      <c r="W424" s="11"/>
    </row>
    <row r="425" spans="2:23" ht="25.5" customHeight="1">
      <c r="B425" s="70">
        <v>414</v>
      </c>
      <c r="C425" s="70" t="s">
        <v>911</v>
      </c>
      <c r="D425" s="70" t="s">
        <v>912</v>
      </c>
      <c r="E425" s="71" t="s">
        <v>152</v>
      </c>
      <c r="F425" s="71" t="s">
        <v>2162</v>
      </c>
      <c r="G425" s="71" t="s">
        <v>241</v>
      </c>
      <c r="H425" s="71" t="s">
        <v>240</v>
      </c>
      <c r="S425" s="11"/>
      <c r="T425" s="11"/>
      <c r="U425" s="11"/>
      <c r="V425" s="11"/>
      <c r="W425" s="11"/>
    </row>
    <row r="426" spans="2:23" ht="25.5" customHeight="1">
      <c r="B426" s="70">
        <v>415</v>
      </c>
      <c r="C426" s="70" t="s">
        <v>913</v>
      </c>
      <c r="D426" s="70" t="s">
        <v>914</v>
      </c>
      <c r="E426" s="71" t="s">
        <v>152</v>
      </c>
      <c r="F426" s="71" t="s">
        <v>2162</v>
      </c>
      <c r="G426" s="71" t="s">
        <v>241</v>
      </c>
      <c r="H426" s="71" t="s">
        <v>240</v>
      </c>
      <c r="S426" s="11"/>
      <c r="T426" s="11"/>
      <c r="U426" s="11"/>
      <c r="V426" s="11"/>
      <c r="W426" s="11"/>
    </row>
    <row r="427" spans="2:23" ht="25.5" customHeight="1">
      <c r="B427" s="70">
        <v>416</v>
      </c>
      <c r="C427" s="70" t="s">
        <v>915</v>
      </c>
      <c r="D427" s="70" t="s">
        <v>916</v>
      </c>
      <c r="E427" s="71" t="s">
        <v>152</v>
      </c>
      <c r="F427" s="71" t="s">
        <v>2162</v>
      </c>
      <c r="G427" s="71" t="s">
        <v>241</v>
      </c>
      <c r="H427" s="71" t="s">
        <v>240</v>
      </c>
      <c r="S427" s="11"/>
      <c r="T427" s="11"/>
      <c r="U427" s="11"/>
      <c r="V427" s="11"/>
      <c r="W427" s="11"/>
    </row>
    <row r="428" spans="2:23" ht="25.5" customHeight="1">
      <c r="B428" s="70">
        <v>417</v>
      </c>
      <c r="C428" s="70" t="s">
        <v>917</v>
      </c>
      <c r="D428" s="70" t="s">
        <v>918</v>
      </c>
      <c r="E428" s="71" t="s">
        <v>152</v>
      </c>
      <c r="F428" s="71" t="s">
        <v>2162</v>
      </c>
      <c r="G428" s="71" t="s">
        <v>241</v>
      </c>
      <c r="H428" s="71" t="s">
        <v>240</v>
      </c>
      <c r="S428" s="11"/>
      <c r="T428" s="11"/>
      <c r="U428" s="11"/>
      <c r="V428" s="11"/>
      <c r="W428" s="11"/>
    </row>
    <row r="429" spans="2:23" ht="25.5" customHeight="1">
      <c r="B429" s="70">
        <v>418</v>
      </c>
      <c r="C429" s="70" t="s">
        <v>919</v>
      </c>
      <c r="D429" s="70" t="s">
        <v>920</v>
      </c>
      <c r="E429" s="71" t="s">
        <v>152</v>
      </c>
      <c r="F429" s="71" t="s">
        <v>2162</v>
      </c>
      <c r="G429" s="71" t="s">
        <v>241</v>
      </c>
      <c r="H429" s="71" t="s">
        <v>240</v>
      </c>
      <c r="S429" s="11"/>
      <c r="T429" s="11"/>
      <c r="U429" s="11"/>
      <c r="V429" s="11"/>
      <c r="W429" s="11"/>
    </row>
    <row r="430" spans="2:23" ht="25.5" customHeight="1">
      <c r="B430" s="70">
        <v>419</v>
      </c>
      <c r="C430" s="70" t="s">
        <v>921</v>
      </c>
      <c r="D430" s="70" t="s">
        <v>922</v>
      </c>
      <c r="E430" s="71" t="s">
        <v>152</v>
      </c>
      <c r="F430" s="71" t="s">
        <v>2162</v>
      </c>
      <c r="G430" s="71" t="s">
        <v>241</v>
      </c>
      <c r="H430" s="71" t="s">
        <v>240</v>
      </c>
      <c r="S430" s="11"/>
      <c r="T430" s="11"/>
      <c r="U430" s="11"/>
      <c r="V430" s="11"/>
      <c r="W430" s="11"/>
    </row>
    <row r="431" spans="2:23" ht="25.5" customHeight="1">
      <c r="B431" s="70">
        <v>420</v>
      </c>
      <c r="C431" s="70" t="s">
        <v>923</v>
      </c>
      <c r="D431" s="70" t="s">
        <v>924</v>
      </c>
      <c r="E431" s="71" t="s">
        <v>152</v>
      </c>
      <c r="F431" s="71" t="s">
        <v>2162</v>
      </c>
      <c r="G431" s="71" t="s">
        <v>241</v>
      </c>
      <c r="H431" s="71" t="s">
        <v>240</v>
      </c>
      <c r="S431" s="11"/>
      <c r="T431" s="11"/>
      <c r="U431" s="11"/>
      <c r="V431" s="11"/>
      <c r="W431" s="11"/>
    </row>
    <row r="432" spans="2:23" ht="25.5" customHeight="1">
      <c r="B432" s="70">
        <v>421</v>
      </c>
      <c r="C432" s="70" t="s">
        <v>925</v>
      </c>
      <c r="D432" s="70" t="s">
        <v>926</v>
      </c>
      <c r="E432" s="71" t="s">
        <v>152</v>
      </c>
      <c r="F432" s="71" t="s">
        <v>2162</v>
      </c>
      <c r="G432" s="71" t="s">
        <v>241</v>
      </c>
      <c r="H432" s="71" t="s">
        <v>240</v>
      </c>
      <c r="S432" s="11"/>
      <c r="T432" s="11"/>
      <c r="U432" s="11"/>
      <c r="V432" s="11"/>
      <c r="W432" s="11"/>
    </row>
    <row r="433" spans="2:23" ht="25.5" customHeight="1">
      <c r="B433" s="70">
        <v>422</v>
      </c>
      <c r="C433" s="70" t="s">
        <v>927</v>
      </c>
      <c r="D433" s="70" t="s">
        <v>928</v>
      </c>
      <c r="E433" s="71" t="s">
        <v>152</v>
      </c>
      <c r="F433" s="71" t="s">
        <v>2162</v>
      </c>
      <c r="G433" s="71" t="s">
        <v>241</v>
      </c>
      <c r="H433" s="71" t="s">
        <v>240</v>
      </c>
      <c r="S433" s="11"/>
      <c r="T433" s="11"/>
      <c r="U433" s="11"/>
      <c r="V433" s="11"/>
      <c r="W433" s="11"/>
    </row>
    <row r="434" spans="2:23" ht="25.5" customHeight="1">
      <c r="B434" s="70">
        <v>423</v>
      </c>
      <c r="C434" s="70" t="s">
        <v>929</v>
      </c>
      <c r="D434" s="70" t="s">
        <v>930</v>
      </c>
      <c r="E434" s="71" t="s">
        <v>152</v>
      </c>
      <c r="F434" s="71" t="s">
        <v>2162</v>
      </c>
      <c r="G434" s="71" t="s">
        <v>241</v>
      </c>
      <c r="H434" s="71" t="s">
        <v>240</v>
      </c>
      <c r="S434" s="11"/>
      <c r="T434" s="11"/>
      <c r="U434" s="11"/>
      <c r="V434" s="11"/>
      <c r="W434" s="11"/>
    </row>
    <row r="435" spans="2:23" ht="25.5" customHeight="1">
      <c r="B435" s="70">
        <v>424</v>
      </c>
      <c r="C435" s="70" t="s">
        <v>931</v>
      </c>
      <c r="D435" s="70" t="s">
        <v>932</v>
      </c>
      <c r="E435" s="71" t="s">
        <v>152</v>
      </c>
      <c r="F435" s="71" t="s">
        <v>2162</v>
      </c>
      <c r="G435" s="71" t="s">
        <v>241</v>
      </c>
      <c r="H435" s="71" t="s">
        <v>240</v>
      </c>
      <c r="S435" s="11"/>
      <c r="T435" s="11"/>
      <c r="U435" s="11"/>
      <c r="V435" s="11"/>
      <c r="W435" s="11"/>
    </row>
    <row r="436" spans="2:23" ht="25.5" customHeight="1">
      <c r="B436" s="70">
        <v>425</v>
      </c>
      <c r="C436" s="70" t="s">
        <v>933</v>
      </c>
      <c r="D436" s="70" t="s">
        <v>934</v>
      </c>
      <c r="E436" s="71" t="s">
        <v>152</v>
      </c>
      <c r="F436" s="71" t="s">
        <v>2162</v>
      </c>
      <c r="G436" s="71" t="s">
        <v>241</v>
      </c>
      <c r="H436" s="71" t="s">
        <v>240</v>
      </c>
      <c r="S436" s="11"/>
      <c r="T436" s="11"/>
      <c r="U436" s="11"/>
      <c r="V436" s="11"/>
      <c r="W436" s="11"/>
    </row>
    <row r="437" spans="2:23" ht="25.5" customHeight="1">
      <c r="B437" s="70">
        <v>426</v>
      </c>
      <c r="C437" s="70" t="s">
        <v>935</v>
      </c>
      <c r="D437" s="70" t="s">
        <v>936</v>
      </c>
      <c r="E437" s="71" t="s">
        <v>152</v>
      </c>
      <c r="F437" s="71" t="s">
        <v>2162</v>
      </c>
      <c r="G437" s="71" t="s">
        <v>241</v>
      </c>
      <c r="H437" s="71" t="s">
        <v>240</v>
      </c>
      <c r="S437" s="11"/>
      <c r="T437" s="11"/>
      <c r="U437" s="11"/>
      <c r="V437" s="11"/>
      <c r="W437" s="11"/>
    </row>
    <row r="438" spans="2:23" ht="25.5" customHeight="1">
      <c r="B438" s="70">
        <v>427</v>
      </c>
      <c r="C438" s="70" t="s">
        <v>937</v>
      </c>
      <c r="D438" s="70" t="s">
        <v>936</v>
      </c>
      <c r="E438" s="71" t="s">
        <v>152</v>
      </c>
      <c r="F438" s="71" t="s">
        <v>2162</v>
      </c>
      <c r="G438" s="71" t="s">
        <v>241</v>
      </c>
      <c r="H438" s="71" t="s">
        <v>240</v>
      </c>
      <c r="S438" s="11"/>
      <c r="T438" s="11"/>
      <c r="U438" s="11"/>
      <c r="V438" s="11"/>
      <c r="W438" s="11"/>
    </row>
    <row r="439" spans="2:23" ht="25.5" customHeight="1">
      <c r="B439" s="70">
        <v>428</v>
      </c>
      <c r="C439" s="70" t="s">
        <v>938</v>
      </c>
      <c r="D439" s="70" t="s">
        <v>936</v>
      </c>
      <c r="E439" s="71" t="s">
        <v>152</v>
      </c>
      <c r="F439" s="71" t="s">
        <v>2162</v>
      </c>
      <c r="G439" s="71" t="s">
        <v>241</v>
      </c>
      <c r="H439" s="71" t="s">
        <v>240</v>
      </c>
      <c r="S439" s="11"/>
      <c r="T439" s="11"/>
      <c r="U439" s="11"/>
      <c r="V439" s="11"/>
      <c r="W439" s="11"/>
    </row>
    <row r="440" spans="2:23" ht="25.5" customHeight="1">
      <c r="B440" s="70">
        <v>429</v>
      </c>
      <c r="C440" s="70" t="s">
        <v>939</v>
      </c>
      <c r="D440" s="70" t="s">
        <v>936</v>
      </c>
      <c r="E440" s="71" t="s">
        <v>152</v>
      </c>
      <c r="F440" s="71" t="s">
        <v>2162</v>
      </c>
      <c r="G440" s="71" t="s">
        <v>241</v>
      </c>
      <c r="H440" s="71" t="s">
        <v>240</v>
      </c>
      <c r="S440" s="11"/>
      <c r="T440" s="11"/>
      <c r="U440" s="11"/>
      <c r="V440" s="11"/>
      <c r="W440" s="11"/>
    </row>
    <row r="441" spans="2:23" ht="25.5" customHeight="1">
      <c r="B441" s="70">
        <v>430</v>
      </c>
      <c r="C441" s="70" t="s">
        <v>940</v>
      </c>
      <c r="D441" s="70" t="s">
        <v>941</v>
      </c>
      <c r="E441" s="71" t="s">
        <v>152</v>
      </c>
      <c r="F441" s="71" t="s">
        <v>2162</v>
      </c>
      <c r="G441" s="71" t="s">
        <v>241</v>
      </c>
      <c r="H441" s="71" t="s">
        <v>240</v>
      </c>
      <c r="S441" s="11"/>
      <c r="T441" s="11"/>
      <c r="U441" s="11"/>
      <c r="V441" s="11"/>
      <c r="W441" s="11"/>
    </row>
    <row r="442" spans="2:23" ht="25.5" customHeight="1">
      <c r="B442" s="70">
        <v>431</v>
      </c>
      <c r="C442" s="70" t="s">
        <v>942</v>
      </c>
      <c r="D442" s="70" t="s">
        <v>941</v>
      </c>
      <c r="E442" s="71" t="s">
        <v>152</v>
      </c>
      <c r="F442" s="71" t="s">
        <v>2162</v>
      </c>
      <c r="G442" s="71" t="s">
        <v>241</v>
      </c>
      <c r="H442" s="71" t="s">
        <v>240</v>
      </c>
      <c r="S442" s="11"/>
      <c r="T442" s="11"/>
      <c r="U442" s="11"/>
      <c r="V442" s="11"/>
      <c r="W442" s="11"/>
    </row>
    <row r="443" spans="2:23" ht="25.5" customHeight="1">
      <c r="B443" s="70">
        <v>432</v>
      </c>
      <c r="C443" s="70" t="s">
        <v>943</v>
      </c>
      <c r="D443" s="70" t="s">
        <v>944</v>
      </c>
      <c r="E443" s="71" t="s">
        <v>152</v>
      </c>
      <c r="F443" s="71" t="s">
        <v>2162</v>
      </c>
      <c r="G443" s="71" t="s">
        <v>241</v>
      </c>
      <c r="H443" s="71" t="s">
        <v>240</v>
      </c>
      <c r="S443" s="11"/>
      <c r="T443" s="11"/>
      <c r="U443" s="11"/>
      <c r="V443" s="11"/>
      <c r="W443" s="11"/>
    </row>
    <row r="444" spans="2:23" ht="25.5" customHeight="1">
      <c r="B444" s="70">
        <v>433</v>
      </c>
      <c r="C444" s="70" t="s">
        <v>945</v>
      </c>
      <c r="D444" s="70" t="s">
        <v>944</v>
      </c>
      <c r="E444" s="71" t="s">
        <v>152</v>
      </c>
      <c r="F444" s="71" t="s">
        <v>2162</v>
      </c>
      <c r="G444" s="71" t="s">
        <v>241</v>
      </c>
      <c r="H444" s="71" t="s">
        <v>240</v>
      </c>
      <c r="S444" s="11"/>
      <c r="T444" s="11"/>
      <c r="U444" s="11"/>
      <c r="V444" s="11"/>
      <c r="W444" s="11"/>
    </row>
    <row r="445" spans="2:23" ht="25.5" customHeight="1">
      <c r="B445" s="70">
        <v>434</v>
      </c>
      <c r="C445" s="70" t="s">
        <v>946</v>
      </c>
      <c r="D445" s="70" t="s">
        <v>944</v>
      </c>
      <c r="E445" s="71" t="s">
        <v>152</v>
      </c>
      <c r="F445" s="71" t="s">
        <v>2162</v>
      </c>
      <c r="G445" s="71" t="s">
        <v>241</v>
      </c>
      <c r="H445" s="71" t="s">
        <v>240</v>
      </c>
      <c r="S445" s="11"/>
      <c r="T445" s="11"/>
      <c r="U445" s="11"/>
      <c r="V445" s="11"/>
      <c r="W445" s="11"/>
    </row>
    <row r="446" spans="2:23" ht="25.5" customHeight="1">
      <c r="B446" s="70">
        <v>435</v>
      </c>
      <c r="C446" s="70" t="s">
        <v>947</v>
      </c>
      <c r="D446" s="70" t="s">
        <v>944</v>
      </c>
      <c r="E446" s="71" t="s">
        <v>152</v>
      </c>
      <c r="F446" s="71" t="s">
        <v>2162</v>
      </c>
      <c r="G446" s="71" t="s">
        <v>241</v>
      </c>
      <c r="H446" s="71" t="s">
        <v>240</v>
      </c>
      <c r="S446" s="11"/>
      <c r="T446" s="11"/>
      <c r="U446" s="11"/>
      <c r="V446" s="11"/>
      <c r="W446" s="11"/>
    </row>
    <row r="447" spans="2:23" ht="25.5" customHeight="1">
      <c r="B447" s="70">
        <v>436</v>
      </c>
      <c r="C447" s="70" t="s">
        <v>948</v>
      </c>
      <c r="D447" s="70" t="s">
        <v>944</v>
      </c>
      <c r="E447" s="71" t="s">
        <v>152</v>
      </c>
      <c r="F447" s="71" t="s">
        <v>2162</v>
      </c>
      <c r="G447" s="71" t="s">
        <v>241</v>
      </c>
      <c r="H447" s="71" t="s">
        <v>240</v>
      </c>
      <c r="S447" s="11"/>
      <c r="T447" s="11"/>
      <c r="U447" s="11"/>
      <c r="V447" s="11"/>
      <c r="W447" s="11"/>
    </row>
    <row r="448" spans="2:23" ht="25.5" customHeight="1">
      <c r="B448" s="70">
        <v>437</v>
      </c>
      <c r="C448" s="70" t="s">
        <v>949</v>
      </c>
      <c r="D448" s="70" t="s">
        <v>944</v>
      </c>
      <c r="E448" s="71" t="s">
        <v>152</v>
      </c>
      <c r="F448" s="71" t="s">
        <v>2162</v>
      </c>
      <c r="G448" s="71" t="s">
        <v>241</v>
      </c>
      <c r="H448" s="71" t="s">
        <v>240</v>
      </c>
      <c r="S448" s="11"/>
      <c r="T448" s="11"/>
      <c r="U448" s="11"/>
      <c r="V448" s="11"/>
      <c r="W448" s="11"/>
    </row>
    <row r="449" spans="2:23" ht="25.5" customHeight="1">
      <c r="B449" s="70">
        <v>438</v>
      </c>
      <c r="C449" s="70" t="s">
        <v>950</v>
      </c>
      <c r="D449" s="70" t="s">
        <v>951</v>
      </c>
      <c r="E449" s="71" t="s">
        <v>152</v>
      </c>
      <c r="F449" s="71" t="s">
        <v>2162</v>
      </c>
      <c r="G449" s="71" t="s">
        <v>241</v>
      </c>
      <c r="H449" s="71" t="s">
        <v>240</v>
      </c>
      <c r="S449" s="11"/>
      <c r="T449" s="11"/>
      <c r="U449" s="11"/>
      <c r="V449" s="11"/>
      <c r="W449" s="11"/>
    </row>
    <row r="450" spans="2:23" ht="25.5" customHeight="1">
      <c r="B450" s="70">
        <v>439</v>
      </c>
      <c r="C450" s="70" t="s">
        <v>952</v>
      </c>
      <c r="D450" s="70" t="s">
        <v>951</v>
      </c>
      <c r="E450" s="71" t="s">
        <v>152</v>
      </c>
      <c r="F450" s="71" t="s">
        <v>2162</v>
      </c>
      <c r="G450" s="71" t="s">
        <v>241</v>
      </c>
      <c r="H450" s="71" t="s">
        <v>240</v>
      </c>
      <c r="S450" s="11"/>
      <c r="T450" s="11"/>
      <c r="U450" s="11"/>
      <c r="V450" s="11"/>
      <c r="W450" s="11"/>
    </row>
    <row r="451" spans="2:23" ht="25.5" customHeight="1">
      <c r="B451" s="70">
        <v>440</v>
      </c>
      <c r="C451" s="70" t="s">
        <v>953</v>
      </c>
      <c r="D451" s="70" t="s">
        <v>954</v>
      </c>
      <c r="E451" s="71" t="s">
        <v>152</v>
      </c>
      <c r="F451" s="71" t="s">
        <v>2162</v>
      </c>
      <c r="G451" s="71" t="s">
        <v>241</v>
      </c>
      <c r="H451" s="71" t="s">
        <v>240</v>
      </c>
      <c r="S451" s="11"/>
      <c r="T451" s="11"/>
      <c r="U451" s="11"/>
      <c r="V451" s="11"/>
      <c r="W451" s="11"/>
    </row>
    <row r="452" spans="2:23" ht="25.5" customHeight="1">
      <c r="B452" s="70">
        <v>441</v>
      </c>
      <c r="C452" s="70" t="s">
        <v>955</v>
      </c>
      <c r="D452" s="70" t="s">
        <v>954</v>
      </c>
      <c r="E452" s="71" t="s">
        <v>152</v>
      </c>
      <c r="F452" s="71" t="s">
        <v>2162</v>
      </c>
      <c r="G452" s="71" t="s">
        <v>241</v>
      </c>
      <c r="H452" s="71" t="s">
        <v>240</v>
      </c>
      <c r="S452" s="11"/>
      <c r="T452" s="11"/>
      <c r="U452" s="11"/>
      <c r="V452" s="11"/>
      <c r="W452" s="11"/>
    </row>
    <row r="453" spans="2:23" ht="25.5" customHeight="1">
      <c r="B453" s="70">
        <v>442</v>
      </c>
      <c r="C453" s="70" t="s">
        <v>956</v>
      </c>
      <c r="D453" s="70" t="s">
        <v>954</v>
      </c>
      <c r="E453" s="71" t="s">
        <v>152</v>
      </c>
      <c r="F453" s="71" t="s">
        <v>2162</v>
      </c>
      <c r="G453" s="71" t="s">
        <v>241</v>
      </c>
      <c r="H453" s="71" t="s">
        <v>240</v>
      </c>
      <c r="S453" s="11"/>
      <c r="T453" s="11"/>
      <c r="U453" s="11"/>
      <c r="V453" s="11"/>
      <c r="W453" s="11"/>
    </row>
    <row r="454" spans="2:23" ht="25.5" customHeight="1">
      <c r="B454" s="70">
        <v>443</v>
      </c>
      <c r="C454" s="70" t="s">
        <v>957</v>
      </c>
      <c r="D454" s="70" t="s">
        <v>954</v>
      </c>
      <c r="E454" s="71" t="s">
        <v>152</v>
      </c>
      <c r="F454" s="71" t="s">
        <v>2162</v>
      </c>
      <c r="G454" s="71" t="s">
        <v>241</v>
      </c>
      <c r="H454" s="71" t="s">
        <v>240</v>
      </c>
      <c r="S454" s="11"/>
      <c r="T454" s="11"/>
      <c r="U454" s="11"/>
      <c r="V454" s="11"/>
      <c r="W454" s="11"/>
    </row>
    <row r="455" spans="2:23" ht="25.5" customHeight="1">
      <c r="B455" s="70">
        <v>444</v>
      </c>
      <c r="C455" s="70" t="s">
        <v>958</v>
      </c>
      <c r="D455" s="70" t="s">
        <v>959</v>
      </c>
      <c r="E455" s="71" t="s">
        <v>152</v>
      </c>
      <c r="F455" s="71" t="s">
        <v>2162</v>
      </c>
      <c r="G455" s="71" t="s">
        <v>241</v>
      </c>
      <c r="H455" s="71" t="s">
        <v>240</v>
      </c>
      <c r="S455" s="11"/>
      <c r="T455" s="11"/>
      <c r="U455" s="11"/>
      <c r="V455" s="11"/>
      <c r="W455" s="11"/>
    </row>
    <row r="456" spans="2:23" ht="25.5" customHeight="1">
      <c r="B456" s="70">
        <v>445</v>
      </c>
      <c r="C456" s="70" t="s">
        <v>960</v>
      </c>
      <c r="D456" s="70" t="s">
        <v>961</v>
      </c>
      <c r="E456" s="71" t="s">
        <v>152</v>
      </c>
      <c r="F456" s="71" t="s">
        <v>2162</v>
      </c>
      <c r="G456" s="71" t="s">
        <v>241</v>
      </c>
      <c r="H456" s="71" t="s">
        <v>240</v>
      </c>
      <c r="S456" s="11"/>
      <c r="T456" s="11"/>
      <c r="U456" s="11"/>
      <c r="V456" s="11"/>
      <c r="W456" s="11"/>
    </row>
    <row r="457" spans="2:23" ht="25.5" customHeight="1">
      <c r="B457" s="70">
        <v>446</v>
      </c>
      <c r="C457" s="70" t="s">
        <v>962</v>
      </c>
      <c r="D457" s="70" t="s">
        <v>963</v>
      </c>
      <c r="E457" s="71" t="s">
        <v>152</v>
      </c>
      <c r="F457" s="71" t="s">
        <v>2162</v>
      </c>
      <c r="G457" s="71" t="s">
        <v>241</v>
      </c>
      <c r="H457" s="71" t="s">
        <v>240</v>
      </c>
      <c r="S457" s="11"/>
      <c r="T457" s="11"/>
      <c r="U457" s="11"/>
      <c r="V457" s="11"/>
      <c r="W457" s="11"/>
    </row>
    <row r="458" spans="2:23" ht="25.5" customHeight="1">
      <c r="B458" s="70">
        <v>447</v>
      </c>
      <c r="C458" s="70" t="s">
        <v>964</v>
      </c>
      <c r="D458" s="70" t="s">
        <v>965</v>
      </c>
      <c r="E458" s="71" t="s">
        <v>152</v>
      </c>
      <c r="F458" s="71" t="s">
        <v>2162</v>
      </c>
      <c r="G458" s="71" t="s">
        <v>241</v>
      </c>
      <c r="H458" s="71" t="s">
        <v>240</v>
      </c>
      <c r="S458" s="11"/>
      <c r="T458" s="11"/>
      <c r="U458" s="11"/>
      <c r="V458" s="11"/>
      <c r="W458" s="11"/>
    </row>
    <row r="459" spans="2:23" ht="25.5" customHeight="1">
      <c r="B459" s="70">
        <v>448</v>
      </c>
      <c r="C459" s="70" t="s">
        <v>966</v>
      </c>
      <c r="D459" s="70" t="s">
        <v>967</v>
      </c>
      <c r="E459" s="71" t="s">
        <v>152</v>
      </c>
      <c r="F459" s="71" t="s">
        <v>2162</v>
      </c>
      <c r="G459" s="71" t="s">
        <v>241</v>
      </c>
      <c r="H459" s="71" t="s">
        <v>240</v>
      </c>
      <c r="S459" s="11"/>
      <c r="T459" s="11"/>
      <c r="U459" s="11"/>
      <c r="V459" s="11"/>
      <c r="W459" s="11"/>
    </row>
    <row r="460" spans="2:23" ht="25.5" customHeight="1">
      <c r="B460" s="70">
        <v>449</v>
      </c>
      <c r="C460" s="70" t="s">
        <v>968</v>
      </c>
      <c r="D460" s="70" t="s">
        <v>969</v>
      </c>
      <c r="E460" s="71" t="s">
        <v>152</v>
      </c>
      <c r="F460" s="71" t="s">
        <v>2162</v>
      </c>
      <c r="G460" s="71" t="s">
        <v>241</v>
      </c>
      <c r="H460" s="71" t="s">
        <v>240</v>
      </c>
      <c r="S460" s="11"/>
      <c r="T460" s="11"/>
      <c r="U460" s="11"/>
      <c r="V460" s="11"/>
      <c r="W460" s="11"/>
    </row>
    <row r="461" spans="2:23" ht="25.5" customHeight="1">
      <c r="B461" s="70">
        <v>450</v>
      </c>
      <c r="C461" s="70" t="s">
        <v>970</v>
      </c>
      <c r="D461" s="70" t="s">
        <v>971</v>
      </c>
      <c r="E461" s="71" t="s">
        <v>152</v>
      </c>
      <c r="F461" s="71" t="s">
        <v>2162</v>
      </c>
      <c r="G461" s="71" t="s">
        <v>241</v>
      </c>
      <c r="H461" s="71" t="s">
        <v>240</v>
      </c>
      <c r="S461" s="11"/>
      <c r="T461" s="11"/>
      <c r="U461" s="11"/>
      <c r="V461" s="11"/>
      <c r="W461" s="11"/>
    </row>
    <row r="462" spans="2:23" ht="25.5" customHeight="1">
      <c r="B462" s="70">
        <v>451</v>
      </c>
      <c r="C462" s="70" t="s">
        <v>972</v>
      </c>
      <c r="D462" s="70" t="s">
        <v>973</v>
      </c>
      <c r="E462" s="71" t="s">
        <v>152</v>
      </c>
      <c r="F462" s="71" t="s">
        <v>2162</v>
      </c>
      <c r="G462" s="71" t="s">
        <v>241</v>
      </c>
      <c r="H462" s="71" t="s">
        <v>240</v>
      </c>
      <c r="S462" s="11"/>
      <c r="T462" s="11"/>
      <c r="U462" s="11"/>
      <c r="V462" s="11"/>
      <c r="W462" s="11"/>
    </row>
    <row r="463" spans="2:23" ht="25.5" customHeight="1">
      <c r="B463" s="70">
        <v>452</v>
      </c>
      <c r="C463" s="70" t="s">
        <v>974</v>
      </c>
      <c r="D463" s="70" t="s">
        <v>975</v>
      </c>
      <c r="E463" s="71" t="s">
        <v>152</v>
      </c>
      <c r="F463" s="71" t="s">
        <v>2162</v>
      </c>
      <c r="G463" s="71" t="s">
        <v>241</v>
      </c>
      <c r="H463" s="71" t="s">
        <v>240</v>
      </c>
      <c r="S463" s="11"/>
      <c r="T463" s="11"/>
      <c r="U463" s="11"/>
      <c r="V463" s="11"/>
      <c r="W463" s="11"/>
    </row>
    <row r="464" spans="2:23" ht="25.5" customHeight="1">
      <c r="B464" s="70">
        <v>453</v>
      </c>
      <c r="C464" s="70" t="s">
        <v>976</v>
      </c>
      <c r="D464" s="70" t="s">
        <v>977</v>
      </c>
      <c r="E464" s="71" t="s">
        <v>152</v>
      </c>
      <c r="F464" s="71" t="s">
        <v>2162</v>
      </c>
      <c r="G464" s="71" t="s">
        <v>241</v>
      </c>
      <c r="H464" s="71" t="s">
        <v>240</v>
      </c>
      <c r="S464" s="11"/>
      <c r="T464" s="11"/>
      <c r="U464" s="11"/>
      <c r="V464" s="11"/>
      <c r="W464" s="11"/>
    </row>
    <row r="465" spans="2:23" ht="25.5" customHeight="1">
      <c r="B465" s="70">
        <v>454</v>
      </c>
      <c r="C465" s="70" t="s">
        <v>978</v>
      </c>
      <c r="D465" s="70" t="s">
        <v>979</v>
      </c>
      <c r="E465" s="71" t="s">
        <v>152</v>
      </c>
      <c r="F465" s="71" t="s">
        <v>2162</v>
      </c>
      <c r="G465" s="71" t="s">
        <v>241</v>
      </c>
      <c r="H465" s="71" t="s">
        <v>240</v>
      </c>
      <c r="S465" s="11"/>
      <c r="T465" s="11"/>
      <c r="U465" s="11"/>
      <c r="V465" s="11"/>
      <c r="W465" s="11"/>
    </row>
    <row r="466" spans="2:23" ht="25.5" customHeight="1">
      <c r="B466" s="70">
        <v>455</v>
      </c>
      <c r="C466" s="70" t="s">
        <v>980</v>
      </c>
      <c r="D466" s="70" t="s">
        <v>981</v>
      </c>
      <c r="E466" s="71" t="s">
        <v>152</v>
      </c>
      <c r="F466" s="71" t="s">
        <v>2162</v>
      </c>
      <c r="G466" s="71" t="s">
        <v>241</v>
      </c>
      <c r="H466" s="71" t="s">
        <v>240</v>
      </c>
      <c r="S466" s="11"/>
      <c r="T466" s="11"/>
      <c r="U466" s="11"/>
      <c r="V466" s="11"/>
      <c r="W466" s="11"/>
    </row>
    <row r="467" spans="2:23" ht="25.5" customHeight="1">
      <c r="B467" s="70">
        <v>456</v>
      </c>
      <c r="C467" s="70" t="s">
        <v>982</v>
      </c>
      <c r="D467" s="70" t="s">
        <v>983</v>
      </c>
      <c r="E467" s="71" t="s">
        <v>152</v>
      </c>
      <c r="F467" s="71" t="s">
        <v>2162</v>
      </c>
      <c r="G467" s="71" t="s">
        <v>241</v>
      </c>
      <c r="H467" s="71" t="s">
        <v>240</v>
      </c>
      <c r="S467" s="11"/>
      <c r="T467" s="11"/>
      <c r="U467" s="11"/>
      <c r="V467" s="11"/>
      <c r="W467" s="11"/>
    </row>
    <row r="468" spans="2:23" ht="25.5" customHeight="1">
      <c r="B468" s="70">
        <v>457</v>
      </c>
      <c r="C468" s="70" t="s">
        <v>984</v>
      </c>
      <c r="D468" s="70" t="s">
        <v>985</v>
      </c>
      <c r="E468" s="71" t="s">
        <v>152</v>
      </c>
      <c r="F468" s="71" t="s">
        <v>2162</v>
      </c>
      <c r="G468" s="71" t="s">
        <v>241</v>
      </c>
      <c r="H468" s="71" t="s">
        <v>240</v>
      </c>
      <c r="S468" s="11"/>
      <c r="T468" s="11"/>
      <c r="U468" s="11"/>
      <c r="V468" s="11"/>
      <c r="W468" s="11"/>
    </row>
    <row r="469" spans="2:23" ht="25.5" customHeight="1">
      <c r="B469" s="70">
        <v>458</v>
      </c>
      <c r="C469" s="70" t="s">
        <v>986</v>
      </c>
      <c r="D469" s="71" t="s">
        <v>987</v>
      </c>
      <c r="E469" s="71" t="s">
        <v>152</v>
      </c>
      <c r="F469" s="71" t="s">
        <v>2162</v>
      </c>
      <c r="G469" s="71" t="s">
        <v>241</v>
      </c>
      <c r="H469" s="71" t="s">
        <v>240</v>
      </c>
      <c r="S469" s="11"/>
      <c r="T469" s="11"/>
      <c r="U469" s="11"/>
      <c r="V469" s="11"/>
      <c r="W469" s="11"/>
    </row>
    <row r="470" spans="2:23" ht="25.5" customHeight="1">
      <c r="B470" s="70">
        <v>459</v>
      </c>
      <c r="C470" s="70" t="s">
        <v>988</v>
      </c>
      <c r="D470" s="71" t="s">
        <v>989</v>
      </c>
      <c r="E470" s="71" t="s">
        <v>152</v>
      </c>
      <c r="F470" s="71" t="s">
        <v>2162</v>
      </c>
      <c r="G470" s="71" t="s">
        <v>241</v>
      </c>
      <c r="H470" s="71" t="s">
        <v>240</v>
      </c>
      <c r="S470" s="11"/>
      <c r="T470" s="11"/>
      <c r="U470" s="11"/>
      <c r="V470" s="11"/>
      <c r="W470" s="11"/>
    </row>
    <row r="471" spans="2:23" ht="25.5" customHeight="1">
      <c r="B471" s="70">
        <v>460</v>
      </c>
      <c r="C471" s="70" t="s">
        <v>990</v>
      </c>
      <c r="D471" s="70" t="s">
        <v>991</v>
      </c>
      <c r="E471" s="71" t="s">
        <v>152</v>
      </c>
      <c r="F471" s="71" t="s">
        <v>2162</v>
      </c>
      <c r="G471" s="71" t="s">
        <v>241</v>
      </c>
      <c r="H471" s="71" t="s">
        <v>240</v>
      </c>
      <c r="S471" s="11"/>
      <c r="T471" s="11"/>
      <c r="U471" s="11"/>
      <c r="V471" s="11"/>
      <c r="W471" s="11"/>
    </row>
    <row r="472" spans="2:23" ht="25.5" customHeight="1">
      <c r="B472" s="70">
        <v>461</v>
      </c>
      <c r="C472" s="70" t="s">
        <v>992</v>
      </c>
      <c r="D472" s="70" t="s">
        <v>993</v>
      </c>
      <c r="E472" s="71" t="s">
        <v>152</v>
      </c>
      <c r="F472" s="71" t="s">
        <v>2162</v>
      </c>
      <c r="G472" s="71" t="s">
        <v>241</v>
      </c>
      <c r="H472" s="71" t="s">
        <v>240</v>
      </c>
      <c r="S472" s="11"/>
      <c r="T472" s="11"/>
      <c r="U472" s="11"/>
      <c r="V472" s="11"/>
      <c r="W472" s="11"/>
    </row>
    <row r="473" spans="2:23" ht="25.5" customHeight="1">
      <c r="B473" s="70">
        <v>462</v>
      </c>
      <c r="C473" s="70" t="s">
        <v>994</v>
      </c>
      <c r="D473" s="70" t="s">
        <v>995</v>
      </c>
      <c r="E473" s="71" t="s">
        <v>152</v>
      </c>
      <c r="F473" s="71" t="s">
        <v>2162</v>
      </c>
      <c r="G473" s="71" t="s">
        <v>241</v>
      </c>
      <c r="H473" s="71" t="s">
        <v>240</v>
      </c>
      <c r="S473" s="11"/>
      <c r="T473" s="11"/>
      <c r="U473" s="11"/>
      <c r="V473" s="11"/>
      <c r="W473" s="11"/>
    </row>
    <row r="474" spans="2:23" ht="25.5" customHeight="1">
      <c r="B474" s="70">
        <v>463</v>
      </c>
      <c r="C474" s="70" t="s">
        <v>996</v>
      </c>
      <c r="D474" s="70" t="s">
        <v>997</v>
      </c>
      <c r="E474" s="71" t="s">
        <v>152</v>
      </c>
      <c r="F474" s="71" t="s">
        <v>2162</v>
      </c>
      <c r="G474" s="71" t="s">
        <v>241</v>
      </c>
      <c r="H474" s="71" t="s">
        <v>240</v>
      </c>
      <c r="S474" s="11"/>
      <c r="T474" s="11"/>
      <c r="U474" s="11"/>
      <c r="V474" s="11"/>
      <c r="W474" s="11"/>
    </row>
    <row r="475" spans="2:23" ht="25.5" customHeight="1">
      <c r="B475" s="70">
        <v>464</v>
      </c>
      <c r="C475" s="70" t="s">
        <v>998</v>
      </c>
      <c r="D475" s="70" t="s">
        <v>999</v>
      </c>
      <c r="E475" s="71" t="s">
        <v>152</v>
      </c>
      <c r="F475" s="71" t="s">
        <v>2162</v>
      </c>
      <c r="G475" s="71" t="s">
        <v>241</v>
      </c>
      <c r="H475" s="71" t="s">
        <v>240</v>
      </c>
      <c r="S475" s="11"/>
      <c r="T475" s="11"/>
      <c r="U475" s="11"/>
      <c r="V475" s="11"/>
      <c r="W475" s="11"/>
    </row>
    <row r="476" spans="2:23" ht="25.5" customHeight="1">
      <c r="B476" s="70">
        <v>465</v>
      </c>
      <c r="C476" s="70" t="s">
        <v>1000</v>
      </c>
      <c r="D476" s="70" t="s">
        <v>1001</v>
      </c>
      <c r="E476" s="71" t="s">
        <v>152</v>
      </c>
      <c r="F476" s="71" t="s">
        <v>2162</v>
      </c>
      <c r="G476" s="71" t="s">
        <v>241</v>
      </c>
      <c r="H476" s="71" t="s">
        <v>240</v>
      </c>
      <c r="S476" s="11"/>
      <c r="T476" s="11"/>
      <c r="U476" s="11"/>
      <c r="V476" s="11"/>
      <c r="W476" s="11"/>
    </row>
    <row r="477" spans="2:23" ht="25.5" customHeight="1">
      <c r="B477" s="70">
        <v>466</v>
      </c>
      <c r="C477" s="70" t="s">
        <v>1002</v>
      </c>
      <c r="D477" s="70" t="s">
        <v>1003</v>
      </c>
      <c r="E477" s="71" t="s">
        <v>152</v>
      </c>
      <c r="F477" s="71" t="s">
        <v>2162</v>
      </c>
      <c r="G477" s="71" t="s">
        <v>241</v>
      </c>
      <c r="H477" s="71" t="s">
        <v>240</v>
      </c>
      <c r="S477" s="11"/>
      <c r="T477" s="11"/>
      <c r="U477" s="11"/>
      <c r="V477" s="11"/>
      <c r="W477" s="11"/>
    </row>
    <row r="478" spans="2:23" ht="25.5" customHeight="1">
      <c r="B478" s="70">
        <v>467</v>
      </c>
      <c r="C478" s="70" t="s">
        <v>1004</v>
      </c>
      <c r="D478" s="70" t="s">
        <v>1005</v>
      </c>
      <c r="E478" s="71" t="s">
        <v>152</v>
      </c>
      <c r="F478" s="71" t="s">
        <v>2162</v>
      </c>
      <c r="G478" s="71" t="s">
        <v>241</v>
      </c>
      <c r="H478" s="71" t="s">
        <v>240</v>
      </c>
      <c r="S478" s="11"/>
      <c r="T478" s="11"/>
      <c r="U478" s="11"/>
      <c r="V478" s="11"/>
      <c r="W478" s="11"/>
    </row>
    <row r="479" spans="2:23" ht="25.5" customHeight="1">
      <c r="B479" s="70">
        <v>468</v>
      </c>
      <c r="C479" s="70" t="s">
        <v>1006</v>
      </c>
      <c r="D479" s="70" t="s">
        <v>1007</v>
      </c>
      <c r="E479" s="71" t="s">
        <v>152</v>
      </c>
      <c r="F479" s="71" t="s">
        <v>2162</v>
      </c>
      <c r="G479" s="71" t="s">
        <v>241</v>
      </c>
      <c r="H479" s="71" t="s">
        <v>240</v>
      </c>
      <c r="S479" s="11"/>
      <c r="T479" s="11"/>
      <c r="U479" s="11"/>
      <c r="V479" s="11"/>
      <c r="W479" s="11"/>
    </row>
    <row r="480" spans="2:23" ht="25.5" customHeight="1">
      <c r="B480" s="70">
        <v>469</v>
      </c>
      <c r="C480" s="70" t="s">
        <v>1008</v>
      </c>
      <c r="D480" s="70" t="s">
        <v>1009</v>
      </c>
      <c r="E480" s="71" t="s">
        <v>152</v>
      </c>
      <c r="F480" s="71" t="s">
        <v>2162</v>
      </c>
      <c r="G480" s="71" t="s">
        <v>241</v>
      </c>
      <c r="H480" s="71" t="s">
        <v>240</v>
      </c>
      <c r="S480" s="11"/>
      <c r="T480" s="11"/>
      <c r="U480" s="11"/>
      <c r="V480" s="11"/>
      <c r="W480" s="11"/>
    </row>
    <row r="481" spans="2:23" ht="25.5" customHeight="1">
      <c r="B481" s="70">
        <v>470</v>
      </c>
      <c r="C481" s="70" t="s">
        <v>1010</v>
      </c>
      <c r="D481" s="70" t="s">
        <v>1011</v>
      </c>
      <c r="E481" s="71" t="s">
        <v>152</v>
      </c>
      <c r="F481" s="71" t="s">
        <v>2162</v>
      </c>
      <c r="G481" s="71" t="s">
        <v>241</v>
      </c>
      <c r="H481" s="71" t="s">
        <v>240</v>
      </c>
      <c r="S481" s="11"/>
      <c r="T481" s="11"/>
      <c r="U481" s="11"/>
      <c r="V481" s="11"/>
      <c r="W481" s="11"/>
    </row>
    <row r="482" spans="2:23" ht="25.5" customHeight="1">
      <c r="B482" s="70">
        <v>471</v>
      </c>
      <c r="C482" s="70" t="s">
        <v>1012</v>
      </c>
      <c r="D482" s="70" t="s">
        <v>903</v>
      </c>
      <c r="E482" s="71" t="s">
        <v>152</v>
      </c>
      <c r="F482" s="71" t="s">
        <v>2162</v>
      </c>
      <c r="G482" s="71" t="s">
        <v>241</v>
      </c>
      <c r="H482" s="71" t="s">
        <v>240</v>
      </c>
      <c r="S482" s="11"/>
      <c r="T482" s="11"/>
      <c r="U482" s="11"/>
      <c r="V482" s="11"/>
      <c r="W482" s="11"/>
    </row>
    <row r="483" spans="2:23" ht="25.5" customHeight="1">
      <c r="B483" s="70">
        <v>472</v>
      </c>
      <c r="C483" s="70" t="s">
        <v>1013</v>
      </c>
      <c r="D483" s="70" t="s">
        <v>1014</v>
      </c>
      <c r="E483" s="71" t="s">
        <v>152</v>
      </c>
      <c r="F483" s="71" t="s">
        <v>2162</v>
      </c>
      <c r="G483" s="71" t="s">
        <v>241</v>
      </c>
      <c r="H483" s="71" t="s">
        <v>240</v>
      </c>
      <c r="S483" s="11"/>
      <c r="T483" s="11"/>
      <c r="U483" s="11"/>
      <c r="V483" s="11"/>
      <c r="W483" s="11"/>
    </row>
    <row r="484" spans="2:23" ht="25.5" customHeight="1">
      <c r="B484" s="70">
        <v>473</v>
      </c>
      <c r="C484" s="70" t="s">
        <v>1015</v>
      </c>
      <c r="D484" s="70" t="s">
        <v>1016</v>
      </c>
      <c r="E484" s="71" t="s">
        <v>152</v>
      </c>
      <c r="F484" s="71" t="s">
        <v>2162</v>
      </c>
      <c r="G484" s="71" t="s">
        <v>241</v>
      </c>
      <c r="H484" s="71" t="s">
        <v>240</v>
      </c>
      <c r="S484" s="11"/>
      <c r="T484" s="11"/>
      <c r="U484" s="11"/>
      <c r="V484" s="11"/>
      <c r="W484" s="11"/>
    </row>
    <row r="485" spans="2:23" ht="25.5" customHeight="1">
      <c r="B485" s="70">
        <v>474</v>
      </c>
      <c r="C485" s="70" t="s">
        <v>1017</v>
      </c>
      <c r="D485" s="70" t="s">
        <v>1018</v>
      </c>
      <c r="E485" s="71" t="s">
        <v>152</v>
      </c>
      <c r="F485" s="71" t="s">
        <v>2162</v>
      </c>
      <c r="G485" s="71" t="s">
        <v>241</v>
      </c>
      <c r="H485" s="71" t="s">
        <v>240</v>
      </c>
      <c r="S485" s="11"/>
      <c r="T485" s="11"/>
      <c r="U485" s="11"/>
      <c r="V485" s="11"/>
      <c r="W485" s="11"/>
    </row>
    <row r="486" spans="2:23" ht="25.5" customHeight="1">
      <c r="B486" s="70">
        <v>475</v>
      </c>
      <c r="C486" s="70" t="s">
        <v>1019</v>
      </c>
      <c r="D486" s="70" t="s">
        <v>1020</v>
      </c>
      <c r="E486" s="71" t="s">
        <v>152</v>
      </c>
      <c r="F486" s="71" t="s">
        <v>2162</v>
      </c>
      <c r="G486" s="71" t="s">
        <v>241</v>
      </c>
      <c r="H486" s="71" t="s">
        <v>240</v>
      </c>
      <c r="S486" s="11"/>
      <c r="T486" s="11"/>
      <c r="U486" s="11"/>
      <c r="V486" s="11"/>
      <c r="W486" s="11"/>
    </row>
    <row r="487" spans="2:23" ht="25.5" customHeight="1">
      <c r="B487" s="70">
        <v>476</v>
      </c>
      <c r="C487" s="70" t="s">
        <v>1021</v>
      </c>
      <c r="D487" s="70" t="s">
        <v>1022</v>
      </c>
      <c r="E487" s="71" t="s">
        <v>152</v>
      </c>
      <c r="F487" s="71" t="s">
        <v>2162</v>
      </c>
      <c r="G487" s="71" t="s">
        <v>241</v>
      </c>
      <c r="H487" s="71" t="s">
        <v>240</v>
      </c>
      <c r="S487" s="11"/>
      <c r="T487" s="11"/>
      <c r="U487" s="11"/>
      <c r="V487" s="11"/>
      <c r="W487" s="11"/>
    </row>
    <row r="488" spans="2:23" ht="25.5" customHeight="1">
      <c r="B488" s="70">
        <v>477</v>
      </c>
      <c r="C488" s="70" t="s">
        <v>1023</v>
      </c>
      <c r="D488" s="70" t="s">
        <v>1024</v>
      </c>
      <c r="E488" s="71" t="s">
        <v>152</v>
      </c>
      <c r="F488" s="71" t="s">
        <v>2162</v>
      </c>
      <c r="G488" s="71" t="s">
        <v>241</v>
      </c>
      <c r="H488" s="71" t="s">
        <v>240</v>
      </c>
      <c r="S488" s="11"/>
      <c r="T488" s="11"/>
      <c r="U488" s="11"/>
      <c r="V488" s="11"/>
      <c r="W488" s="11"/>
    </row>
    <row r="489" spans="2:23" ht="25.5" customHeight="1">
      <c r="B489" s="70">
        <v>478</v>
      </c>
      <c r="C489" s="70" t="s">
        <v>1025</v>
      </c>
      <c r="D489" s="70" t="s">
        <v>1026</v>
      </c>
      <c r="E489" s="71" t="s">
        <v>152</v>
      </c>
      <c r="F489" s="71" t="s">
        <v>2162</v>
      </c>
      <c r="G489" s="71" t="s">
        <v>241</v>
      </c>
      <c r="H489" s="71" t="s">
        <v>240</v>
      </c>
      <c r="S489" s="11"/>
      <c r="T489" s="11"/>
      <c r="U489" s="11"/>
      <c r="V489" s="11"/>
      <c r="W489" s="11"/>
    </row>
    <row r="490" spans="2:23" ht="25.5" customHeight="1">
      <c r="B490" s="70">
        <v>479</v>
      </c>
      <c r="C490" s="70" t="s">
        <v>1027</v>
      </c>
      <c r="D490" s="70" t="s">
        <v>1028</v>
      </c>
      <c r="E490" s="71" t="s">
        <v>152</v>
      </c>
      <c r="F490" s="71" t="s">
        <v>2162</v>
      </c>
      <c r="G490" s="71" t="s">
        <v>241</v>
      </c>
      <c r="H490" s="71" t="s">
        <v>240</v>
      </c>
      <c r="S490" s="11"/>
      <c r="T490" s="11"/>
      <c r="U490" s="11"/>
      <c r="V490" s="11"/>
      <c r="W490" s="11"/>
    </row>
    <row r="491" spans="2:23" ht="25.5" customHeight="1">
      <c r="B491" s="70">
        <v>480</v>
      </c>
      <c r="C491" s="70" t="s">
        <v>1029</v>
      </c>
      <c r="D491" s="70" t="s">
        <v>1030</v>
      </c>
      <c r="E491" s="71" t="s">
        <v>152</v>
      </c>
      <c r="F491" s="71" t="s">
        <v>2162</v>
      </c>
      <c r="G491" s="71" t="s">
        <v>241</v>
      </c>
      <c r="H491" s="71" t="s">
        <v>240</v>
      </c>
      <c r="S491" s="11"/>
      <c r="T491" s="11"/>
      <c r="U491" s="11"/>
      <c r="V491" s="11"/>
      <c r="W491" s="11"/>
    </row>
    <row r="492" spans="2:23" ht="25.5" customHeight="1">
      <c r="B492" s="70">
        <v>481</v>
      </c>
      <c r="C492" s="70" t="s">
        <v>1031</v>
      </c>
      <c r="D492" s="70" t="s">
        <v>1032</v>
      </c>
      <c r="E492" s="71" t="s">
        <v>152</v>
      </c>
      <c r="F492" s="71" t="s">
        <v>2162</v>
      </c>
      <c r="G492" s="71" t="s">
        <v>241</v>
      </c>
      <c r="H492" s="71" t="s">
        <v>240</v>
      </c>
      <c r="S492" s="11"/>
      <c r="T492" s="11"/>
      <c r="U492" s="11"/>
      <c r="V492" s="11"/>
      <c r="W492" s="11"/>
    </row>
    <row r="493" spans="2:23" ht="25.5" customHeight="1">
      <c r="B493" s="70">
        <v>482</v>
      </c>
      <c r="C493" s="70" t="s">
        <v>1033</v>
      </c>
      <c r="D493" s="70" t="s">
        <v>1034</v>
      </c>
      <c r="E493" s="71" t="s">
        <v>152</v>
      </c>
      <c r="F493" s="71" t="s">
        <v>2162</v>
      </c>
      <c r="G493" s="71" t="s">
        <v>241</v>
      </c>
      <c r="H493" s="71" t="s">
        <v>240</v>
      </c>
      <c r="S493" s="11"/>
      <c r="T493" s="11"/>
      <c r="U493" s="11"/>
      <c r="V493" s="11"/>
      <c r="W493" s="11"/>
    </row>
    <row r="494" spans="2:23" ht="25.5" customHeight="1">
      <c r="B494" s="70">
        <v>483</v>
      </c>
      <c r="C494" s="70" t="s">
        <v>1035</v>
      </c>
      <c r="D494" s="70" t="s">
        <v>1036</v>
      </c>
      <c r="E494" s="71" t="s">
        <v>152</v>
      </c>
      <c r="F494" s="71" t="s">
        <v>2162</v>
      </c>
      <c r="G494" s="71" t="s">
        <v>241</v>
      </c>
      <c r="H494" s="71" t="s">
        <v>240</v>
      </c>
      <c r="S494" s="11"/>
      <c r="T494" s="11"/>
      <c r="U494" s="11"/>
      <c r="V494" s="11"/>
      <c r="W494" s="11"/>
    </row>
    <row r="495" spans="2:23" ht="25.5" customHeight="1">
      <c r="B495" s="70">
        <v>484</v>
      </c>
      <c r="C495" s="70" t="s">
        <v>1037</v>
      </c>
      <c r="D495" s="70" t="s">
        <v>1038</v>
      </c>
      <c r="E495" s="71" t="s">
        <v>152</v>
      </c>
      <c r="F495" s="71" t="s">
        <v>2162</v>
      </c>
      <c r="G495" s="71" t="s">
        <v>241</v>
      </c>
      <c r="H495" s="71" t="s">
        <v>240</v>
      </c>
      <c r="S495" s="11"/>
      <c r="T495" s="11"/>
      <c r="U495" s="11"/>
      <c r="V495" s="11"/>
      <c r="W495" s="11"/>
    </row>
    <row r="496" spans="2:23" s="10" customFormat="1" ht="25.5" customHeight="1">
      <c r="B496" s="70">
        <v>485</v>
      </c>
      <c r="C496" s="70" t="s">
        <v>1039</v>
      </c>
      <c r="D496" s="70" t="s">
        <v>2213</v>
      </c>
      <c r="E496" s="71" t="s">
        <v>35</v>
      </c>
      <c r="F496" s="71" t="s">
        <v>2138</v>
      </c>
      <c r="G496" s="70" t="s">
        <v>201</v>
      </c>
      <c r="H496" s="70" t="s">
        <v>200</v>
      </c>
    </row>
    <row r="497" spans="2:23" s="10" customFormat="1" ht="25.5" customHeight="1">
      <c r="B497" s="70">
        <v>486</v>
      </c>
      <c r="C497" s="70" t="s">
        <v>1041</v>
      </c>
      <c r="D497" s="70" t="s">
        <v>2214</v>
      </c>
      <c r="E497" s="71" t="s">
        <v>35</v>
      </c>
      <c r="F497" s="71" t="s">
        <v>2138</v>
      </c>
      <c r="G497" s="70" t="s">
        <v>203</v>
      </c>
      <c r="H497" s="70" t="s">
        <v>202</v>
      </c>
    </row>
    <row r="498" spans="2:23" s="10" customFormat="1" ht="25.5" customHeight="1">
      <c r="B498" s="70">
        <v>487</v>
      </c>
      <c r="C498" s="70" t="s">
        <v>1043</v>
      </c>
      <c r="D498" s="70" t="s">
        <v>2215</v>
      </c>
      <c r="E498" s="71" t="s">
        <v>35</v>
      </c>
      <c r="F498" s="71" t="s">
        <v>2138</v>
      </c>
      <c r="G498" s="70" t="s">
        <v>199</v>
      </c>
      <c r="H498" s="70" t="s">
        <v>198</v>
      </c>
    </row>
    <row r="499" spans="2:23" s="10" customFormat="1" ht="25.5" customHeight="1">
      <c r="B499" s="70">
        <v>488</v>
      </c>
      <c r="C499" s="70" t="s">
        <v>1045</v>
      </c>
      <c r="D499" s="70" t="s">
        <v>2216</v>
      </c>
      <c r="E499" s="71" t="s">
        <v>35</v>
      </c>
      <c r="F499" s="71" t="s">
        <v>2138</v>
      </c>
      <c r="G499" s="70" t="s">
        <v>205</v>
      </c>
      <c r="H499" s="70" t="s">
        <v>204</v>
      </c>
    </row>
    <row r="500" spans="2:23" s="10" customFormat="1" ht="25.5" customHeight="1">
      <c r="B500" s="70">
        <v>489</v>
      </c>
      <c r="C500" s="70" t="s">
        <v>1048</v>
      </c>
      <c r="D500" s="70" t="s">
        <v>2217</v>
      </c>
      <c r="E500" s="140" t="s">
        <v>64</v>
      </c>
      <c r="F500" s="71" t="s">
        <v>70</v>
      </c>
      <c r="G500" s="70" t="s">
        <v>1998</v>
      </c>
      <c r="H500" s="70" t="s">
        <v>1999</v>
      </c>
    </row>
    <row r="501" spans="2:23" s="29" customFormat="1" ht="25.5" customHeight="1">
      <c r="B501" s="70">
        <v>490</v>
      </c>
      <c r="C501" s="71" t="s">
        <v>1050</v>
      </c>
      <c r="D501" s="71" t="s">
        <v>2218</v>
      </c>
      <c r="E501" s="140" t="s">
        <v>64</v>
      </c>
      <c r="F501" s="71" t="s">
        <v>80</v>
      </c>
      <c r="G501" s="71" t="s">
        <v>81</v>
      </c>
      <c r="H501" s="71" t="s">
        <v>2046</v>
      </c>
    </row>
    <row r="502" spans="2:23" s="29" customFormat="1" ht="25.5" customHeight="1">
      <c r="B502" s="70">
        <v>491</v>
      </c>
      <c r="C502" s="71" t="s">
        <v>1052</v>
      </c>
      <c r="D502" s="71" t="s">
        <v>2219</v>
      </c>
      <c r="E502" s="140" t="s">
        <v>64</v>
      </c>
      <c r="F502" s="71" t="s">
        <v>80</v>
      </c>
      <c r="G502" s="71" t="s">
        <v>81</v>
      </c>
      <c r="H502" s="71" t="s">
        <v>2046</v>
      </c>
    </row>
    <row r="503" spans="2:23" ht="25.5" customHeight="1">
      <c r="B503" s="70">
        <v>492</v>
      </c>
      <c r="C503" s="70" t="s">
        <v>2047</v>
      </c>
      <c r="D503" s="70" t="s">
        <v>2220</v>
      </c>
      <c r="E503" s="140" t="s">
        <v>24</v>
      </c>
      <c r="F503" s="71" t="s">
        <v>2110</v>
      </c>
      <c r="G503" s="71" t="s">
        <v>1954</v>
      </c>
      <c r="H503" s="71" t="s">
        <v>30</v>
      </c>
      <c r="S503" s="11"/>
      <c r="T503" s="11"/>
      <c r="U503" s="11"/>
      <c r="V503" s="11"/>
      <c r="W503" s="11"/>
    </row>
    <row r="504" spans="2:23" ht="25.5" customHeight="1">
      <c r="B504" s="70">
        <v>493</v>
      </c>
      <c r="C504" s="70" t="s">
        <v>2048</v>
      </c>
      <c r="D504" s="70" t="s">
        <v>2221</v>
      </c>
      <c r="E504" s="140" t="s">
        <v>24</v>
      </c>
      <c r="F504" s="71" t="s">
        <v>2110</v>
      </c>
      <c r="G504" s="71" t="s">
        <v>1956</v>
      </c>
      <c r="H504" s="71" t="s">
        <v>31</v>
      </c>
      <c r="S504" s="11"/>
      <c r="T504" s="11"/>
      <c r="U504" s="11"/>
      <c r="V504" s="11"/>
      <c r="W504" s="11"/>
    </row>
    <row r="505" spans="2:23" ht="25.5" customHeight="1">
      <c r="B505" s="70">
        <v>494</v>
      </c>
      <c r="C505" s="70" t="s">
        <v>2049</v>
      </c>
      <c r="D505" s="70" t="s">
        <v>2050</v>
      </c>
      <c r="E505" s="140" t="s">
        <v>64</v>
      </c>
      <c r="F505" s="70" t="s">
        <v>2092</v>
      </c>
      <c r="G505" s="70" t="s">
        <v>2051</v>
      </c>
      <c r="H505" s="70" t="s">
        <v>160</v>
      </c>
      <c r="S505" s="11"/>
      <c r="T505" s="11"/>
      <c r="U505" s="11"/>
      <c r="V505" s="11"/>
      <c r="W505" s="11"/>
    </row>
    <row r="506" spans="2:23" ht="25.5" customHeight="1">
      <c r="B506" s="70">
        <v>495</v>
      </c>
      <c r="C506" s="70" t="s">
        <v>2052</v>
      </c>
      <c r="D506" s="70" t="s">
        <v>2053</v>
      </c>
      <c r="E506" s="140" t="s">
        <v>64</v>
      </c>
      <c r="F506" s="71" t="s">
        <v>2162</v>
      </c>
      <c r="G506" s="71" t="s">
        <v>238</v>
      </c>
      <c r="H506" s="71" t="s">
        <v>237</v>
      </c>
      <c r="S506" s="11"/>
      <c r="T506" s="11"/>
      <c r="U506" s="11"/>
      <c r="V506" s="11"/>
      <c r="W506" s="11"/>
    </row>
    <row r="507" spans="2:23" ht="25.5" customHeight="1">
      <c r="B507" s="70">
        <v>496</v>
      </c>
      <c r="C507" s="71" t="s">
        <v>1040</v>
      </c>
      <c r="D507" s="71" t="s">
        <v>2222</v>
      </c>
      <c r="E507" s="140" t="s">
        <v>35</v>
      </c>
      <c r="F507" s="140" t="s">
        <v>2139</v>
      </c>
      <c r="G507" s="141" t="s">
        <v>17</v>
      </c>
      <c r="H507" s="70" t="s">
        <v>189</v>
      </c>
      <c r="S507" s="11"/>
      <c r="T507" s="11"/>
      <c r="U507" s="11"/>
      <c r="V507" s="11"/>
      <c r="W507" s="11"/>
    </row>
    <row r="508" spans="2:23" ht="25.5" customHeight="1">
      <c r="B508" s="70">
        <v>497</v>
      </c>
      <c r="C508" s="70" t="s">
        <v>1042</v>
      </c>
      <c r="D508" s="70" t="s">
        <v>2222</v>
      </c>
      <c r="E508" s="140" t="s">
        <v>35</v>
      </c>
      <c r="F508" s="139" t="s">
        <v>2139</v>
      </c>
      <c r="G508" s="141" t="s">
        <v>17</v>
      </c>
      <c r="H508" s="70" t="s">
        <v>189</v>
      </c>
      <c r="S508" s="11"/>
      <c r="T508" s="11"/>
      <c r="U508" s="11"/>
      <c r="V508" s="11"/>
      <c r="W508" s="11"/>
    </row>
    <row r="509" spans="2:23" ht="25.5" customHeight="1">
      <c r="B509" s="70">
        <v>498</v>
      </c>
      <c r="C509" s="71" t="s">
        <v>1044</v>
      </c>
      <c r="D509" s="71" t="s">
        <v>2223</v>
      </c>
      <c r="E509" s="140" t="s">
        <v>35</v>
      </c>
      <c r="F509" s="140" t="s">
        <v>2139</v>
      </c>
      <c r="G509" s="141" t="s">
        <v>17</v>
      </c>
      <c r="H509" s="70" t="s">
        <v>189</v>
      </c>
      <c r="S509" s="11"/>
      <c r="T509" s="11"/>
      <c r="U509" s="11"/>
      <c r="V509" s="11"/>
      <c r="W509" s="11"/>
    </row>
    <row r="510" spans="2:23" ht="25.5" customHeight="1">
      <c r="B510" s="70">
        <v>499</v>
      </c>
      <c r="C510" s="70" t="s">
        <v>1046</v>
      </c>
      <c r="D510" s="70" t="s">
        <v>2223</v>
      </c>
      <c r="E510" s="140" t="s">
        <v>35</v>
      </c>
      <c r="F510" s="139" t="s">
        <v>2139</v>
      </c>
      <c r="G510" s="141" t="s">
        <v>17</v>
      </c>
      <c r="H510" s="70" t="s">
        <v>189</v>
      </c>
      <c r="S510" s="11"/>
      <c r="T510" s="11"/>
      <c r="U510" s="11"/>
      <c r="V510" s="11"/>
      <c r="W510" s="11"/>
    </row>
    <row r="511" spans="2:23" ht="25.5" customHeight="1">
      <c r="B511" s="70">
        <v>500</v>
      </c>
      <c r="C511" s="70" t="s">
        <v>1047</v>
      </c>
      <c r="D511" s="70" t="s">
        <v>2224</v>
      </c>
      <c r="E511" s="140" t="s">
        <v>35</v>
      </c>
      <c r="F511" s="139" t="s">
        <v>2138</v>
      </c>
      <c r="G511" s="141" t="s">
        <v>16</v>
      </c>
      <c r="H511" s="70" t="s">
        <v>210</v>
      </c>
      <c r="S511" s="11"/>
      <c r="T511" s="11"/>
      <c r="U511" s="11"/>
      <c r="V511" s="11"/>
      <c r="W511" s="11"/>
    </row>
    <row r="512" spans="2:23" ht="25.5" customHeight="1">
      <c r="B512" s="70">
        <v>501</v>
      </c>
      <c r="C512" s="70" t="s">
        <v>1049</v>
      </c>
      <c r="D512" s="70" t="s">
        <v>2225</v>
      </c>
      <c r="E512" s="140" t="s">
        <v>35</v>
      </c>
      <c r="F512" s="139" t="s">
        <v>2138</v>
      </c>
      <c r="G512" s="141" t="s">
        <v>16</v>
      </c>
      <c r="H512" s="70" t="s">
        <v>210</v>
      </c>
      <c r="S512" s="11"/>
      <c r="T512" s="11"/>
      <c r="U512" s="11"/>
      <c r="V512" s="11"/>
      <c r="W512" s="11"/>
    </row>
    <row r="513" spans="2:23" ht="25.5" customHeight="1">
      <c r="B513" s="70">
        <v>502</v>
      </c>
      <c r="C513" s="70" t="s">
        <v>1051</v>
      </c>
      <c r="D513" s="70" t="s">
        <v>2226</v>
      </c>
      <c r="E513" s="140" t="s">
        <v>35</v>
      </c>
      <c r="F513" s="139" t="s">
        <v>2138</v>
      </c>
      <c r="G513" s="141" t="s">
        <v>18</v>
      </c>
      <c r="H513" s="70" t="s">
        <v>215</v>
      </c>
      <c r="S513" s="11"/>
      <c r="T513" s="11"/>
      <c r="U513" s="11"/>
      <c r="V513" s="11"/>
      <c r="W513" s="11"/>
    </row>
    <row r="514" spans="2:23" ht="25.5" customHeight="1">
      <c r="B514" s="70">
        <v>503</v>
      </c>
      <c r="C514" s="70" t="s">
        <v>1053</v>
      </c>
      <c r="D514" s="70" t="s">
        <v>2227</v>
      </c>
      <c r="E514" s="140" t="s">
        <v>35</v>
      </c>
      <c r="F514" s="139" t="s">
        <v>2138</v>
      </c>
      <c r="G514" s="141" t="s">
        <v>217</v>
      </c>
      <c r="H514" s="70" t="s">
        <v>216</v>
      </c>
      <c r="S514" s="11"/>
      <c r="T514" s="11"/>
      <c r="U514" s="11"/>
      <c r="V514" s="11"/>
      <c r="W514" s="11"/>
    </row>
    <row r="515" spans="2:23" ht="25.5" customHeight="1">
      <c r="B515" s="70">
        <v>504</v>
      </c>
      <c r="C515" s="70" t="s">
        <v>1054</v>
      </c>
      <c r="D515" s="70" t="s">
        <v>2228</v>
      </c>
      <c r="E515" s="140" t="s">
        <v>35</v>
      </c>
      <c r="F515" s="139" t="s">
        <v>2138</v>
      </c>
      <c r="G515" s="141" t="s">
        <v>217</v>
      </c>
      <c r="H515" s="70" t="s">
        <v>216</v>
      </c>
      <c r="S515" s="11"/>
      <c r="T515" s="11"/>
      <c r="U515" s="11"/>
      <c r="V515" s="11"/>
      <c r="W515" s="11"/>
    </row>
    <row r="516" spans="2:23" ht="25.5" customHeight="1">
      <c r="B516" s="70">
        <v>505</v>
      </c>
      <c r="C516" s="70" t="s">
        <v>1055</v>
      </c>
      <c r="D516" s="70" t="s">
        <v>2229</v>
      </c>
      <c r="E516" s="140" t="s">
        <v>35</v>
      </c>
      <c r="F516" s="139" t="s">
        <v>2138</v>
      </c>
      <c r="G516" s="141" t="s">
        <v>217</v>
      </c>
      <c r="H516" s="70" t="s">
        <v>216</v>
      </c>
      <c r="S516" s="11"/>
      <c r="T516" s="11"/>
      <c r="U516" s="11"/>
      <c r="V516" s="11"/>
      <c r="W516" s="11"/>
    </row>
    <row r="517" spans="2:23" ht="25.5" customHeight="1">
      <c r="B517" s="70">
        <v>506</v>
      </c>
      <c r="C517" s="70" t="s">
        <v>1056</v>
      </c>
      <c r="D517" s="70" t="s">
        <v>2230</v>
      </c>
      <c r="E517" s="140" t="s">
        <v>35</v>
      </c>
      <c r="F517" s="139" t="s">
        <v>2138</v>
      </c>
      <c r="G517" s="141" t="s">
        <v>217</v>
      </c>
      <c r="H517" s="70" t="s">
        <v>216</v>
      </c>
      <c r="S517" s="11"/>
      <c r="T517" s="11"/>
      <c r="U517" s="11"/>
      <c r="V517" s="11"/>
      <c r="W517" s="11"/>
    </row>
    <row r="518" spans="2:23" ht="25.5" customHeight="1">
      <c r="B518" s="70">
        <v>507</v>
      </c>
      <c r="C518" s="70" t="s">
        <v>1057</v>
      </c>
      <c r="D518" s="70" t="s">
        <v>2231</v>
      </c>
      <c r="E518" s="140" t="s">
        <v>35</v>
      </c>
      <c r="F518" s="139" t="s">
        <v>2138</v>
      </c>
      <c r="G518" s="141" t="s">
        <v>217</v>
      </c>
      <c r="H518" s="70" t="s">
        <v>216</v>
      </c>
      <c r="S518" s="11"/>
      <c r="T518" s="11"/>
      <c r="U518" s="11"/>
      <c r="V518" s="11"/>
      <c r="W518" s="11"/>
    </row>
    <row r="519" spans="2:23" ht="25.5" customHeight="1">
      <c r="B519" s="70">
        <v>508</v>
      </c>
      <c r="C519" s="70" t="s">
        <v>1058</v>
      </c>
      <c r="D519" s="70" t="s">
        <v>2232</v>
      </c>
      <c r="E519" s="140" t="s">
        <v>35</v>
      </c>
      <c r="F519" s="139" t="s">
        <v>2138</v>
      </c>
      <c r="G519" s="141" t="s">
        <v>16</v>
      </c>
      <c r="H519" s="70" t="s">
        <v>210</v>
      </c>
      <c r="S519" s="11"/>
      <c r="T519" s="11"/>
      <c r="U519" s="11"/>
      <c r="V519" s="11"/>
      <c r="W519" s="11"/>
    </row>
    <row r="520" spans="2:23" ht="25.5" customHeight="1">
      <c r="B520" s="70">
        <v>509</v>
      </c>
      <c r="C520" s="70" t="s">
        <v>252</v>
      </c>
      <c r="D520" s="70" t="s">
        <v>2233</v>
      </c>
      <c r="E520" s="140" t="s">
        <v>35</v>
      </c>
      <c r="F520" s="139" t="s">
        <v>227</v>
      </c>
      <c r="G520" s="141" t="s">
        <v>231</v>
      </c>
      <c r="H520" s="70" t="s">
        <v>2020</v>
      </c>
      <c r="S520" s="11"/>
      <c r="T520" s="11"/>
      <c r="U520" s="11"/>
      <c r="V520" s="11"/>
      <c r="W520" s="11"/>
    </row>
    <row r="521" spans="2:23" ht="25.5" customHeight="1">
      <c r="B521" s="70">
        <v>510</v>
      </c>
      <c r="C521" s="70" t="s">
        <v>1059</v>
      </c>
      <c r="D521" s="70" t="s">
        <v>2234</v>
      </c>
      <c r="E521" s="140" t="s">
        <v>35</v>
      </c>
      <c r="F521" s="139" t="s">
        <v>227</v>
      </c>
      <c r="G521" s="141" t="s">
        <v>228</v>
      </c>
      <c r="H521" s="70" t="s">
        <v>2054</v>
      </c>
      <c r="S521" s="11"/>
      <c r="T521" s="11"/>
      <c r="U521" s="11"/>
      <c r="V521" s="11"/>
      <c r="W521" s="11"/>
    </row>
    <row r="522" spans="2:23" ht="25.5" customHeight="1">
      <c r="B522" s="70">
        <v>511</v>
      </c>
      <c r="C522" s="70" t="s">
        <v>1060</v>
      </c>
      <c r="D522" s="70" t="s">
        <v>2234</v>
      </c>
      <c r="E522" s="140" t="s">
        <v>35</v>
      </c>
      <c r="F522" s="139" t="s">
        <v>227</v>
      </c>
      <c r="G522" s="141" t="s">
        <v>228</v>
      </c>
      <c r="H522" s="70" t="s">
        <v>2054</v>
      </c>
      <c r="S522" s="11"/>
      <c r="T522" s="11"/>
      <c r="U522" s="11"/>
      <c r="V522" s="11"/>
      <c r="W522" s="11"/>
    </row>
    <row r="523" spans="2:23" ht="25.5" customHeight="1">
      <c r="B523" s="70">
        <v>512</v>
      </c>
      <c r="C523" s="70" t="s">
        <v>1061</v>
      </c>
      <c r="D523" s="70" t="s">
        <v>2235</v>
      </c>
      <c r="E523" s="140" t="s">
        <v>35</v>
      </c>
      <c r="F523" s="139" t="s">
        <v>227</v>
      </c>
      <c r="G523" s="141" t="s">
        <v>230</v>
      </c>
      <c r="H523" s="70" t="s">
        <v>2019</v>
      </c>
      <c r="S523" s="11"/>
      <c r="T523" s="11"/>
      <c r="U523" s="11"/>
      <c r="V523" s="11"/>
      <c r="W523" s="11"/>
    </row>
    <row r="524" spans="2:23" ht="25.5" customHeight="1">
      <c r="B524" s="70">
        <v>513</v>
      </c>
      <c r="C524" s="70" t="s">
        <v>1062</v>
      </c>
      <c r="D524" s="70" t="s">
        <v>2234</v>
      </c>
      <c r="E524" s="140" t="s">
        <v>35</v>
      </c>
      <c r="F524" s="139" t="s">
        <v>227</v>
      </c>
      <c r="G524" s="141" t="s">
        <v>226</v>
      </c>
      <c r="H524" s="70" t="s">
        <v>2055</v>
      </c>
      <c r="S524" s="11"/>
      <c r="T524" s="11"/>
      <c r="U524" s="11"/>
      <c r="V524" s="11"/>
      <c r="W524" s="11"/>
    </row>
    <row r="525" spans="2:23" ht="25.5" customHeight="1">
      <c r="B525" s="70">
        <v>514</v>
      </c>
      <c r="C525" s="70" t="s">
        <v>1063</v>
      </c>
      <c r="D525" s="70" t="s">
        <v>2234</v>
      </c>
      <c r="E525" s="140" t="s">
        <v>35</v>
      </c>
      <c r="F525" s="139" t="s">
        <v>227</v>
      </c>
      <c r="G525" s="141" t="s">
        <v>226</v>
      </c>
      <c r="H525" s="70" t="s">
        <v>2055</v>
      </c>
      <c r="S525" s="11"/>
      <c r="T525" s="11"/>
      <c r="U525" s="11"/>
      <c r="V525" s="11"/>
      <c r="W525" s="11"/>
    </row>
    <row r="526" spans="2:23" ht="25.5" customHeight="1">
      <c r="B526" s="70">
        <v>515</v>
      </c>
      <c r="C526" s="70" t="s">
        <v>1064</v>
      </c>
      <c r="D526" s="70" t="s">
        <v>2236</v>
      </c>
      <c r="E526" s="140" t="s">
        <v>35</v>
      </c>
      <c r="F526" s="139" t="s">
        <v>2139</v>
      </c>
      <c r="G526" s="141" t="s">
        <v>191</v>
      </c>
      <c r="H526" s="70" t="s">
        <v>190</v>
      </c>
      <c r="S526" s="11"/>
      <c r="T526" s="11"/>
      <c r="U526" s="11"/>
      <c r="V526" s="11"/>
      <c r="W526" s="11"/>
    </row>
    <row r="527" spans="2:23" ht="25.5" customHeight="1">
      <c r="B527" s="70">
        <v>516</v>
      </c>
      <c r="C527" s="70" t="s">
        <v>1065</v>
      </c>
      <c r="D527" s="70" t="s">
        <v>2237</v>
      </c>
      <c r="E527" s="140" t="s">
        <v>64</v>
      </c>
      <c r="F527" s="139" t="s">
        <v>2089</v>
      </c>
      <c r="G527" s="141" t="s">
        <v>164</v>
      </c>
      <c r="H527" s="70" t="s">
        <v>163</v>
      </c>
      <c r="S527" s="11"/>
      <c r="T527" s="11"/>
      <c r="U527" s="11"/>
      <c r="V527" s="11"/>
      <c r="W527" s="11"/>
    </row>
    <row r="528" spans="2:23" ht="25.5" customHeight="1">
      <c r="B528" s="70">
        <v>517</v>
      </c>
      <c r="C528" s="70" t="s">
        <v>1066</v>
      </c>
      <c r="D528" s="70" t="s">
        <v>2238</v>
      </c>
      <c r="E528" s="140" t="s">
        <v>64</v>
      </c>
      <c r="F528" s="139" t="s">
        <v>2089</v>
      </c>
      <c r="G528" s="141" t="s">
        <v>162</v>
      </c>
      <c r="H528" s="70" t="s">
        <v>161</v>
      </c>
      <c r="S528" s="11"/>
      <c r="T528" s="11"/>
      <c r="U528" s="11"/>
      <c r="V528" s="11"/>
      <c r="W528" s="11"/>
    </row>
    <row r="529" spans="2:23" ht="25.5" customHeight="1">
      <c r="B529" s="70">
        <v>518</v>
      </c>
      <c r="C529" s="70" t="s">
        <v>1067</v>
      </c>
      <c r="D529" s="70" t="s">
        <v>2239</v>
      </c>
      <c r="E529" s="140" t="s">
        <v>64</v>
      </c>
      <c r="F529" s="139" t="s">
        <v>2089</v>
      </c>
      <c r="G529" s="141" t="s">
        <v>162</v>
      </c>
      <c r="H529" s="70" t="s">
        <v>161</v>
      </c>
      <c r="S529" s="11"/>
      <c r="T529" s="11"/>
      <c r="U529" s="11"/>
      <c r="V529" s="11"/>
      <c r="W529" s="11"/>
    </row>
    <row r="530" spans="2:23" ht="25.5" customHeight="1">
      <c r="B530" s="70">
        <v>519</v>
      </c>
      <c r="C530" s="70" t="s">
        <v>1068</v>
      </c>
      <c r="D530" s="70" t="s">
        <v>2240</v>
      </c>
      <c r="E530" s="140" t="s">
        <v>64</v>
      </c>
      <c r="F530" s="139" t="s">
        <v>165</v>
      </c>
      <c r="G530" s="141" t="s">
        <v>169</v>
      </c>
      <c r="H530" s="70" t="s">
        <v>168</v>
      </c>
      <c r="S530" s="11"/>
      <c r="T530" s="11"/>
      <c r="U530" s="11"/>
      <c r="V530" s="11"/>
      <c r="W530" s="11"/>
    </row>
    <row r="531" spans="2:23" ht="25.5" customHeight="1">
      <c r="B531" s="70">
        <v>520</v>
      </c>
      <c r="C531" s="70" t="s">
        <v>1069</v>
      </c>
      <c r="D531" s="70" t="s">
        <v>2241</v>
      </c>
      <c r="E531" s="140" t="s">
        <v>64</v>
      </c>
      <c r="F531" s="139" t="s">
        <v>2089</v>
      </c>
      <c r="G531" s="141" t="s">
        <v>162</v>
      </c>
      <c r="H531" s="70" t="s">
        <v>161</v>
      </c>
      <c r="S531" s="11"/>
      <c r="T531" s="11"/>
      <c r="U531" s="11"/>
      <c r="V531" s="11"/>
      <c r="W531" s="11"/>
    </row>
    <row r="532" spans="2:23" ht="25.5" customHeight="1">
      <c r="B532" s="70">
        <v>521</v>
      </c>
      <c r="C532" s="70" t="s">
        <v>2242</v>
      </c>
      <c r="D532" s="70" t="s">
        <v>2243</v>
      </c>
      <c r="E532" s="140" t="s">
        <v>64</v>
      </c>
      <c r="F532" s="139" t="s">
        <v>2089</v>
      </c>
      <c r="G532" s="141" t="s">
        <v>2056</v>
      </c>
      <c r="H532" s="70" t="s">
        <v>159</v>
      </c>
      <c r="S532" s="11"/>
      <c r="T532" s="11"/>
      <c r="U532" s="11"/>
      <c r="V532" s="11"/>
      <c r="W532" s="11"/>
    </row>
    <row r="533" spans="2:23" ht="25.5" customHeight="1">
      <c r="B533" s="70">
        <v>522</v>
      </c>
      <c r="C533" s="70" t="s">
        <v>2242</v>
      </c>
      <c r="D533" s="70" t="s">
        <v>2244</v>
      </c>
      <c r="E533" s="140" t="s">
        <v>64</v>
      </c>
      <c r="F533" s="139" t="s">
        <v>2089</v>
      </c>
      <c r="G533" s="141" t="s">
        <v>2057</v>
      </c>
      <c r="H533" s="70" t="s">
        <v>2058</v>
      </c>
      <c r="S533" s="11"/>
      <c r="T533" s="11"/>
      <c r="U533" s="11"/>
      <c r="V533" s="11"/>
      <c r="W533" s="11"/>
    </row>
    <row r="534" spans="2:23" ht="25.5" customHeight="1">
      <c r="B534" s="70">
        <v>523</v>
      </c>
      <c r="C534" s="70" t="s">
        <v>2242</v>
      </c>
      <c r="D534" s="70" t="s">
        <v>2245</v>
      </c>
      <c r="E534" s="140" t="s">
        <v>64</v>
      </c>
      <c r="F534" s="139" t="s">
        <v>2089</v>
      </c>
      <c r="G534" s="141" t="s">
        <v>2059</v>
      </c>
      <c r="H534" s="70" t="s">
        <v>2060</v>
      </c>
      <c r="S534" s="11"/>
      <c r="T534" s="11"/>
      <c r="U534" s="11"/>
      <c r="V534" s="11"/>
      <c r="W534" s="11"/>
    </row>
    <row r="535" spans="2:23" ht="25.5" customHeight="1">
      <c r="B535" s="70">
        <v>524</v>
      </c>
      <c r="C535" s="70" t="s">
        <v>2242</v>
      </c>
      <c r="D535" s="70" t="s">
        <v>2246</v>
      </c>
      <c r="E535" s="140" t="s">
        <v>64</v>
      </c>
      <c r="F535" s="139" t="s">
        <v>2089</v>
      </c>
      <c r="G535" s="141" t="s">
        <v>2061</v>
      </c>
      <c r="H535" s="70" t="s">
        <v>2062</v>
      </c>
      <c r="S535" s="11"/>
      <c r="T535" s="11"/>
      <c r="U535" s="11"/>
      <c r="V535" s="11"/>
      <c r="W535" s="11"/>
    </row>
    <row r="536" spans="2:23" ht="25.5" customHeight="1">
      <c r="B536" s="70">
        <v>525</v>
      </c>
      <c r="C536" s="70" t="s">
        <v>2242</v>
      </c>
      <c r="D536" s="70" t="s">
        <v>2247</v>
      </c>
      <c r="E536" s="140" t="s">
        <v>64</v>
      </c>
      <c r="F536" s="139" t="s">
        <v>2089</v>
      </c>
      <c r="G536" s="141" t="s">
        <v>2063</v>
      </c>
      <c r="H536" s="70" t="s">
        <v>158</v>
      </c>
      <c r="S536" s="11"/>
      <c r="T536" s="11"/>
      <c r="U536" s="11"/>
      <c r="V536" s="11"/>
      <c r="W536" s="11"/>
    </row>
    <row r="537" spans="2:23" ht="25.5" customHeight="1">
      <c r="B537" s="70">
        <v>526</v>
      </c>
      <c r="C537" s="70" t="s">
        <v>1070</v>
      </c>
      <c r="D537" s="70" t="s">
        <v>2248</v>
      </c>
      <c r="E537" s="140" t="s">
        <v>64</v>
      </c>
      <c r="F537" s="139" t="s">
        <v>2089</v>
      </c>
      <c r="G537" s="141" t="s">
        <v>164</v>
      </c>
      <c r="H537" s="70" t="s">
        <v>163</v>
      </c>
      <c r="S537" s="11"/>
      <c r="T537" s="11"/>
      <c r="U537" s="11"/>
      <c r="V537" s="11"/>
      <c r="W537" s="11"/>
    </row>
    <row r="538" spans="2:23" ht="25.5" customHeight="1">
      <c r="B538" s="70">
        <v>527</v>
      </c>
      <c r="C538" s="70" t="s">
        <v>2242</v>
      </c>
      <c r="D538" s="70" t="s">
        <v>2249</v>
      </c>
      <c r="E538" s="140" t="s">
        <v>64</v>
      </c>
      <c r="F538" s="139" t="s">
        <v>2089</v>
      </c>
      <c r="G538" s="141" t="s">
        <v>154</v>
      </c>
      <c r="H538" s="70" t="s">
        <v>153</v>
      </c>
      <c r="S538" s="11"/>
      <c r="T538" s="11"/>
      <c r="U538" s="11"/>
      <c r="V538" s="11"/>
      <c r="W538" s="11"/>
    </row>
    <row r="539" spans="2:23" ht="25.5" customHeight="1">
      <c r="B539" s="70">
        <v>528</v>
      </c>
      <c r="C539" s="70" t="s">
        <v>2242</v>
      </c>
      <c r="D539" s="70" t="s">
        <v>2250</v>
      </c>
      <c r="E539" s="140" t="s">
        <v>64</v>
      </c>
      <c r="F539" s="139" t="s">
        <v>2089</v>
      </c>
      <c r="G539" s="141" t="s">
        <v>154</v>
      </c>
      <c r="H539" s="70" t="s">
        <v>153</v>
      </c>
      <c r="S539" s="11"/>
      <c r="T539" s="11"/>
      <c r="U539" s="11"/>
      <c r="V539" s="11"/>
      <c r="W539" s="11"/>
    </row>
    <row r="540" spans="2:23" ht="25.5" customHeight="1">
      <c r="B540" s="70">
        <v>529</v>
      </c>
      <c r="C540" s="70" t="s">
        <v>2242</v>
      </c>
      <c r="D540" s="70" t="s">
        <v>2251</v>
      </c>
      <c r="E540" s="140" t="s">
        <v>64</v>
      </c>
      <c r="F540" s="139" t="s">
        <v>2089</v>
      </c>
      <c r="G540" s="141" t="s">
        <v>154</v>
      </c>
      <c r="H540" s="70" t="s">
        <v>153</v>
      </c>
      <c r="S540" s="11"/>
      <c r="T540" s="11"/>
      <c r="U540" s="11"/>
      <c r="V540" s="11"/>
      <c r="W540" s="11"/>
    </row>
    <row r="541" spans="2:23" ht="25.5" customHeight="1">
      <c r="B541" s="70">
        <v>530</v>
      </c>
      <c r="C541" s="70" t="s">
        <v>2242</v>
      </c>
      <c r="D541" s="70" t="s">
        <v>2252</v>
      </c>
      <c r="E541" s="140" t="s">
        <v>64</v>
      </c>
      <c r="F541" s="139" t="s">
        <v>2089</v>
      </c>
      <c r="G541" s="141" t="s">
        <v>154</v>
      </c>
      <c r="H541" s="70" t="s">
        <v>153</v>
      </c>
      <c r="S541" s="11"/>
      <c r="T541" s="11"/>
      <c r="U541" s="11"/>
      <c r="V541" s="11"/>
      <c r="W541" s="11"/>
    </row>
    <row r="542" spans="2:23" ht="25.5" customHeight="1">
      <c r="B542" s="70">
        <v>531</v>
      </c>
      <c r="C542" s="70" t="s">
        <v>2242</v>
      </c>
      <c r="D542" s="70" t="s">
        <v>2253</v>
      </c>
      <c r="E542" s="140" t="s">
        <v>64</v>
      </c>
      <c r="F542" s="139" t="s">
        <v>2089</v>
      </c>
      <c r="G542" s="141" t="s">
        <v>2057</v>
      </c>
      <c r="H542" s="70" t="s">
        <v>2058</v>
      </c>
      <c r="S542" s="11"/>
      <c r="T542" s="11"/>
      <c r="U542" s="11"/>
      <c r="V542" s="11"/>
      <c r="W542" s="11"/>
    </row>
    <row r="543" spans="2:23" ht="25.5" customHeight="1">
      <c r="B543" s="70">
        <v>532</v>
      </c>
      <c r="C543" s="70" t="s">
        <v>2242</v>
      </c>
      <c r="D543" s="70" t="s">
        <v>2254</v>
      </c>
      <c r="E543" s="140" t="s">
        <v>64</v>
      </c>
      <c r="F543" s="139" t="s">
        <v>2089</v>
      </c>
      <c r="G543" s="141" t="s">
        <v>2059</v>
      </c>
      <c r="H543" s="70" t="s">
        <v>2060</v>
      </c>
      <c r="S543" s="11"/>
      <c r="T543" s="11"/>
      <c r="U543" s="11"/>
      <c r="V543" s="11"/>
      <c r="W543" s="11"/>
    </row>
    <row r="544" spans="2:23" ht="25.5" customHeight="1">
      <c r="B544" s="70">
        <v>533</v>
      </c>
      <c r="C544" s="70" t="s">
        <v>2242</v>
      </c>
      <c r="D544" s="70" t="s">
        <v>2255</v>
      </c>
      <c r="E544" s="140" t="s">
        <v>64</v>
      </c>
      <c r="F544" s="139" t="s">
        <v>2089</v>
      </c>
      <c r="G544" s="141" t="s">
        <v>2061</v>
      </c>
      <c r="H544" s="70" t="s">
        <v>2062</v>
      </c>
      <c r="S544" s="11"/>
      <c r="T544" s="11"/>
      <c r="U544" s="11"/>
      <c r="V544" s="11"/>
      <c r="W544" s="11"/>
    </row>
    <row r="545" spans="2:23" ht="25.5" customHeight="1">
      <c r="B545" s="70">
        <v>534</v>
      </c>
      <c r="C545" s="70" t="s">
        <v>2242</v>
      </c>
      <c r="D545" s="70" t="s">
        <v>2256</v>
      </c>
      <c r="E545" s="140" t="s">
        <v>64</v>
      </c>
      <c r="F545" s="139" t="s">
        <v>2089</v>
      </c>
      <c r="G545" s="141" t="s">
        <v>2064</v>
      </c>
      <c r="H545" s="70" t="s">
        <v>2065</v>
      </c>
      <c r="S545" s="11"/>
      <c r="T545" s="11"/>
      <c r="U545" s="11"/>
      <c r="V545" s="11"/>
      <c r="W545" s="11"/>
    </row>
    <row r="546" spans="2:23" ht="25.5" customHeight="1">
      <c r="B546" s="70">
        <v>535</v>
      </c>
      <c r="C546" s="70" t="s">
        <v>2242</v>
      </c>
      <c r="D546" s="70" t="s">
        <v>2257</v>
      </c>
      <c r="E546" s="140" t="s">
        <v>64</v>
      </c>
      <c r="F546" s="139" t="s">
        <v>2089</v>
      </c>
      <c r="G546" s="141" t="s">
        <v>2066</v>
      </c>
      <c r="H546" s="70" t="s">
        <v>2067</v>
      </c>
      <c r="S546" s="11"/>
      <c r="T546" s="11"/>
      <c r="U546" s="11"/>
      <c r="V546" s="11"/>
      <c r="W546" s="11"/>
    </row>
    <row r="547" spans="2:23" ht="25.5" customHeight="1">
      <c r="B547" s="70">
        <v>536</v>
      </c>
      <c r="C547" s="70" t="s">
        <v>2242</v>
      </c>
      <c r="D547" s="70" t="s">
        <v>2258</v>
      </c>
      <c r="E547" s="140" t="s">
        <v>64</v>
      </c>
      <c r="F547" s="139" t="s">
        <v>2089</v>
      </c>
      <c r="G547" s="141" t="s">
        <v>2068</v>
      </c>
      <c r="H547" s="70" t="s">
        <v>2069</v>
      </c>
      <c r="S547" s="11"/>
      <c r="T547" s="11"/>
      <c r="U547" s="11"/>
      <c r="V547" s="11"/>
      <c r="W547" s="11"/>
    </row>
    <row r="548" spans="2:23" ht="25.5" customHeight="1">
      <c r="B548" s="70">
        <v>537</v>
      </c>
      <c r="C548" s="70" t="s">
        <v>1071</v>
      </c>
      <c r="D548" s="70" t="s">
        <v>2259</v>
      </c>
      <c r="E548" s="140" t="s">
        <v>64</v>
      </c>
      <c r="F548" s="139" t="s">
        <v>70</v>
      </c>
      <c r="G548" s="141" t="s">
        <v>2070</v>
      </c>
      <c r="H548" s="70" t="s">
        <v>79</v>
      </c>
      <c r="S548" s="11"/>
      <c r="T548" s="11"/>
      <c r="U548" s="11"/>
      <c r="V548" s="11"/>
      <c r="W548" s="11"/>
    </row>
    <row r="549" spans="2:23" ht="25.5" customHeight="1">
      <c r="B549" s="70">
        <v>538</v>
      </c>
      <c r="C549" s="70" t="s">
        <v>1072</v>
      </c>
      <c r="D549" s="70" t="s">
        <v>2260</v>
      </c>
      <c r="E549" s="140" t="s">
        <v>64</v>
      </c>
      <c r="F549" s="139" t="s">
        <v>70</v>
      </c>
      <c r="G549" s="141" t="s">
        <v>78</v>
      </c>
      <c r="H549" s="70" t="s">
        <v>77</v>
      </c>
      <c r="S549" s="11"/>
      <c r="T549" s="11"/>
      <c r="U549" s="11"/>
      <c r="V549" s="11"/>
      <c r="W549" s="11"/>
    </row>
    <row r="550" spans="2:23" ht="25.5" customHeight="1">
      <c r="B550" s="70">
        <v>539</v>
      </c>
      <c r="C550" s="70" t="s">
        <v>1073</v>
      </c>
      <c r="D550" s="70" t="s">
        <v>2261</v>
      </c>
      <c r="E550" s="140" t="s">
        <v>64</v>
      </c>
      <c r="F550" s="139" t="s">
        <v>70</v>
      </c>
      <c r="G550" s="141" t="s">
        <v>76</v>
      </c>
      <c r="H550" s="70" t="s">
        <v>75</v>
      </c>
      <c r="S550" s="11"/>
      <c r="T550" s="11"/>
      <c r="U550" s="11"/>
      <c r="V550" s="11"/>
      <c r="W550" s="11"/>
    </row>
    <row r="551" spans="2:23" ht="25.5" customHeight="1">
      <c r="B551" s="70">
        <v>540</v>
      </c>
      <c r="C551" s="70" t="s">
        <v>1074</v>
      </c>
      <c r="D551" s="70" t="s">
        <v>2262</v>
      </c>
      <c r="E551" s="140" t="s">
        <v>64</v>
      </c>
      <c r="F551" s="139" t="s">
        <v>2108</v>
      </c>
      <c r="G551" s="141" t="s">
        <v>109</v>
      </c>
      <c r="H551" s="70" t="s">
        <v>108</v>
      </c>
      <c r="S551" s="11"/>
      <c r="T551" s="11"/>
      <c r="U551" s="11"/>
      <c r="V551" s="11"/>
      <c r="W551" s="11"/>
    </row>
    <row r="552" spans="2:23" ht="25.5" customHeight="1">
      <c r="B552" s="70">
        <v>541</v>
      </c>
      <c r="C552" s="70" t="s">
        <v>1075</v>
      </c>
      <c r="D552" s="70" t="s">
        <v>2263</v>
      </c>
      <c r="E552" s="140" t="s">
        <v>64</v>
      </c>
      <c r="F552" s="139" t="s">
        <v>70</v>
      </c>
      <c r="G552" s="141" t="s">
        <v>74</v>
      </c>
      <c r="H552" s="70" t="s">
        <v>73</v>
      </c>
      <c r="S552" s="11"/>
      <c r="T552" s="11"/>
      <c r="U552" s="11"/>
      <c r="V552" s="11"/>
      <c r="W552" s="11"/>
    </row>
    <row r="553" spans="2:23" ht="25.5" customHeight="1">
      <c r="B553" s="70">
        <v>542</v>
      </c>
      <c r="C553" s="70" t="s">
        <v>1076</v>
      </c>
      <c r="D553" s="70" t="s">
        <v>2264</v>
      </c>
      <c r="E553" s="140" t="s">
        <v>64</v>
      </c>
      <c r="F553" s="139" t="s">
        <v>70</v>
      </c>
      <c r="G553" s="141" t="s">
        <v>78</v>
      </c>
      <c r="H553" s="70" t="s">
        <v>77</v>
      </c>
      <c r="S553" s="11"/>
      <c r="T553" s="11"/>
      <c r="U553" s="11"/>
      <c r="V553" s="11"/>
      <c r="W553" s="11"/>
    </row>
    <row r="554" spans="2:23" ht="25.5" customHeight="1">
      <c r="B554" s="70">
        <v>543</v>
      </c>
      <c r="C554" s="70" t="s">
        <v>2071</v>
      </c>
      <c r="D554" s="70" t="s">
        <v>2265</v>
      </c>
      <c r="E554" s="140" t="s">
        <v>64</v>
      </c>
      <c r="F554" s="139" t="s">
        <v>70</v>
      </c>
      <c r="G554" s="141" t="s">
        <v>72</v>
      </c>
      <c r="H554" s="70" t="s">
        <v>71</v>
      </c>
      <c r="S554" s="11"/>
      <c r="T554" s="11"/>
      <c r="U554" s="11"/>
      <c r="V554" s="11"/>
      <c r="W554" s="11"/>
    </row>
    <row r="555" spans="2:23" ht="25.5" customHeight="1">
      <c r="B555" s="70">
        <v>544</v>
      </c>
      <c r="C555" s="70" t="s">
        <v>1077</v>
      </c>
      <c r="D555" s="70" t="s">
        <v>2266</v>
      </c>
      <c r="E555" s="140" t="s">
        <v>64</v>
      </c>
      <c r="F555" s="139" t="s">
        <v>2108</v>
      </c>
      <c r="G555" s="141" t="s">
        <v>105</v>
      </c>
      <c r="H555" s="70" t="s">
        <v>104</v>
      </c>
      <c r="S555" s="11"/>
      <c r="T555" s="11"/>
      <c r="U555" s="11"/>
      <c r="V555" s="11"/>
      <c r="W555" s="11"/>
    </row>
    <row r="556" spans="2:23" ht="25.5" customHeight="1">
      <c r="B556" s="70">
        <v>545</v>
      </c>
      <c r="C556" s="70" t="s">
        <v>1078</v>
      </c>
      <c r="D556" s="70" t="s">
        <v>2267</v>
      </c>
      <c r="E556" s="140" t="s">
        <v>64</v>
      </c>
      <c r="F556" s="139" t="s">
        <v>2092</v>
      </c>
      <c r="G556" s="141" t="s">
        <v>134</v>
      </c>
      <c r="H556" s="70" t="s">
        <v>133</v>
      </c>
      <c r="S556" s="11"/>
      <c r="T556" s="11"/>
      <c r="U556" s="11"/>
      <c r="V556" s="11"/>
      <c r="W556" s="11"/>
    </row>
    <row r="557" spans="2:23" ht="25.5" customHeight="1">
      <c r="B557" s="70">
        <v>546</v>
      </c>
      <c r="C557" s="70" t="s">
        <v>1079</v>
      </c>
      <c r="D557" s="70" t="s">
        <v>2268</v>
      </c>
      <c r="E557" s="140" t="s">
        <v>64</v>
      </c>
      <c r="F557" s="139" t="s">
        <v>2092</v>
      </c>
      <c r="G557" s="141" t="s">
        <v>136</v>
      </c>
      <c r="H557" s="70" t="s">
        <v>135</v>
      </c>
      <c r="S557" s="11"/>
      <c r="T557" s="11"/>
      <c r="U557" s="11"/>
      <c r="V557" s="11"/>
      <c r="W557" s="11"/>
    </row>
    <row r="558" spans="2:23" ht="25.5" customHeight="1">
      <c r="B558" s="70">
        <v>547</v>
      </c>
      <c r="C558" s="70" t="s">
        <v>1080</v>
      </c>
      <c r="D558" s="70" t="s">
        <v>2269</v>
      </c>
      <c r="E558" s="140" t="s">
        <v>64</v>
      </c>
      <c r="F558" s="139" t="s">
        <v>2092</v>
      </c>
      <c r="G558" s="141" t="s">
        <v>118</v>
      </c>
      <c r="H558" s="70" t="s">
        <v>117</v>
      </c>
      <c r="S558" s="11"/>
      <c r="T558" s="11"/>
      <c r="U558" s="11"/>
      <c r="V558" s="11"/>
      <c r="W558" s="11"/>
    </row>
    <row r="559" spans="2:23" ht="25.5" customHeight="1">
      <c r="B559" s="70">
        <v>548</v>
      </c>
      <c r="C559" s="70" t="s">
        <v>1081</v>
      </c>
      <c r="D559" s="70" t="s">
        <v>2270</v>
      </c>
      <c r="E559" s="140" t="s">
        <v>64</v>
      </c>
      <c r="F559" s="139" t="s">
        <v>2092</v>
      </c>
      <c r="G559" s="141" t="s">
        <v>118</v>
      </c>
      <c r="H559" s="70" t="s">
        <v>117</v>
      </c>
      <c r="S559" s="11"/>
      <c r="T559" s="11"/>
      <c r="U559" s="11"/>
      <c r="V559" s="11"/>
      <c r="W559" s="11"/>
    </row>
    <row r="560" spans="2:23" ht="25.5" customHeight="1">
      <c r="B560" s="70">
        <v>549</v>
      </c>
      <c r="C560" s="70" t="s">
        <v>1082</v>
      </c>
      <c r="D560" s="70" t="s">
        <v>2271</v>
      </c>
      <c r="E560" s="140" t="s">
        <v>64</v>
      </c>
      <c r="F560" s="139" t="s">
        <v>2092</v>
      </c>
      <c r="G560" s="141" t="s">
        <v>120</v>
      </c>
      <c r="H560" s="70" t="s">
        <v>119</v>
      </c>
      <c r="S560" s="11"/>
      <c r="T560" s="11"/>
      <c r="U560" s="11"/>
      <c r="V560" s="11"/>
      <c r="W560" s="11"/>
    </row>
    <row r="561" spans="2:23" ht="25.5" customHeight="1">
      <c r="B561" s="70">
        <v>550</v>
      </c>
      <c r="C561" s="70" t="s">
        <v>1083</v>
      </c>
      <c r="D561" s="70" t="s">
        <v>2272</v>
      </c>
      <c r="E561" s="140" t="s">
        <v>64</v>
      </c>
      <c r="F561" s="139" t="s">
        <v>2092</v>
      </c>
      <c r="G561" s="141" t="s">
        <v>120</v>
      </c>
      <c r="H561" s="70" t="s">
        <v>119</v>
      </c>
      <c r="S561" s="11"/>
      <c r="T561" s="11"/>
      <c r="U561" s="11"/>
      <c r="V561" s="11"/>
      <c r="W561" s="11"/>
    </row>
    <row r="562" spans="2:23" ht="25.5" customHeight="1">
      <c r="B562" s="70">
        <v>551</v>
      </c>
      <c r="C562" s="70" t="s">
        <v>1084</v>
      </c>
      <c r="D562" s="70" t="s">
        <v>2273</v>
      </c>
      <c r="E562" s="140" t="s">
        <v>64</v>
      </c>
      <c r="F562" s="139" t="s">
        <v>2092</v>
      </c>
      <c r="G562" s="141" t="s">
        <v>120</v>
      </c>
      <c r="H562" s="70" t="s">
        <v>119</v>
      </c>
      <c r="S562" s="11"/>
      <c r="T562" s="11"/>
      <c r="U562" s="11"/>
      <c r="V562" s="11"/>
      <c r="W562" s="11"/>
    </row>
    <row r="563" spans="2:23" ht="25.5" customHeight="1">
      <c r="B563" s="70">
        <v>552</v>
      </c>
      <c r="C563" s="70" t="s">
        <v>1085</v>
      </c>
      <c r="D563" s="70" t="s">
        <v>2274</v>
      </c>
      <c r="E563" s="140" t="s">
        <v>64</v>
      </c>
      <c r="F563" s="139" t="s">
        <v>2092</v>
      </c>
      <c r="G563" s="141" t="s">
        <v>122</v>
      </c>
      <c r="H563" s="70" t="s">
        <v>121</v>
      </c>
      <c r="S563" s="11"/>
      <c r="T563" s="11"/>
      <c r="U563" s="11"/>
      <c r="V563" s="11"/>
      <c r="W563" s="11"/>
    </row>
    <row r="564" spans="2:23" ht="25.5" customHeight="1">
      <c r="B564" s="70">
        <v>553</v>
      </c>
      <c r="C564" s="70" t="s">
        <v>1086</v>
      </c>
      <c r="D564" s="70" t="s">
        <v>2275</v>
      </c>
      <c r="E564" s="140" t="s">
        <v>64</v>
      </c>
      <c r="F564" s="139" t="s">
        <v>2092</v>
      </c>
      <c r="G564" s="141" t="s">
        <v>122</v>
      </c>
      <c r="H564" s="70" t="s">
        <v>121</v>
      </c>
      <c r="S564" s="11"/>
      <c r="T564" s="11"/>
      <c r="U564" s="11"/>
      <c r="V564" s="11"/>
      <c r="W564" s="11"/>
    </row>
    <row r="565" spans="2:23" ht="25.5" customHeight="1">
      <c r="B565" s="70">
        <v>554</v>
      </c>
      <c r="C565" s="70" t="s">
        <v>1087</v>
      </c>
      <c r="D565" s="70" t="s">
        <v>2276</v>
      </c>
      <c r="E565" s="140" t="s">
        <v>64</v>
      </c>
      <c r="F565" s="139" t="s">
        <v>2092</v>
      </c>
      <c r="G565" s="141" t="s">
        <v>122</v>
      </c>
      <c r="H565" s="70" t="s">
        <v>121</v>
      </c>
      <c r="S565" s="11"/>
      <c r="T565" s="11"/>
      <c r="U565" s="11"/>
      <c r="V565" s="11"/>
      <c r="W565" s="11"/>
    </row>
    <row r="566" spans="2:23" ht="25.5" customHeight="1">
      <c r="B566" s="70">
        <v>555</v>
      </c>
      <c r="C566" s="70" t="s">
        <v>1088</v>
      </c>
      <c r="D566" s="70" t="s">
        <v>2277</v>
      </c>
      <c r="E566" s="140" t="s">
        <v>64</v>
      </c>
      <c r="F566" s="139" t="s">
        <v>2092</v>
      </c>
      <c r="G566" s="141" t="s">
        <v>132</v>
      </c>
      <c r="H566" s="70" t="s">
        <v>131</v>
      </c>
      <c r="S566" s="11"/>
      <c r="T566" s="11"/>
      <c r="U566" s="11"/>
      <c r="V566" s="11"/>
      <c r="W566" s="11"/>
    </row>
    <row r="567" spans="2:23" ht="25.5" customHeight="1">
      <c r="B567" s="70">
        <v>556</v>
      </c>
      <c r="C567" s="70" t="s">
        <v>1089</v>
      </c>
      <c r="D567" s="70" t="s">
        <v>2278</v>
      </c>
      <c r="E567" s="140" t="s">
        <v>64</v>
      </c>
      <c r="F567" s="139" t="s">
        <v>2092</v>
      </c>
      <c r="G567" s="141" t="s">
        <v>111</v>
      </c>
      <c r="H567" s="70" t="s">
        <v>110</v>
      </c>
      <c r="S567" s="11"/>
      <c r="T567" s="11"/>
      <c r="U567" s="11"/>
      <c r="V567" s="11"/>
      <c r="W567" s="11"/>
    </row>
    <row r="568" spans="2:23" ht="25.5" customHeight="1">
      <c r="B568" s="70">
        <v>557</v>
      </c>
      <c r="C568" s="70" t="s">
        <v>1090</v>
      </c>
      <c r="D568" s="70" t="s">
        <v>2279</v>
      </c>
      <c r="E568" s="140" t="s">
        <v>64</v>
      </c>
      <c r="F568" s="139" t="s">
        <v>2092</v>
      </c>
      <c r="G568" s="141" t="s">
        <v>111</v>
      </c>
      <c r="H568" s="70" t="s">
        <v>110</v>
      </c>
      <c r="S568" s="11"/>
      <c r="T568" s="11"/>
      <c r="U568" s="11"/>
      <c r="V568" s="11"/>
      <c r="W568" s="11"/>
    </row>
    <row r="569" spans="2:23" ht="25.5" customHeight="1">
      <c r="B569" s="70">
        <v>558</v>
      </c>
      <c r="C569" s="70" t="s">
        <v>1091</v>
      </c>
      <c r="D569" s="70" t="s">
        <v>2280</v>
      </c>
      <c r="E569" s="140" t="s">
        <v>64</v>
      </c>
      <c r="F569" s="139" t="s">
        <v>2092</v>
      </c>
      <c r="G569" s="141" t="s">
        <v>111</v>
      </c>
      <c r="H569" s="70" t="s">
        <v>110</v>
      </c>
      <c r="S569" s="11"/>
      <c r="T569" s="11"/>
      <c r="U569" s="11"/>
      <c r="V569" s="11"/>
      <c r="W569" s="11"/>
    </row>
    <row r="570" spans="2:23" ht="25.5" customHeight="1">
      <c r="B570" s="70">
        <v>559</v>
      </c>
      <c r="C570" s="70" t="s">
        <v>1092</v>
      </c>
      <c r="D570" s="70" t="s">
        <v>2281</v>
      </c>
      <c r="E570" s="140" t="s">
        <v>64</v>
      </c>
      <c r="F570" s="139" t="s">
        <v>2092</v>
      </c>
      <c r="G570" s="141" t="s">
        <v>111</v>
      </c>
      <c r="H570" s="70" t="s">
        <v>110</v>
      </c>
      <c r="S570" s="11"/>
      <c r="T570" s="11"/>
      <c r="U570" s="11"/>
      <c r="V570" s="11"/>
      <c r="W570" s="11"/>
    </row>
    <row r="571" spans="2:23" ht="25.5" customHeight="1">
      <c r="B571" s="70">
        <v>560</v>
      </c>
      <c r="C571" s="70" t="s">
        <v>1093</v>
      </c>
      <c r="D571" s="70" t="s">
        <v>2282</v>
      </c>
      <c r="E571" s="140" t="s">
        <v>64</v>
      </c>
      <c r="F571" s="139" t="s">
        <v>2092</v>
      </c>
      <c r="G571" s="141" t="s">
        <v>111</v>
      </c>
      <c r="H571" s="70" t="s">
        <v>110</v>
      </c>
      <c r="S571" s="11"/>
      <c r="T571" s="11"/>
      <c r="U571" s="11"/>
      <c r="V571" s="11"/>
      <c r="W571" s="11"/>
    </row>
    <row r="572" spans="2:23" ht="25.5" customHeight="1">
      <c r="B572" s="70">
        <v>561</v>
      </c>
      <c r="C572" s="70" t="s">
        <v>1094</v>
      </c>
      <c r="D572" s="70" t="s">
        <v>2283</v>
      </c>
      <c r="E572" s="140" t="s">
        <v>64</v>
      </c>
      <c r="F572" s="139" t="s">
        <v>2092</v>
      </c>
      <c r="G572" s="141" t="s">
        <v>111</v>
      </c>
      <c r="H572" s="70" t="s">
        <v>110</v>
      </c>
      <c r="S572" s="11"/>
      <c r="T572" s="11"/>
      <c r="U572" s="11"/>
      <c r="V572" s="11"/>
      <c r="W572" s="11"/>
    </row>
    <row r="573" spans="2:23" ht="25.5" customHeight="1">
      <c r="B573" s="70">
        <v>562</v>
      </c>
      <c r="C573" s="70" t="s">
        <v>1095</v>
      </c>
      <c r="D573" s="70" t="s">
        <v>2284</v>
      </c>
      <c r="E573" s="140" t="s">
        <v>64</v>
      </c>
      <c r="F573" s="139" t="s">
        <v>2092</v>
      </c>
      <c r="G573" s="141" t="s">
        <v>111</v>
      </c>
      <c r="H573" s="70" t="s">
        <v>110</v>
      </c>
      <c r="S573" s="11"/>
      <c r="T573" s="11"/>
      <c r="U573" s="11"/>
      <c r="V573" s="11"/>
      <c r="W573" s="11"/>
    </row>
    <row r="574" spans="2:23" ht="25.5" customHeight="1">
      <c r="B574" s="70">
        <v>563</v>
      </c>
      <c r="C574" s="70" t="s">
        <v>1096</v>
      </c>
      <c r="D574" s="70" t="s">
        <v>2285</v>
      </c>
      <c r="E574" s="140" t="s">
        <v>64</v>
      </c>
      <c r="F574" s="139" t="s">
        <v>2092</v>
      </c>
      <c r="G574" s="141" t="s">
        <v>111</v>
      </c>
      <c r="H574" s="70" t="s">
        <v>110</v>
      </c>
      <c r="S574" s="11"/>
      <c r="T574" s="11"/>
      <c r="U574" s="11"/>
      <c r="V574" s="11"/>
      <c r="W574" s="11"/>
    </row>
    <row r="575" spans="2:23" ht="25.5" customHeight="1">
      <c r="B575" s="70">
        <v>564</v>
      </c>
      <c r="C575" s="70" t="s">
        <v>1097</v>
      </c>
      <c r="D575" s="70" t="s">
        <v>2286</v>
      </c>
      <c r="E575" s="140" t="s">
        <v>64</v>
      </c>
      <c r="F575" s="139" t="s">
        <v>2092</v>
      </c>
      <c r="G575" s="141" t="s">
        <v>111</v>
      </c>
      <c r="H575" s="70" t="s">
        <v>110</v>
      </c>
      <c r="S575" s="11"/>
      <c r="T575" s="11"/>
      <c r="U575" s="11"/>
      <c r="V575" s="11"/>
      <c r="W575" s="11"/>
    </row>
    <row r="576" spans="2:23" ht="25.5" customHeight="1">
      <c r="B576" s="70">
        <v>565</v>
      </c>
      <c r="C576" s="70" t="s">
        <v>1098</v>
      </c>
      <c r="D576" s="70" t="s">
        <v>2287</v>
      </c>
      <c r="E576" s="140" t="s">
        <v>64</v>
      </c>
      <c r="F576" s="139" t="s">
        <v>2092</v>
      </c>
      <c r="G576" s="141" t="s">
        <v>111</v>
      </c>
      <c r="H576" s="70" t="s">
        <v>110</v>
      </c>
      <c r="S576" s="11"/>
      <c r="T576" s="11"/>
      <c r="U576" s="11"/>
      <c r="V576" s="11"/>
      <c r="W576" s="11"/>
    </row>
    <row r="577" spans="2:23" ht="25.5" customHeight="1">
      <c r="B577" s="70">
        <v>566</v>
      </c>
      <c r="C577" s="70" t="s">
        <v>1099</v>
      </c>
      <c r="D577" s="70" t="s">
        <v>2288</v>
      </c>
      <c r="E577" s="140" t="s">
        <v>64</v>
      </c>
      <c r="F577" s="139" t="s">
        <v>2092</v>
      </c>
      <c r="G577" s="141" t="s">
        <v>111</v>
      </c>
      <c r="H577" s="70" t="s">
        <v>110</v>
      </c>
      <c r="S577" s="11"/>
      <c r="T577" s="11"/>
      <c r="U577" s="11"/>
      <c r="V577" s="11"/>
      <c r="W577" s="11"/>
    </row>
    <row r="578" spans="2:23" ht="25.5" customHeight="1">
      <c r="B578" s="70">
        <v>567</v>
      </c>
      <c r="C578" s="70" t="s">
        <v>1100</v>
      </c>
      <c r="D578" s="70" t="s">
        <v>2289</v>
      </c>
      <c r="E578" s="140" t="s">
        <v>64</v>
      </c>
      <c r="F578" s="139" t="s">
        <v>2092</v>
      </c>
      <c r="G578" s="141" t="s">
        <v>114</v>
      </c>
      <c r="H578" s="70" t="s">
        <v>113</v>
      </c>
      <c r="S578" s="11"/>
      <c r="T578" s="11"/>
      <c r="U578" s="11"/>
      <c r="V578" s="11"/>
      <c r="W578" s="11"/>
    </row>
    <row r="579" spans="2:23" ht="25.5" customHeight="1">
      <c r="B579" s="70">
        <v>568</v>
      </c>
      <c r="C579" s="70" t="s">
        <v>1101</v>
      </c>
      <c r="D579" s="70" t="s">
        <v>2290</v>
      </c>
      <c r="E579" s="140" t="s">
        <v>64</v>
      </c>
      <c r="F579" s="139" t="s">
        <v>2092</v>
      </c>
      <c r="G579" s="141" t="s">
        <v>114</v>
      </c>
      <c r="H579" s="70" t="s">
        <v>113</v>
      </c>
      <c r="S579" s="11"/>
      <c r="T579" s="11"/>
      <c r="U579" s="11"/>
      <c r="V579" s="11"/>
      <c r="W579" s="11"/>
    </row>
    <row r="580" spans="2:23" ht="25.5" customHeight="1">
      <c r="B580" s="70">
        <v>569</v>
      </c>
      <c r="C580" s="70" t="s">
        <v>1102</v>
      </c>
      <c r="D580" s="70" t="s">
        <v>2291</v>
      </c>
      <c r="E580" s="140" t="s">
        <v>64</v>
      </c>
      <c r="F580" s="139" t="s">
        <v>2092</v>
      </c>
      <c r="G580" s="141" t="s">
        <v>114</v>
      </c>
      <c r="H580" s="70" t="s">
        <v>113</v>
      </c>
      <c r="S580" s="11"/>
      <c r="T580" s="11"/>
      <c r="U580" s="11"/>
      <c r="V580" s="11"/>
      <c r="W580" s="11"/>
    </row>
    <row r="581" spans="2:23" ht="25.5" customHeight="1">
      <c r="B581" s="70">
        <v>570</v>
      </c>
      <c r="C581" s="70" t="s">
        <v>1103</v>
      </c>
      <c r="D581" s="70" t="s">
        <v>2292</v>
      </c>
      <c r="E581" s="140" t="s">
        <v>64</v>
      </c>
      <c r="F581" s="139" t="s">
        <v>2092</v>
      </c>
      <c r="G581" s="141" t="s">
        <v>114</v>
      </c>
      <c r="H581" s="70" t="s">
        <v>113</v>
      </c>
      <c r="S581" s="11"/>
      <c r="T581" s="11"/>
      <c r="U581" s="11"/>
      <c r="V581" s="11"/>
      <c r="W581" s="11"/>
    </row>
    <row r="582" spans="2:23" ht="25.5" customHeight="1">
      <c r="B582" s="70">
        <v>571</v>
      </c>
      <c r="C582" s="70" t="s">
        <v>1104</v>
      </c>
      <c r="D582" s="70" t="s">
        <v>2293</v>
      </c>
      <c r="E582" s="140" t="s">
        <v>64</v>
      </c>
      <c r="F582" s="139" t="s">
        <v>2092</v>
      </c>
      <c r="G582" s="141" t="s">
        <v>114</v>
      </c>
      <c r="H582" s="70" t="s">
        <v>113</v>
      </c>
      <c r="S582" s="11"/>
      <c r="T582" s="11"/>
      <c r="U582" s="11"/>
      <c r="V582" s="11"/>
      <c r="W582" s="11"/>
    </row>
    <row r="583" spans="2:23" ht="25.5" customHeight="1">
      <c r="B583" s="70">
        <v>572</v>
      </c>
      <c r="C583" s="70" t="s">
        <v>1105</v>
      </c>
      <c r="D583" s="70" t="s">
        <v>2294</v>
      </c>
      <c r="E583" s="140" t="s">
        <v>64</v>
      </c>
      <c r="F583" s="139" t="s">
        <v>2092</v>
      </c>
      <c r="G583" s="141" t="s">
        <v>114</v>
      </c>
      <c r="H583" s="70" t="s">
        <v>113</v>
      </c>
      <c r="S583" s="11"/>
      <c r="T583" s="11"/>
      <c r="U583" s="11"/>
      <c r="V583" s="11"/>
      <c r="W583" s="11"/>
    </row>
    <row r="584" spans="2:23" ht="25.5" customHeight="1">
      <c r="B584" s="70">
        <v>573</v>
      </c>
      <c r="C584" s="70" t="s">
        <v>1106</v>
      </c>
      <c r="D584" s="70" t="s">
        <v>2295</v>
      </c>
      <c r="E584" s="140" t="s">
        <v>64</v>
      </c>
      <c r="F584" s="139" t="s">
        <v>2092</v>
      </c>
      <c r="G584" s="141" t="s">
        <v>114</v>
      </c>
      <c r="H584" s="70" t="s">
        <v>113</v>
      </c>
      <c r="S584" s="11"/>
      <c r="T584" s="11"/>
      <c r="U584" s="11"/>
      <c r="V584" s="11"/>
      <c r="W584" s="11"/>
    </row>
    <row r="585" spans="2:23" ht="25.5" customHeight="1">
      <c r="B585" s="70">
        <v>574</v>
      </c>
      <c r="C585" s="70" t="s">
        <v>1107</v>
      </c>
      <c r="D585" s="70" t="s">
        <v>2296</v>
      </c>
      <c r="E585" s="140" t="s">
        <v>64</v>
      </c>
      <c r="F585" s="139" t="s">
        <v>2092</v>
      </c>
      <c r="G585" s="141" t="s">
        <v>114</v>
      </c>
      <c r="H585" s="70" t="s">
        <v>113</v>
      </c>
      <c r="S585" s="11"/>
      <c r="T585" s="11"/>
      <c r="U585" s="11"/>
      <c r="V585" s="11"/>
      <c r="W585" s="11"/>
    </row>
    <row r="586" spans="2:23" ht="25.5" customHeight="1">
      <c r="B586" s="70">
        <v>575</v>
      </c>
      <c r="C586" s="70" t="s">
        <v>1108</v>
      </c>
      <c r="D586" s="70" t="s">
        <v>2297</v>
      </c>
      <c r="E586" s="140" t="s">
        <v>64</v>
      </c>
      <c r="F586" s="139" t="s">
        <v>2092</v>
      </c>
      <c r="G586" s="141" t="s">
        <v>114</v>
      </c>
      <c r="H586" s="70" t="s">
        <v>113</v>
      </c>
      <c r="S586" s="11"/>
      <c r="T586" s="11"/>
      <c r="U586" s="11"/>
      <c r="V586" s="11"/>
      <c r="W586" s="11"/>
    </row>
    <row r="587" spans="2:23" ht="25.5" customHeight="1">
      <c r="B587" s="70">
        <v>576</v>
      </c>
      <c r="C587" s="70" t="s">
        <v>1109</v>
      </c>
      <c r="D587" s="70" t="s">
        <v>2298</v>
      </c>
      <c r="E587" s="140" t="s">
        <v>64</v>
      </c>
      <c r="F587" s="139" t="s">
        <v>2092</v>
      </c>
      <c r="G587" s="141" t="s">
        <v>116</v>
      </c>
      <c r="H587" s="70" t="s">
        <v>115</v>
      </c>
      <c r="S587" s="11"/>
      <c r="T587" s="11"/>
      <c r="U587" s="11"/>
      <c r="V587" s="11"/>
      <c r="W587" s="11"/>
    </row>
    <row r="588" spans="2:23" ht="25.5" customHeight="1">
      <c r="B588" s="70">
        <v>577</v>
      </c>
      <c r="C588" s="70" t="s">
        <v>1110</v>
      </c>
      <c r="D588" s="70" t="s">
        <v>2299</v>
      </c>
      <c r="E588" s="140" t="s">
        <v>64</v>
      </c>
      <c r="F588" s="139" t="s">
        <v>2092</v>
      </c>
      <c r="G588" s="141" t="s">
        <v>116</v>
      </c>
      <c r="H588" s="70" t="s">
        <v>115</v>
      </c>
      <c r="S588" s="11"/>
      <c r="T588" s="11"/>
      <c r="U588" s="11"/>
      <c r="V588" s="11"/>
      <c r="W588" s="11"/>
    </row>
    <row r="589" spans="2:23" ht="25.5" customHeight="1">
      <c r="B589" s="70">
        <v>578</v>
      </c>
      <c r="C589" s="70" t="s">
        <v>1111</v>
      </c>
      <c r="D589" s="70" t="s">
        <v>2300</v>
      </c>
      <c r="E589" s="140" t="s">
        <v>64</v>
      </c>
      <c r="F589" s="139" t="s">
        <v>2092</v>
      </c>
      <c r="G589" s="141" t="s">
        <v>116</v>
      </c>
      <c r="H589" s="70" t="s">
        <v>115</v>
      </c>
      <c r="S589" s="11"/>
      <c r="T589" s="11"/>
      <c r="U589" s="11"/>
      <c r="V589" s="11"/>
      <c r="W589" s="11"/>
    </row>
    <row r="590" spans="2:23" ht="25.5" customHeight="1">
      <c r="B590" s="70">
        <v>579</v>
      </c>
      <c r="C590" s="70" t="s">
        <v>1112</v>
      </c>
      <c r="D590" s="70" t="s">
        <v>2301</v>
      </c>
      <c r="E590" s="140" t="s">
        <v>64</v>
      </c>
      <c r="F590" s="139" t="s">
        <v>2092</v>
      </c>
      <c r="G590" s="141" t="s">
        <v>116</v>
      </c>
      <c r="H590" s="70" t="s">
        <v>115</v>
      </c>
      <c r="S590" s="11"/>
      <c r="T590" s="11"/>
      <c r="U590" s="11"/>
      <c r="V590" s="11"/>
      <c r="W590" s="11"/>
    </row>
    <row r="591" spans="2:23" ht="25.5" customHeight="1">
      <c r="B591" s="70">
        <v>580</v>
      </c>
      <c r="C591" s="70" t="s">
        <v>1113</v>
      </c>
      <c r="D591" s="70" t="s">
        <v>2302</v>
      </c>
      <c r="E591" s="140" t="s">
        <v>64</v>
      </c>
      <c r="F591" s="139" t="s">
        <v>2092</v>
      </c>
      <c r="G591" s="141" t="s">
        <v>116</v>
      </c>
      <c r="H591" s="70" t="s">
        <v>115</v>
      </c>
      <c r="S591" s="11"/>
      <c r="T591" s="11"/>
      <c r="U591" s="11"/>
      <c r="V591" s="11"/>
      <c r="W591" s="11"/>
    </row>
    <row r="592" spans="2:23" ht="25.5" customHeight="1">
      <c r="B592" s="70">
        <v>581</v>
      </c>
      <c r="C592" s="70" t="s">
        <v>1114</v>
      </c>
      <c r="D592" s="70" t="s">
        <v>2303</v>
      </c>
      <c r="E592" s="140" t="s">
        <v>64</v>
      </c>
      <c r="F592" s="139" t="s">
        <v>2092</v>
      </c>
      <c r="G592" s="141" t="s">
        <v>116</v>
      </c>
      <c r="H592" s="70" t="s">
        <v>115</v>
      </c>
      <c r="S592" s="11"/>
      <c r="T592" s="11"/>
      <c r="U592" s="11"/>
      <c r="V592" s="11"/>
      <c r="W592" s="11"/>
    </row>
    <row r="593" spans="2:23" ht="25.5" customHeight="1">
      <c r="B593" s="70">
        <v>582</v>
      </c>
      <c r="C593" s="70" t="s">
        <v>1115</v>
      </c>
      <c r="D593" s="70" t="s">
        <v>2304</v>
      </c>
      <c r="E593" s="140" t="s">
        <v>64</v>
      </c>
      <c r="F593" s="139" t="s">
        <v>2092</v>
      </c>
      <c r="G593" s="141" t="s">
        <v>116</v>
      </c>
      <c r="H593" s="70" t="s">
        <v>115</v>
      </c>
      <c r="S593" s="11"/>
      <c r="T593" s="11"/>
      <c r="U593" s="11"/>
      <c r="V593" s="11"/>
      <c r="W593" s="11"/>
    </row>
    <row r="594" spans="2:23" ht="25.5" customHeight="1">
      <c r="B594" s="70">
        <v>583</v>
      </c>
      <c r="C594" s="70" t="s">
        <v>1116</v>
      </c>
      <c r="D594" s="70" t="s">
        <v>2305</v>
      </c>
      <c r="E594" s="140" t="s">
        <v>64</v>
      </c>
      <c r="F594" s="139" t="s">
        <v>2092</v>
      </c>
      <c r="G594" s="141" t="s">
        <v>116</v>
      </c>
      <c r="H594" s="70" t="s">
        <v>115</v>
      </c>
      <c r="S594" s="11"/>
      <c r="T594" s="11"/>
      <c r="U594" s="11"/>
      <c r="V594" s="11"/>
      <c r="W594" s="11"/>
    </row>
    <row r="595" spans="2:23" ht="25.5" customHeight="1">
      <c r="B595" s="70">
        <v>584</v>
      </c>
      <c r="C595" s="70" t="s">
        <v>1117</v>
      </c>
      <c r="D595" s="70" t="s">
        <v>2297</v>
      </c>
      <c r="E595" s="140" t="s">
        <v>64</v>
      </c>
      <c r="F595" s="139" t="s">
        <v>2092</v>
      </c>
      <c r="G595" s="141" t="s">
        <v>116</v>
      </c>
      <c r="H595" s="70" t="s">
        <v>115</v>
      </c>
      <c r="S595" s="11"/>
      <c r="T595" s="11"/>
      <c r="U595" s="11"/>
      <c r="V595" s="11"/>
      <c r="W595" s="11"/>
    </row>
    <row r="596" spans="2:23" ht="25.5" customHeight="1">
      <c r="B596" s="70">
        <v>585</v>
      </c>
      <c r="C596" s="70" t="s">
        <v>1118</v>
      </c>
      <c r="D596" s="70" t="s">
        <v>2306</v>
      </c>
      <c r="E596" s="140" t="s">
        <v>64</v>
      </c>
      <c r="F596" s="139" t="s">
        <v>2092</v>
      </c>
      <c r="G596" s="141" t="s">
        <v>130</v>
      </c>
      <c r="H596" s="70" t="s">
        <v>129</v>
      </c>
      <c r="S596" s="11"/>
      <c r="T596" s="11"/>
      <c r="U596" s="11"/>
      <c r="V596" s="11"/>
      <c r="W596" s="11"/>
    </row>
    <row r="597" spans="2:23" ht="25.5" customHeight="1">
      <c r="B597" s="70">
        <v>586</v>
      </c>
      <c r="C597" s="70" t="s">
        <v>1119</v>
      </c>
      <c r="D597" s="70" t="s">
        <v>2307</v>
      </c>
      <c r="E597" s="140" t="s">
        <v>64</v>
      </c>
      <c r="F597" s="139" t="s">
        <v>2092</v>
      </c>
      <c r="G597" s="141" t="s">
        <v>124</v>
      </c>
      <c r="H597" s="70" t="s">
        <v>123</v>
      </c>
      <c r="S597" s="11"/>
      <c r="T597" s="11"/>
      <c r="U597" s="11"/>
      <c r="V597" s="11"/>
      <c r="W597" s="11"/>
    </row>
    <row r="598" spans="2:23" ht="25.5" customHeight="1">
      <c r="B598" s="70">
        <v>587</v>
      </c>
      <c r="C598" s="70" t="s">
        <v>1120</v>
      </c>
      <c r="D598" s="70" t="s">
        <v>2308</v>
      </c>
      <c r="E598" s="140" t="s">
        <v>64</v>
      </c>
      <c r="F598" s="139" t="s">
        <v>2092</v>
      </c>
      <c r="G598" s="141" t="s">
        <v>132</v>
      </c>
      <c r="H598" s="70" t="s">
        <v>131</v>
      </c>
      <c r="S598" s="11"/>
      <c r="T598" s="11"/>
      <c r="U598" s="11"/>
      <c r="V598" s="11"/>
      <c r="W598" s="11"/>
    </row>
    <row r="599" spans="2:23" ht="25.5" customHeight="1">
      <c r="B599" s="70">
        <v>588</v>
      </c>
      <c r="C599" s="70" t="s">
        <v>1121</v>
      </c>
      <c r="D599" s="70" t="s">
        <v>2309</v>
      </c>
      <c r="E599" s="140" t="s">
        <v>64</v>
      </c>
      <c r="F599" s="139" t="s">
        <v>2092</v>
      </c>
      <c r="G599" s="141" t="s">
        <v>122</v>
      </c>
      <c r="H599" s="70" t="s">
        <v>121</v>
      </c>
      <c r="S599" s="11"/>
      <c r="T599" s="11"/>
      <c r="U599" s="11"/>
      <c r="V599" s="11"/>
      <c r="W599" s="11"/>
    </row>
    <row r="600" spans="2:23" ht="25.5" customHeight="1">
      <c r="B600" s="70">
        <v>589</v>
      </c>
      <c r="C600" s="70" t="s">
        <v>1122</v>
      </c>
      <c r="D600" s="70" t="s">
        <v>2310</v>
      </c>
      <c r="E600" s="140" t="s">
        <v>64</v>
      </c>
      <c r="F600" s="139" t="s">
        <v>2092</v>
      </c>
      <c r="G600" s="141" t="s">
        <v>122</v>
      </c>
      <c r="H600" s="70" t="s">
        <v>121</v>
      </c>
      <c r="S600" s="11"/>
      <c r="T600" s="11"/>
      <c r="U600" s="11"/>
      <c r="V600" s="11"/>
      <c r="W600" s="11"/>
    </row>
    <row r="601" spans="2:23" ht="25.5" customHeight="1">
      <c r="B601" s="70">
        <v>590</v>
      </c>
      <c r="C601" s="70" t="s">
        <v>2072</v>
      </c>
      <c r="D601" s="70" t="s">
        <v>2311</v>
      </c>
      <c r="E601" s="140" t="s">
        <v>64</v>
      </c>
      <c r="F601" s="139" t="s">
        <v>2092</v>
      </c>
      <c r="G601" s="141" t="s">
        <v>124</v>
      </c>
      <c r="H601" s="70" t="s">
        <v>123</v>
      </c>
      <c r="S601" s="11"/>
      <c r="T601" s="11"/>
      <c r="U601" s="11"/>
      <c r="V601" s="11"/>
      <c r="W601" s="11"/>
    </row>
    <row r="602" spans="2:23" ht="25.5" customHeight="1">
      <c r="B602" s="70">
        <v>591</v>
      </c>
      <c r="C602" s="70" t="s">
        <v>2073</v>
      </c>
      <c r="D602" s="70" t="s">
        <v>2312</v>
      </c>
      <c r="E602" s="140" t="s">
        <v>64</v>
      </c>
      <c r="F602" s="139" t="s">
        <v>2092</v>
      </c>
      <c r="G602" s="141" t="s">
        <v>130</v>
      </c>
      <c r="H602" s="70" t="s">
        <v>129</v>
      </c>
      <c r="S602" s="11"/>
      <c r="T602" s="11"/>
      <c r="U602" s="11"/>
      <c r="V602" s="11"/>
      <c r="W602" s="11"/>
    </row>
    <row r="603" spans="2:23" ht="25.5" customHeight="1">
      <c r="B603" s="70">
        <v>592</v>
      </c>
      <c r="C603" s="70" t="s">
        <v>2074</v>
      </c>
      <c r="D603" s="70" t="s">
        <v>2313</v>
      </c>
      <c r="E603" s="140" t="s">
        <v>64</v>
      </c>
      <c r="F603" s="139" t="s">
        <v>2092</v>
      </c>
      <c r="G603" s="142" t="s">
        <v>118</v>
      </c>
      <c r="H603" s="70" t="s">
        <v>117</v>
      </c>
      <c r="S603" s="11"/>
      <c r="T603" s="11"/>
      <c r="U603" s="11"/>
      <c r="V603" s="11"/>
      <c r="W603" s="11"/>
    </row>
    <row r="604" spans="2:23" ht="25.5" customHeight="1">
      <c r="B604" s="70">
        <v>593</v>
      </c>
      <c r="C604" s="70" t="s">
        <v>2075</v>
      </c>
      <c r="D604" s="70" t="s">
        <v>2314</v>
      </c>
      <c r="E604" s="140" t="s">
        <v>64</v>
      </c>
      <c r="F604" s="139" t="s">
        <v>2092</v>
      </c>
      <c r="G604" s="142" t="s">
        <v>120</v>
      </c>
      <c r="H604" s="70" t="s">
        <v>119</v>
      </c>
      <c r="S604" s="11"/>
      <c r="T604" s="11"/>
      <c r="U604" s="11"/>
      <c r="V604" s="11"/>
      <c r="W604" s="11"/>
    </row>
    <row r="605" spans="2:23" ht="25.5" customHeight="1">
      <c r="B605" s="70">
        <v>594</v>
      </c>
      <c r="C605" s="70" t="s">
        <v>2076</v>
      </c>
      <c r="D605" s="70" t="s">
        <v>2315</v>
      </c>
      <c r="E605" s="140" t="s">
        <v>64</v>
      </c>
      <c r="F605" s="139" t="s">
        <v>2092</v>
      </c>
      <c r="G605" s="141" t="s">
        <v>132</v>
      </c>
      <c r="H605" s="70" t="s">
        <v>131</v>
      </c>
      <c r="S605" s="11"/>
      <c r="T605" s="11"/>
      <c r="U605" s="11"/>
      <c r="V605" s="11"/>
      <c r="W605" s="11"/>
    </row>
    <row r="606" spans="2:23" ht="25.5" customHeight="1">
      <c r="B606" s="70">
        <v>595</v>
      </c>
      <c r="C606" s="70" t="s">
        <v>2077</v>
      </c>
      <c r="D606" s="70" t="s">
        <v>2316</v>
      </c>
      <c r="E606" s="140" t="s">
        <v>64</v>
      </c>
      <c r="F606" s="139" t="s">
        <v>2092</v>
      </c>
      <c r="G606" s="141" t="s">
        <v>122</v>
      </c>
      <c r="H606" s="70" t="s">
        <v>121</v>
      </c>
      <c r="S606" s="11"/>
      <c r="T606" s="11"/>
      <c r="U606" s="11"/>
      <c r="V606" s="11"/>
      <c r="W606" s="11"/>
    </row>
    <row r="607" spans="2:23" ht="25.5" customHeight="1">
      <c r="B607" s="70">
        <v>596</v>
      </c>
      <c r="C607" s="70" t="s">
        <v>2078</v>
      </c>
      <c r="D607" s="70" t="s">
        <v>2317</v>
      </c>
      <c r="E607" s="140" t="s">
        <v>64</v>
      </c>
      <c r="F607" s="139" t="s">
        <v>2092</v>
      </c>
      <c r="G607" s="142" t="s">
        <v>126</v>
      </c>
      <c r="H607" s="70" t="s">
        <v>125</v>
      </c>
      <c r="S607" s="11"/>
      <c r="T607" s="11"/>
      <c r="U607" s="11"/>
      <c r="V607" s="11"/>
      <c r="W607" s="11"/>
    </row>
    <row r="608" spans="2:23" ht="25.5" customHeight="1">
      <c r="B608" s="70">
        <v>597</v>
      </c>
      <c r="C608" s="70" t="s">
        <v>2079</v>
      </c>
      <c r="D608" s="70" t="s">
        <v>2318</v>
      </c>
      <c r="E608" s="140" t="s">
        <v>64</v>
      </c>
      <c r="F608" s="139" t="s">
        <v>2092</v>
      </c>
      <c r="G608" s="142" t="s">
        <v>132</v>
      </c>
      <c r="H608" s="70" t="s">
        <v>131</v>
      </c>
      <c r="S608" s="11"/>
      <c r="T608" s="11"/>
      <c r="U608" s="11"/>
      <c r="V608" s="11"/>
      <c r="W608" s="11"/>
    </row>
    <row r="609" spans="2:23" ht="25.5" customHeight="1">
      <c r="B609" s="70">
        <v>598</v>
      </c>
      <c r="C609" s="70" t="s">
        <v>1123</v>
      </c>
      <c r="D609" s="70" t="s">
        <v>2319</v>
      </c>
      <c r="E609" s="140" t="s">
        <v>64</v>
      </c>
      <c r="F609" s="139" t="s">
        <v>2092</v>
      </c>
      <c r="G609" s="141" t="s">
        <v>142</v>
      </c>
      <c r="H609" s="70" t="s">
        <v>141</v>
      </c>
      <c r="S609" s="11"/>
      <c r="T609" s="11"/>
      <c r="U609" s="11"/>
      <c r="V609" s="11"/>
      <c r="W609" s="11"/>
    </row>
    <row r="610" spans="2:23" ht="25.5" customHeight="1">
      <c r="B610" s="70">
        <v>599</v>
      </c>
      <c r="C610" s="70" t="s">
        <v>1124</v>
      </c>
      <c r="D610" s="70" t="s">
        <v>2319</v>
      </c>
      <c r="E610" s="140" t="s">
        <v>64</v>
      </c>
      <c r="F610" s="139" t="s">
        <v>2092</v>
      </c>
      <c r="G610" s="141" t="s">
        <v>142</v>
      </c>
      <c r="H610" s="70" t="s">
        <v>141</v>
      </c>
      <c r="S610" s="11"/>
      <c r="T610" s="11"/>
      <c r="U610" s="11"/>
      <c r="V610" s="11"/>
      <c r="W610" s="11"/>
    </row>
    <row r="611" spans="2:23" ht="25.5" customHeight="1">
      <c r="B611" s="70">
        <v>600</v>
      </c>
      <c r="C611" s="70" t="s">
        <v>1125</v>
      </c>
      <c r="D611" s="70" t="s">
        <v>2319</v>
      </c>
      <c r="E611" s="140" t="s">
        <v>64</v>
      </c>
      <c r="F611" s="139" t="s">
        <v>2092</v>
      </c>
      <c r="G611" s="141" t="s">
        <v>142</v>
      </c>
      <c r="H611" s="70" t="s">
        <v>141</v>
      </c>
      <c r="S611" s="11"/>
      <c r="T611" s="11"/>
      <c r="U611" s="11"/>
      <c r="V611" s="11"/>
      <c r="W611" s="11"/>
    </row>
    <row r="612" spans="2:23" ht="25.5" customHeight="1">
      <c r="B612" s="70">
        <v>601</v>
      </c>
      <c r="C612" s="70" t="s">
        <v>1126</v>
      </c>
      <c r="D612" s="70" t="s">
        <v>2319</v>
      </c>
      <c r="E612" s="140" t="s">
        <v>64</v>
      </c>
      <c r="F612" s="139" t="s">
        <v>2092</v>
      </c>
      <c r="G612" s="141" t="s">
        <v>142</v>
      </c>
      <c r="H612" s="70" t="s">
        <v>141</v>
      </c>
      <c r="S612" s="11"/>
      <c r="T612" s="11"/>
      <c r="U612" s="11"/>
      <c r="V612" s="11"/>
      <c r="W612" s="11"/>
    </row>
    <row r="613" spans="2:23" ht="25.5" customHeight="1">
      <c r="B613" s="70">
        <v>602</v>
      </c>
      <c r="C613" s="70" t="s">
        <v>1127</v>
      </c>
      <c r="D613" s="70" t="s">
        <v>2320</v>
      </c>
      <c r="E613" s="140" t="s">
        <v>64</v>
      </c>
      <c r="F613" s="139" t="s">
        <v>2092</v>
      </c>
      <c r="G613" s="141" t="s">
        <v>142</v>
      </c>
      <c r="H613" s="70" t="s">
        <v>141</v>
      </c>
      <c r="S613" s="11"/>
      <c r="T613" s="11"/>
      <c r="U613" s="11"/>
      <c r="V613" s="11"/>
      <c r="W613" s="11"/>
    </row>
    <row r="614" spans="2:23" ht="25.5" customHeight="1">
      <c r="B614" s="70">
        <v>603</v>
      </c>
      <c r="C614" s="70" t="s">
        <v>1128</v>
      </c>
      <c r="D614" s="70" t="s">
        <v>2321</v>
      </c>
      <c r="E614" s="140" t="s">
        <v>64</v>
      </c>
      <c r="F614" s="139" t="s">
        <v>2092</v>
      </c>
      <c r="G614" s="141" t="s">
        <v>144</v>
      </c>
      <c r="H614" s="70" t="s">
        <v>143</v>
      </c>
      <c r="S614" s="11"/>
      <c r="T614" s="11"/>
      <c r="U614" s="11"/>
      <c r="V614" s="11"/>
      <c r="W614" s="11"/>
    </row>
    <row r="615" spans="2:23" ht="25.5" customHeight="1">
      <c r="B615" s="70">
        <v>604</v>
      </c>
      <c r="C615" s="70" t="s">
        <v>1129</v>
      </c>
      <c r="D615" s="70" t="s">
        <v>2321</v>
      </c>
      <c r="E615" s="140" t="s">
        <v>64</v>
      </c>
      <c r="F615" s="139" t="s">
        <v>2092</v>
      </c>
      <c r="G615" s="141" t="s">
        <v>144</v>
      </c>
      <c r="H615" s="70" t="s">
        <v>143</v>
      </c>
      <c r="S615" s="11"/>
      <c r="T615" s="11"/>
      <c r="U615" s="11"/>
      <c r="V615" s="11"/>
      <c r="W615" s="11"/>
    </row>
    <row r="616" spans="2:23" ht="25.5" customHeight="1">
      <c r="B616" s="70">
        <v>605</v>
      </c>
      <c r="C616" s="70" t="s">
        <v>1130</v>
      </c>
      <c r="D616" s="70" t="s">
        <v>2321</v>
      </c>
      <c r="E616" s="140" t="s">
        <v>64</v>
      </c>
      <c r="F616" s="139" t="s">
        <v>2092</v>
      </c>
      <c r="G616" s="141" t="s">
        <v>144</v>
      </c>
      <c r="H616" s="70" t="s">
        <v>143</v>
      </c>
      <c r="S616" s="11"/>
      <c r="T616" s="11"/>
      <c r="U616" s="11"/>
      <c r="V616" s="11"/>
      <c r="W616" s="11"/>
    </row>
    <row r="617" spans="2:23" ht="25.5" customHeight="1">
      <c r="B617" s="70">
        <v>606</v>
      </c>
      <c r="C617" s="70" t="s">
        <v>1131</v>
      </c>
      <c r="D617" s="70" t="s">
        <v>2321</v>
      </c>
      <c r="E617" s="140" t="s">
        <v>64</v>
      </c>
      <c r="F617" s="139" t="s">
        <v>2092</v>
      </c>
      <c r="G617" s="141" t="s">
        <v>144</v>
      </c>
      <c r="H617" s="70" t="s">
        <v>143</v>
      </c>
      <c r="S617" s="11"/>
      <c r="T617" s="11"/>
      <c r="U617" s="11"/>
      <c r="V617" s="11"/>
      <c r="W617" s="11"/>
    </row>
    <row r="618" spans="2:23" ht="25.5" customHeight="1">
      <c r="B618" s="70">
        <v>607</v>
      </c>
      <c r="C618" s="70" t="s">
        <v>1132</v>
      </c>
      <c r="D618" s="70" t="s">
        <v>2322</v>
      </c>
      <c r="E618" s="140" t="s">
        <v>64</v>
      </c>
      <c r="F618" s="139" t="s">
        <v>2092</v>
      </c>
      <c r="G618" s="141" t="s">
        <v>144</v>
      </c>
      <c r="H618" s="70" t="s">
        <v>143</v>
      </c>
      <c r="S618" s="11"/>
      <c r="T618" s="11"/>
      <c r="U618" s="11"/>
      <c r="V618" s="11"/>
      <c r="W618" s="11"/>
    </row>
    <row r="619" spans="2:23" ht="25.5" customHeight="1">
      <c r="B619" s="70">
        <v>608</v>
      </c>
      <c r="C619" s="70" t="s">
        <v>1133</v>
      </c>
      <c r="D619" s="70" t="s">
        <v>2323</v>
      </c>
      <c r="E619" s="140" t="s">
        <v>64</v>
      </c>
      <c r="F619" s="139" t="s">
        <v>2092</v>
      </c>
      <c r="G619" s="142" t="s">
        <v>146</v>
      </c>
      <c r="H619" s="70" t="s">
        <v>145</v>
      </c>
      <c r="S619" s="11"/>
      <c r="T619" s="11"/>
      <c r="U619" s="11"/>
      <c r="V619" s="11"/>
      <c r="W619" s="11"/>
    </row>
    <row r="620" spans="2:23" ht="25.5" customHeight="1">
      <c r="B620" s="70">
        <v>609</v>
      </c>
      <c r="C620" s="70" t="s">
        <v>1134</v>
      </c>
      <c r="D620" s="70" t="s">
        <v>2323</v>
      </c>
      <c r="E620" s="140" t="s">
        <v>64</v>
      </c>
      <c r="F620" s="139" t="s">
        <v>2092</v>
      </c>
      <c r="G620" s="142" t="s">
        <v>146</v>
      </c>
      <c r="H620" s="70" t="s">
        <v>145</v>
      </c>
      <c r="S620" s="11"/>
      <c r="T620" s="11"/>
      <c r="U620" s="11"/>
      <c r="V620" s="11"/>
      <c r="W620" s="11"/>
    </row>
    <row r="621" spans="2:23" ht="25.5" customHeight="1">
      <c r="B621" s="70">
        <v>610</v>
      </c>
      <c r="C621" s="70" t="s">
        <v>1135</v>
      </c>
      <c r="D621" s="70" t="s">
        <v>2323</v>
      </c>
      <c r="E621" s="140" t="s">
        <v>64</v>
      </c>
      <c r="F621" s="139" t="s">
        <v>2092</v>
      </c>
      <c r="G621" s="142" t="s">
        <v>146</v>
      </c>
      <c r="H621" s="70" t="s">
        <v>145</v>
      </c>
      <c r="S621" s="11"/>
      <c r="T621" s="11"/>
      <c r="U621" s="11"/>
      <c r="V621" s="11"/>
      <c r="W621" s="11"/>
    </row>
    <row r="622" spans="2:23" ht="25.5" customHeight="1">
      <c r="B622" s="70">
        <v>611</v>
      </c>
      <c r="C622" s="70" t="s">
        <v>1136</v>
      </c>
      <c r="D622" s="70" t="s">
        <v>2323</v>
      </c>
      <c r="E622" s="140" t="s">
        <v>64</v>
      </c>
      <c r="F622" s="139" t="s">
        <v>2092</v>
      </c>
      <c r="G622" s="142" t="s">
        <v>146</v>
      </c>
      <c r="H622" s="70" t="s">
        <v>145</v>
      </c>
      <c r="S622" s="11"/>
      <c r="T622" s="11"/>
      <c r="U622" s="11"/>
      <c r="V622" s="11"/>
      <c r="W622" s="11"/>
    </row>
    <row r="623" spans="2:23" ht="25.5" customHeight="1">
      <c r="B623" s="70">
        <v>612</v>
      </c>
      <c r="C623" s="70" t="s">
        <v>1137</v>
      </c>
      <c r="D623" s="70" t="s">
        <v>2324</v>
      </c>
      <c r="E623" s="140" t="s">
        <v>64</v>
      </c>
      <c r="F623" s="139" t="s">
        <v>2092</v>
      </c>
      <c r="G623" s="142" t="s">
        <v>146</v>
      </c>
      <c r="H623" s="70" t="s">
        <v>145</v>
      </c>
      <c r="S623" s="11"/>
      <c r="T623" s="11"/>
      <c r="U623" s="11"/>
      <c r="V623" s="11"/>
      <c r="W623" s="11"/>
    </row>
    <row r="624" spans="2:23" ht="25.5" customHeight="1">
      <c r="B624" s="70">
        <v>613</v>
      </c>
      <c r="C624" s="70" t="s">
        <v>1138</v>
      </c>
      <c r="D624" s="70" t="s">
        <v>2310</v>
      </c>
      <c r="E624" s="140" t="s">
        <v>64</v>
      </c>
      <c r="F624" s="139" t="s">
        <v>2092</v>
      </c>
      <c r="G624" s="142" t="s">
        <v>148</v>
      </c>
      <c r="H624" s="70" t="s">
        <v>147</v>
      </c>
      <c r="S624" s="11"/>
      <c r="T624" s="11"/>
      <c r="U624" s="11"/>
      <c r="V624" s="11"/>
      <c r="W624" s="11"/>
    </row>
    <row r="625" spans="2:23" ht="25.5" customHeight="1">
      <c r="B625" s="70">
        <v>614</v>
      </c>
      <c r="C625" s="70" t="s">
        <v>1139</v>
      </c>
      <c r="D625" s="70" t="s">
        <v>2310</v>
      </c>
      <c r="E625" s="140" t="s">
        <v>64</v>
      </c>
      <c r="F625" s="139" t="s">
        <v>2092</v>
      </c>
      <c r="G625" s="142" t="s">
        <v>148</v>
      </c>
      <c r="H625" s="70" t="s">
        <v>147</v>
      </c>
      <c r="S625" s="11"/>
      <c r="T625" s="11"/>
      <c r="U625" s="11"/>
      <c r="V625" s="11"/>
      <c r="W625" s="11"/>
    </row>
    <row r="626" spans="2:23" ht="25.5" customHeight="1">
      <c r="B626" s="70">
        <v>615</v>
      </c>
      <c r="C626" s="70" t="s">
        <v>1140</v>
      </c>
      <c r="D626" s="70" t="s">
        <v>2310</v>
      </c>
      <c r="E626" s="140" t="s">
        <v>64</v>
      </c>
      <c r="F626" s="139" t="s">
        <v>2092</v>
      </c>
      <c r="G626" s="142" t="s">
        <v>148</v>
      </c>
      <c r="H626" s="70" t="s">
        <v>147</v>
      </c>
      <c r="S626" s="11"/>
      <c r="T626" s="11"/>
      <c r="U626" s="11"/>
      <c r="V626" s="11"/>
      <c r="W626" s="11"/>
    </row>
    <row r="627" spans="2:23" ht="25.5" customHeight="1">
      <c r="B627" s="70">
        <v>616</v>
      </c>
      <c r="C627" s="70" t="s">
        <v>1141</v>
      </c>
      <c r="D627" s="70" t="s">
        <v>2325</v>
      </c>
      <c r="E627" s="140" t="s">
        <v>64</v>
      </c>
      <c r="F627" s="139" t="s">
        <v>2092</v>
      </c>
      <c r="G627" s="142" t="s">
        <v>148</v>
      </c>
      <c r="H627" s="70" t="s">
        <v>147</v>
      </c>
      <c r="S627" s="11"/>
      <c r="T627" s="11"/>
      <c r="U627" s="11"/>
      <c r="V627" s="11"/>
      <c r="W627" s="11"/>
    </row>
    <row r="628" spans="2:23" ht="25.5" customHeight="1">
      <c r="B628" s="70">
        <v>617</v>
      </c>
      <c r="C628" s="70" t="s">
        <v>1142</v>
      </c>
      <c r="D628" s="70" t="s">
        <v>2326</v>
      </c>
      <c r="E628" s="140" t="s">
        <v>64</v>
      </c>
      <c r="F628" s="139" t="s">
        <v>2092</v>
      </c>
      <c r="G628" s="142" t="s">
        <v>21</v>
      </c>
      <c r="H628" s="70" t="s">
        <v>149</v>
      </c>
      <c r="S628" s="11"/>
      <c r="T628" s="11"/>
      <c r="U628" s="11"/>
      <c r="V628" s="11"/>
      <c r="W628" s="11"/>
    </row>
    <row r="629" spans="2:23" ht="25.5" customHeight="1">
      <c r="B629" s="70">
        <v>618</v>
      </c>
      <c r="C629" s="70" t="s">
        <v>1143</v>
      </c>
      <c r="D629" s="70" t="s">
        <v>2326</v>
      </c>
      <c r="E629" s="140" t="s">
        <v>64</v>
      </c>
      <c r="F629" s="139" t="s">
        <v>2092</v>
      </c>
      <c r="G629" s="142" t="s">
        <v>21</v>
      </c>
      <c r="H629" s="70" t="s">
        <v>149</v>
      </c>
      <c r="S629" s="11"/>
      <c r="T629" s="11"/>
      <c r="U629" s="11"/>
      <c r="V629" s="11"/>
      <c r="W629" s="11"/>
    </row>
    <row r="630" spans="2:23" ht="25.5" customHeight="1">
      <c r="B630" s="70">
        <v>619</v>
      </c>
      <c r="C630" s="70" t="s">
        <v>1144</v>
      </c>
      <c r="D630" s="70" t="s">
        <v>2326</v>
      </c>
      <c r="E630" s="140" t="s">
        <v>64</v>
      </c>
      <c r="F630" s="139" t="s">
        <v>2092</v>
      </c>
      <c r="G630" s="142" t="s">
        <v>21</v>
      </c>
      <c r="H630" s="70" t="s">
        <v>149</v>
      </c>
      <c r="S630" s="11"/>
      <c r="T630" s="11"/>
      <c r="U630" s="11"/>
      <c r="V630" s="11"/>
      <c r="W630" s="11"/>
    </row>
    <row r="631" spans="2:23" ht="25.5" customHeight="1">
      <c r="B631" s="70">
        <v>620</v>
      </c>
      <c r="C631" s="70" t="s">
        <v>1137</v>
      </c>
      <c r="D631" s="70" t="s">
        <v>2327</v>
      </c>
      <c r="E631" s="140" t="s">
        <v>64</v>
      </c>
      <c r="F631" s="139" t="s">
        <v>2092</v>
      </c>
      <c r="G631" s="142" t="s">
        <v>21</v>
      </c>
      <c r="H631" s="70" t="s">
        <v>149</v>
      </c>
      <c r="S631" s="11"/>
      <c r="T631" s="11"/>
      <c r="U631" s="11"/>
      <c r="V631" s="11"/>
      <c r="W631" s="11"/>
    </row>
    <row r="632" spans="2:23" ht="25.5" customHeight="1">
      <c r="B632" s="70">
        <v>621</v>
      </c>
      <c r="C632" s="70" t="s">
        <v>1145</v>
      </c>
      <c r="D632" s="70" t="s">
        <v>2328</v>
      </c>
      <c r="E632" s="140" t="s">
        <v>64</v>
      </c>
      <c r="F632" s="139" t="s">
        <v>2092</v>
      </c>
      <c r="G632" s="142" t="s">
        <v>19</v>
      </c>
      <c r="H632" s="70" t="s">
        <v>150</v>
      </c>
      <c r="S632" s="11"/>
      <c r="T632" s="11"/>
      <c r="U632" s="11"/>
      <c r="V632" s="11"/>
      <c r="W632" s="11"/>
    </row>
    <row r="633" spans="2:23" ht="25.5" customHeight="1">
      <c r="B633" s="70">
        <v>622</v>
      </c>
      <c r="C633" s="70" t="s">
        <v>1146</v>
      </c>
      <c r="D633" s="70" t="s">
        <v>2328</v>
      </c>
      <c r="E633" s="140" t="s">
        <v>64</v>
      </c>
      <c r="F633" s="139" t="s">
        <v>2092</v>
      </c>
      <c r="G633" s="142" t="s">
        <v>19</v>
      </c>
      <c r="H633" s="70" t="s">
        <v>150</v>
      </c>
      <c r="S633" s="11"/>
      <c r="T633" s="11"/>
      <c r="U633" s="11"/>
      <c r="V633" s="11"/>
      <c r="W633" s="11"/>
    </row>
    <row r="634" spans="2:23" ht="25.5" customHeight="1">
      <c r="B634" s="70">
        <v>623</v>
      </c>
      <c r="C634" s="70" t="s">
        <v>1147</v>
      </c>
      <c r="D634" s="70" t="s">
        <v>2328</v>
      </c>
      <c r="E634" s="140" t="s">
        <v>64</v>
      </c>
      <c r="F634" s="139" t="s">
        <v>2092</v>
      </c>
      <c r="G634" s="142" t="s">
        <v>19</v>
      </c>
      <c r="H634" s="70" t="s">
        <v>150</v>
      </c>
      <c r="S634" s="11"/>
      <c r="T634" s="11"/>
      <c r="U634" s="11"/>
      <c r="V634" s="11"/>
      <c r="W634" s="11"/>
    </row>
    <row r="635" spans="2:23" ht="25.5" customHeight="1">
      <c r="B635" s="70">
        <v>624</v>
      </c>
      <c r="C635" s="70" t="s">
        <v>1148</v>
      </c>
      <c r="D635" s="70" t="s">
        <v>2329</v>
      </c>
      <c r="E635" s="140" t="s">
        <v>64</v>
      </c>
      <c r="F635" s="139" t="s">
        <v>2092</v>
      </c>
      <c r="G635" s="142" t="s">
        <v>19</v>
      </c>
      <c r="H635" s="70" t="s">
        <v>150</v>
      </c>
      <c r="S635" s="11"/>
      <c r="T635" s="11"/>
      <c r="U635" s="11"/>
      <c r="V635" s="11"/>
      <c r="W635" s="11"/>
    </row>
    <row r="636" spans="2:23" ht="25.5" customHeight="1">
      <c r="B636" s="70">
        <v>625</v>
      </c>
      <c r="C636" s="70" t="s">
        <v>1149</v>
      </c>
      <c r="D636" s="70" t="s">
        <v>2330</v>
      </c>
      <c r="E636" s="140" t="s">
        <v>24</v>
      </c>
      <c r="F636" s="139" t="s">
        <v>20</v>
      </c>
      <c r="G636" s="142" t="s">
        <v>42</v>
      </c>
      <c r="H636" s="70" t="s">
        <v>41</v>
      </c>
      <c r="S636" s="11"/>
      <c r="T636" s="11"/>
      <c r="U636" s="11"/>
      <c r="V636" s="11"/>
      <c r="W636" s="11"/>
    </row>
    <row r="637" spans="2:23" ht="25.5" customHeight="1">
      <c r="B637" s="70">
        <v>626</v>
      </c>
      <c r="C637" s="70" t="s">
        <v>1150</v>
      </c>
      <c r="D637" s="70" t="s">
        <v>2331</v>
      </c>
      <c r="E637" s="140" t="s">
        <v>24</v>
      </c>
      <c r="F637" s="139" t="s">
        <v>20</v>
      </c>
      <c r="G637" s="142" t="s">
        <v>44</v>
      </c>
      <c r="H637" s="70" t="s">
        <v>43</v>
      </c>
      <c r="S637" s="11"/>
      <c r="T637" s="11"/>
      <c r="U637" s="11"/>
      <c r="V637" s="11"/>
      <c r="W637" s="11"/>
    </row>
    <row r="638" spans="2:23" ht="25.5" customHeight="1">
      <c r="B638" s="70">
        <v>627</v>
      </c>
      <c r="C638" s="70" t="s">
        <v>1151</v>
      </c>
      <c r="D638" s="70" t="s">
        <v>2332</v>
      </c>
      <c r="E638" s="140" t="s">
        <v>24</v>
      </c>
      <c r="F638" s="139" t="s">
        <v>20</v>
      </c>
      <c r="G638" s="142" t="s">
        <v>46</v>
      </c>
      <c r="H638" s="70" t="s">
        <v>45</v>
      </c>
      <c r="S638" s="11"/>
      <c r="T638" s="11"/>
      <c r="U638" s="11"/>
      <c r="V638" s="11"/>
      <c r="W638" s="11"/>
    </row>
    <row r="639" spans="2:23" ht="25.5" customHeight="1">
      <c r="B639" s="70">
        <v>628</v>
      </c>
      <c r="C639" s="70" t="s">
        <v>1152</v>
      </c>
      <c r="D639" s="70" t="s">
        <v>2333</v>
      </c>
      <c r="E639" s="140" t="s">
        <v>24</v>
      </c>
      <c r="F639" s="139" t="s">
        <v>20</v>
      </c>
      <c r="G639" s="142" t="s">
        <v>48</v>
      </c>
      <c r="H639" s="70" t="s">
        <v>47</v>
      </c>
      <c r="S639" s="11"/>
      <c r="T639" s="11"/>
      <c r="U639" s="11"/>
      <c r="V639" s="11"/>
      <c r="W639" s="11"/>
    </row>
    <row r="640" spans="2:23" ht="25.5" customHeight="1">
      <c r="B640" s="70">
        <v>629</v>
      </c>
      <c r="C640" s="70" t="s">
        <v>1153</v>
      </c>
      <c r="D640" s="70" t="s">
        <v>2334</v>
      </c>
      <c r="E640" s="140" t="s">
        <v>24</v>
      </c>
      <c r="F640" s="139" t="s">
        <v>20</v>
      </c>
      <c r="G640" s="142" t="s">
        <v>50</v>
      </c>
      <c r="H640" s="70" t="s">
        <v>49</v>
      </c>
      <c r="S640" s="11"/>
      <c r="T640" s="11"/>
      <c r="U640" s="11"/>
      <c r="V640" s="11"/>
      <c r="W640" s="11"/>
    </row>
    <row r="641" spans="2:23" ht="25.5" customHeight="1">
      <c r="B641" s="70">
        <v>630</v>
      </c>
      <c r="C641" s="70" t="s">
        <v>1154</v>
      </c>
      <c r="D641" s="70" t="s">
        <v>2335</v>
      </c>
      <c r="E641" s="140" t="s">
        <v>24</v>
      </c>
      <c r="F641" s="139" t="s">
        <v>20</v>
      </c>
      <c r="G641" s="142" t="s">
        <v>52</v>
      </c>
      <c r="H641" s="70" t="s">
        <v>51</v>
      </c>
      <c r="S641" s="11"/>
      <c r="T641" s="11"/>
      <c r="U641" s="11"/>
      <c r="V641" s="11"/>
      <c r="W641" s="11"/>
    </row>
    <row r="642" spans="2:23" ht="25.5" customHeight="1">
      <c r="B642" s="70">
        <v>631</v>
      </c>
      <c r="C642" s="70" t="s">
        <v>1155</v>
      </c>
      <c r="D642" s="70" t="s">
        <v>2336</v>
      </c>
      <c r="E642" s="140" t="s">
        <v>24</v>
      </c>
      <c r="F642" s="139" t="s">
        <v>20</v>
      </c>
      <c r="G642" s="142" t="s">
        <v>56</v>
      </c>
      <c r="H642" s="70" t="s">
        <v>55</v>
      </c>
      <c r="S642" s="11"/>
      <c r="T642" s="11"/>
      <c r="U642" s="11"/>
      <c r="V642" s="11"/>
      <c r="W642" s="11"/>
    </row>
    <row r="643" spans="2:23" ht="25.5" customHeight="1">
      <c r="B643" s="70">
        <v>632</v>
      </c>
      <c r="C643" s="70" t="s">
        <v>1156</v>
      </c>
      <c r="D643" s="70" t="s">
        <v>2337</v>
      </c>
      <c r="E643" s="140" t="s">
        <v>24</v>
      </c>
      <c r="F643" s="139" t="s">
        <v>20</v>
      </c>
      <c r="G643" s="142" t="s">
        <v>56</v>
      </c>
      <c r="H643" s="70" t="s">
        <v>55</v>
      </c>
      <c r="S643" s="11"/>
      <c r="T643" s="11"/>
      <c r="U643" s="11"/>
      <c r="V643" s="11"/>
      <c r="W643" s="11"/>
    </row>
    <row r="644" spans="2:23" ht="25.5" customHeight="1">
      <c r="B644" s="70">
        <v>633</v>
      </c>
      <c r="C644" s="70" t="s">
        <v>1157</v>
      </c>
      <c r="D644" s="70" t="s">
        <v>2338</v>
      </c>
      <c r="E644" s="140" t="s">
        <v>24</v>
      </c>
      <c r="F644" s="139" t="s">
        <v>20</v>
      </c>
      <c r="G644" s="142" t="s">
        <v>56</v>
      </c>
      <c r="H644" s="70" t="s">
        <v>55</v>
      </c>
      <c r="S644" s="11"/>
      <c r="T644" s="11"/>
      <c r="U644" s="11"/>
      <c r="V644" s="11"/>
      <c r="W644" s="11"/>
    </row>
    <row r="645" spans="2:23" ht="25.5" customHeight="1">
      <c r="B645" s="70">
        <v>634</v>
      </c>
      <c r="C645" s="70" t="s">
        <v>1158</v>
      </c>
      <c r="D645" s="70" t="s">
        <v>2339</v>
      </c>
      <c r="E645" s="140" t="s">
        <v>24</v>
      </c>
      <c r="F645" s="139" t="s">
        <v>20</v>
      </c>
      <c r="G645" s="142" t="s">
        <v>20</v>
      </c>
      <c r="H645" s="70" t="s">
        <v>40</v>
      </c>
      <c r="S645" s="11"/>
      <c r="T645" s="11"/>
      <c r="U645" s="11"/>
      <c r="V645" s="11"/>
      <c r="W645" s="11"/>
    </row>
    <row r="646" spans="2:23" ht="25.5" customHeight="1">
      <c r="B646" s="70">
        <v>635</v>
      </c>
      <c r="C646" s="70" t="s">
        <v>1159</v>
      </c>
      <c r="D646" s="70" t="s">
        <v>2340</v>
      </c>
      <c r="E646" s="140" t="s">
        <v>24</v>
      </c>
      <c r="F646" s="139" t="s">
        <v>20</v>
      </c>
      <c r="G646" s="142" t="s">
        <v>20</v>
      </c>
      <c r="H646" s="70" t="s">
        <v>40</v>
      </c>
      <c r="S646" s="11"/>
      <c r="T646" s="11"/>
      <c r="U646" s="11"/>
      <c r="V646" s="11"/>
      <c r="W646" s="11"/>
    </row>
    <row r="647" spans="2:23" ht="25.5" customHeight="1">
      <c r="B647" s="70">
        <v>636</v>
      </c>
      <c r="C647" s="70" t="s">
        <v>1160</v>
      </c>
      <c r="D647" s="70" t="s">
        <v>2341</v>
      </c>
      <c r="E647" s="140" t="s">
        <v>24</v>
      </c>
      <c r="F647" s="139" t="s">
        <v>20</v>
      </c>
      <c r="G647" s="141" t="s">
        <v>20</v>
      </c>
      <c r="H647" s="70" t="s">
        <v>40</v>
      </c>
      <c r="S647" s="11"/>
      <c r="T647" s="11"/>
      <c r="U647" s="11"/>
      <c r="V647" s="11"/>
      <c r="W647" s="11"/>
    </row>
    <row r="648" spans="2:23" ht="25.5" customHeight="1">
      <c r="B648" s="70">
        <v>637</v>
      </c>
      <c r="C648" s="70" t="s">
        <v>1161</v>
      </c>
      <c r="D648" s="70" t="s">
        <v>2342</v>
      </c>
      <c r="E648" s="140" t="s">
        <v>24</v>
      </c>
      <c r="F648" s="139" t="s">
        <v>20</v>
      </c>
      <c r="G648" s="141" t="s">
        <v>52</v>
      </c>
      <c r="H648" s="70" t="s">
        <v>51</v>
      </c>
      <c r="S648" s="11"/>
      <c r="T648" s="11"/>
      <c r="U648" s="11"/>
      <c r="V648" s="11"/>
      <c r="W648" s="11"/>
    </row>
    <row r="649" spans="2:23" ht="25.5" customHeight="1">
      <c r="B649" s="70">
        <v>638</v>
      </c>
      <c r="C649" s="70" t="s">
        <v>1162</v>
      </c>
      <c r="D649" s="70" t="s">
        <v>2343</v>
      </c>
      <c r="E649" s="140" t="s">
        <v>64</v>
      </c>
      <c r="F649" s="139" t="s">
        <v>2108</v>
      </c>
      <c r="G649" s="141" t="s">
        <v>2344</v>
      </c>
      <c r="H649" s="70" t="s">
        <v>107</v>
      </c>
      <c r="S649" s="11"/>
      <c r="T649" s="11"/>
      <c r="U649" s="11"/>
      <c r="V649" s="11"/>
      <c r="W649" s="11"/>
    </row>
    <row r="650" spans="2:23" ht="25.5" customHeight="1">
      <c r="B650" s="70">
        <v>639</v>
      </c>
      <c r="C650" s="70" t="s">
        <v>1163</v>
      </c>
      <c r="D650" s="70" t="s">
        <v>2345</v>
      </c>
      <c r="E650" s="140" t="s">
        <v>64</v>
      </c>
      <c r="F650" s="139" t="s">
        <v>2108</v>
      </c>
      <c r="G650" s="141" t="s">
        <v>2344</v>
      </c>
      <c r="H650" s="70" t="s">
        <v>107</v>
      </c>
      <c r="S650" s="11"/>
      <c r="T650" s="11"/>
      <c r="U650" s="11"/>
      <c r="V650" s="11"/>
      <c r="W650" s="11"/>
    </row>
    <row r="651" spans="2:23" ht="25.5" customHeight="1">
      <c r="B651" s="70">
        <v>640</v>
      </c>
      <c r="C651" s="70" t="s">
        <v>1164</v>
      </c>
      <c r="D651" s="70" t="s">
        <v>2346</v>
      </c>
      <c r="E651" s="140" t="s">
        <v>64</v>
      </c>
      <c r="F651" s="139" t="s">
        <v>2186</v>
      </c>
      <c r="G651" s="141" t="s">
        <v>178</v>
      </c>
      <c r="H651" s="70" t="s">
        <v>177</v>
      </c>
      <c r="S651" s="11"/>
      <c r="T651" s="11"/>
      <c r="U651" s="11"/>
      <c r="V651" s="11"/>
      <c r="W651" s="11"/>
    </row>
    <row r="652" spans="2:23" ht="25.5" customHeight="1">
      <c r="B652" s="70">
        <v>641</v>
      </c>
      <c r="C652" s="70" t="s">
        <v>1165</v>
      </c>
      <c r="D652" s="70" t="s">
        <v>2347</v>
      </c>
      <c r="E652" s="140" t="s">
        <v>64</v>
      </c>
      <c r="F652" s="139" t="s">
        <v>2186</v>
      </c>
      <c r="G652" s="141" t="s">
        <v>178</v>
      </c>
      <c r="H652" s="70" t="s">
        <v>177</v>
      </c>
      <c r="S652" s="11"/>
      <c r="T652" s="11"/>
      <c r="U652" s="11"/>
      <c r="V652" s="11"/>
      <c r="W652" s="11"/>
    </row>
    <row r="653" spans="2:23" ht="25.5" customHeight="1">
      <c r="B653" s="70">
        <v>642</v>
      </c>
      <c r="C653" s="70" t="s">
        <v>1166</v>
      </c>
      <c r="D653" s="70" t="s">
        <v>2348</v>
      </c>
      <c r="E653" s="140" t="s">
        <v>64</v>
      </c>
      <c r="F653" s="139" t="s">
        <v>2186</v>
      </c>
      <c r="G653" s="143" t="s">
        <v>178</v>
      </c>
      <c r="H653" s="70" t="s">
        <v>177</v>
      </c>
      <c r="S653" s="11"/>
      <c r="T653" s="11"/>
      <c r="U653" s="11"/>
      <c r="V653" s="11"/>
      <c r="W653" s="11"/>
    </row>
    <row r="654" spans="2:23" ht="25.5" customHeight="1">
      <c r="B654" s="70">
        <v>643</v>
      </c>
      <c r="C654" s="70" t="s">
        <v>1167</v>
      </c>
      <c r="D654" s="70" t="s">
        <v>2349</v>
      </c>
      <c r="E654" s="140" t="s">
        <v>35</v>
      </c>
      <c r="F654" s="139" t="s">
        <v>2139</v>
      </c>
      <c r="G654" s="143" t="s">
        <v>194</v>
      </c>
      <c r="H654" s="70" t="s">
        <v>193</v>
      </c>
      <c r="S654" s="11"/>
      <c r="T654" s="11"/>
      <c r="U654" s="11"/>
      <c r="V654" s="11"/>
      <c r="W654" s="11"/>
    </row>
    <row r="655" spans="2:23" ht="25.5" customHeight="1">
      <c r="B655" s="70">
        <v>644</v>
      </c>
      <c r="C655" s="70" t="s">
        <v>1168</v>
      </c>
      <c r="D655" s="70" t="s">
        <v>2350</v>
      </c>
      <c r="E655" s="140" t="s">
        <v>64</v>
      </c>
      <c r="F655" s="139" t="s">
        <v>85</v>
      </c>
      <c r="G655" s="143" t="s">
        <v>101</v>
      </c>
      <c r="H655" s="70" t="s">
        <v>100</v>
      </c>
      <c r="S655" s="11"/>
      <c r="T655" s="11"/>
      <c r="U655" s="11"/>
      <c r="V655" s="11"/>
      <c r="W655" s="11"/>
    </row>
    <row r="656" spans="2:23" ht="25.5" customHeight="1">
      <c r="B656" s="70">
        <v>645</v>
      </c>
      <c r="C656" s="70" t="s">
        <v>1169</v>
      </c>
      <c r="D656" s="70" t="s">
        <v>2351</v>
      </c>
      <c r="E656" s="140" t="s">
        <v>64</v>
      </c>
      <c r="F656" s="139" t="s">
        <v>85</v>
      </c>
      <c r="G656" s="143" t="s">
        <v>101</v>
      </c>
      <c r="H656" s="70" t="s">
        <v>100</v>
      </c>
      <c r="S656" s="11"/>
      <c r="T656" s="11"/>
      <c r="U656" s="11"/>
      <c r="V656" s="11"/>
      <c r="W656" s="11"/>
    </row>
    <row r="657" spans="2:23" ht="25.5" customHeight="1">
      <c r="B657" s="70">
        <v>646</v>
      </c>
      <c r="C657" s="70" t="s">
        <v>1170</v>
      </c>
      <c r="D657" s="70" t="s">
        <v>2352</v>
      </c>
      <c r="E657" s="140" t="s">
        <v>64</v>
      </c>
      <c r="F657" s="139" t="s">
        <v>85</v>
      </c>
      <c r="G657" s="143" t="s">
        <v>103</v>
      </c>
      <c r="H657" s="70" t="s">
        <v>102</v>
      </c>
      <c r="S657" s="11"/>
      <c r="T657" s="11"/>
      <c r="U657" s="11"/>
      <c r="V657" s="11"/>
      <c r="W657" s="11"/>
    </row>
    <row r="658" spans="2:23" ht="25.5" customHeight="1">
      <c r="B658" s="70">
        <v>647</v>
      </c>
      <c r="C658" s="70" t="s">
        <v>1171</v>
      </c>
      <c r="D658" s="70" t="s">
        <v>2353</v>
      </c>
      <c r="E658" s="140" t="s">
        <v>64</v>
      </c>
      <c r="F658" s="139" t="s">
        <v>65</v>
      </c>
      <c r="G658" s="143" t="s">
        <v>67</v>
      </c>
      <c r="H658" s="70" t="s">
        <v>66</v>
      </c>
      <c r="S658" s="11"/>
      <c r="T658" s="11"/>
      <c r="U658" s="11"/>
      <c r="V658" s="11"/>
      <c r="W658" s="11"/>
    </row>
    <row r="659" spans="2:23" ht="25.5" customHeight="1">
      <c r="B659" s="70">
        <v>648</v>
      </c>
      <c r="C659" s="70" t="s">
        <v>1172</v>
      </c>
      <c r="D659" s="70" t="s">
        <v>2354</v>
      </c>
      <c r="E659" s="140" t="s">
        <v>64</v>
      </c>
      <c r="F659" s="139" t="s">
        <v>65</v>
      </c>
      <c r="G659" s="141" t="s">
        <v>69</v>
      </c>
      <c r="H659" s="70" t="s">
        <v>68</v>
      </c>
      <c r="S659" s="11"/>
      <c r="T659" s="11"/>
      <c r="U659" s="11"/>
      <c r="V659" s="11"/>
      <c r="W659" s="11"/>
    </row>
    <row r="660" spans="2:23" ht="25.5" customHeight="1">
      <c r="B660" s="70">
        <v>649</v>
      </c>
      <c r="C660" s="70" t="s">
        <v>1173</v>
      </c>
      <c r="D660" s="70" t="s">
        <v>2355</v>
      </c>
      <c r="E660" s="140" t="s">
        <v>64</v>
      </c>
      <c r="F660" s="139" t="s">
        <v>85</v>
      </c>
      <c r="G660" s="141" t="s">
        <v>84</v>
      </c>
      <c r="H660" s="70" t="s">
        <v>83</v>
      </c>
      <c r="S660" s="11"/>
      <c r="T660" s="11"/>
      <c r="U660" s="11"/>
      <c r="V660" s="11"/>
      <c r="W660" s="11"/>
    </row>
    <row r="661" spans="2:23" ht="25.5" customHeight="1">
      <c r="B661" s="70">
        <v>650</v>
      </c>
      <c r="C661" s="70" t="s">
        <v>1174</v>
      </c>
      <c r="D661" s="70" t="s">
        <v>2356</v>
      </c>
      <c r="E661" s="140" t="s">
        <v>64</v>
      </c>
      <c r="F661" s="139" t="s">
        <v>85</v>
      </c>
      <c r="G661" s="141" t="s">
        <v>87</v>
      </c>
      <c r="H661" s="70" t="s">
        <v>86</v>
      </c>
      <c r="S661" s="11"/>
      <c r="T661" s="11"/>
      <c r="U661" s="11"/>
      <c r="V661" s="11"/>
      <c r="W661" s="11"/>
    </row>
    <row r="662" spans="2:23" ht="25.5" customHeight="1">
      <c r="B662" s="70">
        <v>651</v>
      </c>
      <c r="C662" s="70" t="s">
        <v>1175</v>
      </c>
      <c r="D662" s="70" t="s">
        <v>2357</v>
      </c>
      <c r="E662" s="140" t="s">
        <v>64</v>
      </c>
      <c r="F662" s="139" t="s">
        <v>85</v>
      </c>
      <c r="G662" s="141" t="s">
        <v>89</v>
      </c>
      <c r="H662" s="70" t="s">
        <v>88</v>
      </c>
      <c r="S662" s="11"/>
      <c r="T662" s="11"/>
      <c r="U662" s="11"/>
      <c r="V662" s="11"/>
      <c r="W662" s="11"/>
    </row>
    <row r="663" spans="2:23" ht="25.5" customHeight="1">
      <c r="B663" s="70">
        <v>652</v>
      </c>
      <c r="C663" s="70" t="s">
        <v>1176</v>
      </c>
      <c r="D663" s="70" t="s">
        <v>2358</v>
      </c>
      <c r="E663" s="140" t="s">
        <v>64</v>
      </c>
      <c r="F663" s="139" t="s">
        <v>85</v>
      </c>
      <c r="G663" s="141" t="s">
        <v>91</v>
      </c>
      <c r="H663" s="70" t="s">
        <v>90</v>
      </c>
      <c r="S663" s="11"/>
      <c r="T663" s="11"/>
      <c r="U663" s="11"/>
      <c r="V663" s="11"/>
      <c r="W663" s="11"/>
    </row>
    <row r="664" spans="2:23" ht="25.5" customHeight="1">
      <c r="B664" s="70">
        <v>653</v>
      </c>
      <c r="C664" s="70" t="s">
        <v>1177</v>
      </c>
      <c r="D664" s="70" t="s">
        <v>2359</v>
      </c>
      <c r="E664" s="140" t="s">
        <v>64</v>
      </c>
      <c r="F664" s="139" t="s">
        <v>85</v>
      </c>
      <c r="G664" s="141" t="s">
        <v>93</v>
      </c>
      <c r="H664" s="70" t="s">
        <v>92</v>
      </c>
      <c r="S664" s="11"/>
      <c r="T664" s="11"/>
      <c r="U664" s="11"/>
      <c r="V664" s="11"/>
      <c r="W664" s="11"/>
    </row>
    <row r="665" spans="2:23" ht="25.5" customHeight="1">
      <c r="B665" s="70">
        <v>654</v>
      </c>
      <c r="C665" s="70" t="s">
        <v>1178</v>
      </c>
      <c r="D665" s="70" t="s">
        <v>2360</v>
      </c>
      <c r="E665" s="140" t="s">
        <v>64</v>
      </c>
      <c r="F665" s="139" t="s">
        <v>85</v>
      </c>
      <c r="G665" s="141" t="s">
        <v>97</v>
      </c>
      <c r="H665" s="70" t="s">
        <v>96</v>
      </c>
      <c r="S665" s="11"/>
      <c r="T665" s="11"/>
      <c r="U665" s="11"/>
      <c r="V665" s="11"/>
      <c r="W665" s="11"/>
    </row>
    <row r="666" spans="2:23" ht="25.5" customHeight="1">
      <c r="B666" s="70">
        <v>655</v>
      </c>
      <c r="C666" s="70" t="s">
        <v>1179</v>
      </c>
      <c r="D666" s="70" t="s">
        <v>2361</v>
      </c>
      <c r="E666" s="140" t="s">
        <v>64</v>
      </c>
      <c r="F666" s="139" t="s">
        <v>85</v>
      </c>
      <c r="G666" s="142" t="s">
        <v>95</v>
      </c>
      <c r="H666" s="70" t="s">
        <v>94</v>
      </c>
      <c r="S666" s="11"/>
      <c r="T666" s="11"/>
      <c r="U666" s="11"/>
      <c r="V666" s="11"/>
      <c r="W666" s="11"/>
    </row>
    <row r="667" spans="2:23" ht="25.5" customHeight="1">
      <c r="B667" s="70">
        <v>656</v>
      </c>
      <c r="C667" s="70" t="s">
        <v>1180</v>
      </c>
      <c r="D667" s="70" t="s">
        <v>2362</v>
      </c>
      <c r="E667" s="140" t="s">
        <v>64</v>
      </c>
      <c r="F667" s="139" t="s">
        <v>85</v>
      </c>
      <c r="G667" s="142" t="s">
        <v>99</v>
      </c>
      <c r="H667" s="70" t="s">
        <v>98</v>
      </c>
      <c r="S667" s="11"/>
      <c r="T667" s="11"/>
      <c r="U667" s="11"/>
      <c r="V667" s="11"/>
      <c r="W667" s="11"/>
    </row>
    <row r="668" spans="2:23" ht="25.5" customHeight="1">
      <c r="B668" s="70">
        <v>657</v>
      </c>
      <c r="C668" s="70" t="s">
        <v>1181</v>
      </c>
      <c r="D668" s="70" t="s">
        <v>2363</v>
      </c>
      <c r="E668" s="140" t="s">
        <v>64</v>
      </c>
      <c r="F668" s="139" t="s">
        <v>85</v>
      </c>
      <c r="G668" s="142" t="s">
        <v>84</v>
      </c>
      <c r="H668" s="70" t="s">
        <v>83</v>
      </c>
      <c r="S668" s="11"/>
      <c r="T668" s="11"/>
      <c r="U668" s="11"/>
      <c r="V668" s="11"/>
      <c r="W668" s="11"/>
    </row>
    <row r="669" spans="2:23" ht="25.5" customHeight="1">
      <c r="B669" s="70">
        <v>658</v>
      </c>
      <c r="C669" s="70" t="s">
        <v>1182</v>
      </c>
      <c r="D669" s="70" t="s">
        <v>2364</v>
      </c>
      <c r="E669" s="140" t="s">
        <v>64</v>
      </c>
      <c r="F669" s="139" t="s">
        <v>85</v>
      </c>
      <c r="G669" s="141" t="s">
        <v>87</v>
      </c>
      <c r="H669" s="70" t="s">
        <v>86</v>
      </c>
      <c r="S669" s="11"/>
      <c r="T669" s="11"/>
      <c r="U669" s="11"/>
      <c r="V669" s="11"/>
      <c r="W669" s="11"/>
    </row>
    <row r="670" spans="2:23" ht="25.5" customHeight="1">
      <c r="B670" s="70">
        <v>659</v>
      </c>
      <c r="C670" s="70" t="s">
        <v>1183</v>
      </c>
      <c r="D670" s="70" t="s">
        <v>2365</v>
      </c>
      <c r="E670" s="140" t="s">
        <v>64</v>
      </c>
      <c r="F670" s="139" t="s">
        <v>85</v>
      </c>
      <c r="G670" s="141" t="s">
        <v>89</v>
      </c>
      <c r="H670" s="70" t="s">
        <v>88</v>
      </c>
      <c r="S670" s="11"/>
      <c r="T670" s="11"/>
      <c r="U670" s="11"/>
      <c r="V670" s="11"/>
      <c r="W670" s="11"/>
    </row>
    <row r="671" spans="2:23" ht="25.5" customHeight="1">
      <c r="B671" s="70">
        <v>660</v>
      </c>
      <c r="C671" s="70" t="s">
        <v>1184</v>
      </c>
      <c r="D671" s="70" t="s">
        <v>2366</v>
      </c>
      <c r="E671" s="140" t="s">
        <v>64</v>
      </c>
      <c r="F671" s="139" t="s">
        <v>85</v>
      </c>
      <c r="G671" s="141" t="s">
        <v>91</v>
      </c>
      <c r="H671" s="70" t="s">
        <v>90</v>
      </c>
      <c r="S671" s="11"/>
      <c r="T671" s="11"/>
      <c r="U671" s="11"/>
      <c r="V671" s="11"/>
      <c r="W671" s="11"/>
    </row>
    <row r="672" spans="2:23" ht="25.5" customHeight="1">
      <c r="B672" s="70">
        <v>661</v>
      </c>
      <c r="C672" s="70" t="s">
        <v>1185</v>
      </c>
      <c r="D672" s="70" t="s">
        <v>2367</v>
      </c>
      <c r="E672" s="140" t="s">
        <v>64</v>
      </c>
      <c r="F672" s="139" t="s">
        <v>85</v>
      </c>
      <c r="G672" s="141" t="s">
        <v>93</v>
      </c>
      <c r="H672" s="70" t="s">
        <v>92</v>
      </c>
      <c r="S672" s="11"/>
      <c r="T672" s="11"/>
      <c r="U672" s="11"/>
      <c r="V672" s="11"/>
      <c r="W672" s="11"/>
    </row>
    <row r="673" spans="2:23" ht="25.5" customHeight="1">
      <c r="B673" s="70">
        <v>662</v>
      </c>
      <c r="C673" s="70" t="s">
        <v>1186</v>
      </c>
      <c r="D673" s="70" t="s">
        <v>2368</v>
      </c>
      <c r="E673" s="140" t="s">
        <v>64</v>
      </c>
      <c r="F673" s="139" t="s">
        <v>85</v>
      </c>
      <c r="G673" s="141" t="s">
        <v>95</v>
      </c>
      <c r="H673" s="70" t="s">
        <v>94</v>
      </c>
      <c r="S673" s="11"/>
      <c r="T673" s="11"/>
      <c r="U673" s="11"/>
      <c r="V673" s="11"/>
      <c r="W673" s="11"/>
    </row>
    <row r="674" spans="2:23" ht="25.5" customHeight="1">
      <c r="B674" s="70">
        <v>663</v>
      </c>
      <c r="C674" s="70" t="s">
        <v>1187</v>
      </c>
      <c r="D674" s="70" t="s">
        <v>2369</v>
      </c>
      <c r="E674" s="140" t="s">
        <v>64</v>
      </c>
      <c r="F674" s="139" t="s">
        <v>85</v>
      </c>
      <c r="G674" s="141" t="s">
        <v>97</v>
      </c>
      <c r="H674" s="70" t="s">
        <v>96</v>
      </c>
      <c r="S674" s="11"/>
      <c r="T674" s="11"/>
      <c r="U674" s="11"/>
      <c r="V674" s="11"/>
      <c r="W674" s="11"/>
    </row>
    <row r="675" spans="2:23" ht="25.5" customHeight="1">
      <c r="B675" s="70">
        <v>664</v>
      </c>
      <c r="C675" s="70" t="s">
        <v>1188</v>
      </c>
      <c r="D675" s="70" t="s">
        <v>2370</v>
      </c>
      <c r="E675" s="140" t="s">
        <v>64</v>
      </c>
      <c r="F675" s="139" t="s">
        <v>85</v>
      </c>
      <c r="G675" s="141" t="s">
        <v>99</v>
      </c>
      <c r="H675" s="70" t="s">
        <v>98</v>
      </c>
      <c r="S675" s="11"/>
      <c r="T675" s="11"/>
      <c r="U675" s="11"/>
      <c r="V675" s="11"/>
      <c r="W675" s="11"/>
    </row>
    <row r="676" spans="2:23" ht="25.5" customHeight="1">
      <c r="B676" s="70">
        <v>665</v>
      </c>
      <c r="C676" s="70" t="s">
        <v>1189</v>
      </c>
      <c r="D676" s="70" t="s">
        <v>2371</v>
      </c>
      <c r="E676" s="140" t="s">
        <v>64</v>
      </c>
      <c r="F676" s="139" t="s">
        <v>85</v>
      </c>
      <c r="G676" s="141" t="s">
        <v>84</v>
      </c>
      <c r="H676" s="70" t="s">
        <v>83</v>
      </c>
      <c r="S676" s="11"/>
      <c r="T676" s="11"/>
      <c r="U676" s="11"/>
      <c r="V676" s="11"/>
      <c r="W676" s="11"/>
    </row>
    <row r="677" spans="2:23" ht="25.5" customHeight="1">
      <c r="B677" s="70">
        <v>666</v>
      </c>
      <c r="C677" s="70" t="s">
        <v>1190</v>
      </c>
      <c r="D677" s="70" t="s">
        <v>2372</v>
      </c>
      <c r="E677" s="140" t="s">
        <v>64</v>
      </c>
      <c r="F677" s="139" t="s">
        <v>85</v>
      </c>
      <c r="G677" s="141" t="s">
        <v>84</v>
      </c>
      <c r="H677" s="70" t="s">
        <v>83</v>
      </c>
      <c r="S677" s="11"/>
      <c r="T677" s="11"/>
      <c r="U677" s="11"/>
      <c r="V677" s="11"/>
      <c r="W677" s="11"/>
    </row>
    <row r="678" spans="2:23" ht="25.5" customHeight="1">
      <c r="B678" s="70">
        <v>667</v>
      </c>
      <c r="C678" s="70" t="s">
        <v>1191</v>
      </c>
      <c r="D678" s="70" t="s">
        <v>2373</v>
      </c>
      <c r="E678" s="140" t="s">
        <v>64</v>
      </c>
      <c r="F678" s="139" t="s">
        <v>85</v>
      </c>
      <c r="G678" s="141" t="s">
        <v>87</v>
      </c>
      <c r="H678" s="70" t="s">
        <v>86</v>
      </c>
      <c r="S678" s="11"/>
      <c r="T678" s="11"/>
      <c r="U678" s="11"/>
      <c r="V678" s="11"/>
      <c r="W678" s="11"/>
    </row>
    <row r="679" spans="2:23" ht="25.5" customHeight="1">
      <c r="B679" s="70">
        <v>668</v>
      </c>
      <c r="C679" s="70" t="s">
        <v>1192</v>
      </c>
      <c r="D679" s="70" t="s">
        <v>2374</v>
      </c>
      <c r="E679" s="140" t="s">
        <v>64</v>
      </c>
      <c r="F679" s="139" t="s">
        <v>85</v>
      </c>
      <c r="G679" s="141" t="s">
        <v>87</v>
      </c>
      <c r="H679" s="70" t="s">
        <v>86</v>
      </c>
      <c r="S679" s="11"/>
      <c r="T679" s="11"/>
      <c r="U679" s="11"/>
      <c r="V679" s="11"/>
      <c r="W679" s="11"/>
    </row>
    <row r="680" spans="2:23" ht="25.5" customHeight="1">
      <c r="B680" s="70">
        <v>669</v>
      </c>
      <c r="C680" s="70" t="s">
        <v>1193</v>
      </c>
      <c r="D680" s="70" t="s">
        <v>2375</v>
      </c>
      <c r="E680" s="140" t="s">
        <v>64</v>
      </c>
      <c r="F680" s="139" t="s">
        <v>85</v>
      </c>
      <c r="G680" s="141" t="s">
        <v>89</v>
      </c>
      <c r="H680" s="70" t="s">
        <v>88</v>
      </c>
      <c r="S680" s="11"/>
      <c r="T680" s="11"/>
      <c r="U680" s="11"/>
      <c r="V680" s="11"/>
      <c r="W680" s="11"/>
    </row>
    <row r="681" spans="2:23" ht="25.5" customHeight="1">
      <c r="B681" s="70">
        <v>670</v>
      </c>
      <c r="C681" s="70" t="s">
        <v>1194</v>
      </c>
      <c r="D681" s="70" t="s">
        <v>2376</v>
      </c>
      <c r="E681" s="140" t="s">
        <v>64</v>
      </c>
      <c r="F681" s="139" t="s">
        <v>85</v>
      </c>
      <c r="G681" s="141" t="s">
        <v>89</v>
      </c>
      <c r="H681" s="70" t="s">
        <v>88</v>
      </c>
      <c r="S681" s="11"/>
      <c r="T681" s="11"/>
      <c r="U681" s="11"/>
      <c r="V681" s="11"/>
      <c r="W681" s="11"/>
    </row>
    <row r="682" spans="2:23" ht="25.5" customHeight="1">
      <c r="B682" s="70">
        <v>671</v>
      </c>
      <c r="C682" s="70" t="s">
        <v>1195</v>
      </c>
      <c r="D682" s="70" t="s">
        <v>2377</v>
      </c>
      <c r="E682" s="140" t="s">
        <v>64</v>
      </c>
      <c r="F682" s="139" t="s">
        <v>85</v>
      </c>
      <c r="G682" s="141" t="s">
        <v>95</v>
      </c>
      <c r="H682" s="70" t="s">
        <v>94</v>
      </c>
      <c r="S682" s="11"/>
      <c r="T682" s="11"/>
      <c r="U682" s="11"/>
      <c r="V682" s="11"/>
      <c r="W682" s="11"/>
    </row>
    <row r="683" spans="2:23" ht="25.5" customHeight="1">
      <c r="B683" s="70">
        <v>672</v>
      </c>
      <c r="C683" s="70" t="s">
        <v>1196</v>
      </c>
      <c r="D683" s="70" t="s">
        <v>2377</v>
      </c>
      <c r="E683" s="140" t="s">
        <v>64</v>
      </c>
      <c r="F683" s="139" t="s">
        <v>85</v>
      </c>
      <c r="G683" s="141" t="s">
        <v>95</v>
      </c>
      <c r="H683" s="70" t="s">
        <v>94</v>
      </c>
      <c r="S683" s="11"/>
      <c r="T683" s="11"/>
      <c r="U683" s="11"/>
      <c r="V683" s="11"/>
      <c r="W683" s="11"/>
    </row>
    <row r="684" spans="2:23" ht="25.5" customHeight="1">
      <c r="B684" s="70">
        <v>673</v>
      </c>
      <c r="C684" s="70" t="s">
        <v>1197</v>
      </c>
      <c r="D684" s="70" t="s">
        <v>2377</v>
      </c>
      <c r="E684" s="140" t="s">
        <v>64</v>
      </c>
      <c r="F684" s="139" t="s">
        <v>85</v>
      </c>
      <c r="G684" s="141" t="s">
        <v>95</v>
      </c>
      <c r="H684" s="70" t="s">
        <v>94</v>
      </c>
      <c r="S684" s="11"/>
      <c r="T684" s="11"/>
      <c r="U684" s="11"/>
      <c r="V684" s="11"/>
      <c r="W684" s="11"/>
    </row>
    <row r="685" spans="2:23" ht="25.5" customHeight="1">
      <c r="B685" s="70">
        <v>674</v>
      </c>
      <c r="C685" s="70" t="s">
        <v>1198</v>
      </c>
      <c r="D685" s="70" t="s">
        <v>2378</v>
      </c>
      <c r="E685" s="140" t="s">
        <v>64</v>
      </c>
      <c r="F685" s="139" t="s">
        <v>85</v>
      </c>
      <c r="G685" s="141" t="s">
        <v>95</v>
      </c>
      <c r="H685" s="70" t="s">
        <v>94</v>
      </c>
      <c r="S685" s="11"/>
      <c r="T685" s="11"/>
      <c r="U685" s="11"/>
      <c r="V685" s="11"/>
      <c r="W685" s="11"/>
    </row>
    <row r="686" spans="2:23" ht="25.5" customHeight="1">
      <c r="B686" s="70">
        <v>675</v>
      </c>
      <c r="C686" s="70" t="s">
        <v>1199</v>
      </c>
      <c r="D686" s="70" t="s">
        <v>2379</v>
      </c>
      <c r="E686" s="140" t="s">
        <v>64</v>
      </c>
      <c r="F686" s="139" t="s">
        <v>85</v>
      </c>
      <c r="G686" s="141" t="s">
        <v>99</v>
      </c>
      <c r="H686" s="70" t="s">
        <v>98</v>
      </c>
      <c r="S686" s="11"/>
      <c r="T686" s="11"/>
      <c r="U686" s="11"/>
      <c r="V686" s="11"/>
      <c r="W686" s="11"/>
    </row>
    <row r="687" spans="2:23" ht="25.5" customHeight="1">
      <c r="B687" s="70">
        <v>676</v>
      </c>
      <c r="C687" s="70" t="s">
        <v>1200</v>
      </c>
      <c r="D687" s="70" t="s">
        <v>2379</v>
      </c>
      <c r="E687" s="140" t="s">
        <v>64</v>
      </c>
      <c r="F687" s="139" t="s">
        <v>85</v>
      </c>
      <c r="G687" s="141" t="s">
        <v>99</v>
      </c>
      <c r="H687" s="70" t="s">
        <v>98</v>
      </c>
      <c r="S687" s="11"/>
      <c r="T687" s="11"/>
      <c r="U687" s="11"/>
      <c r="V687" s="11"/>
      <c r="W687" s="11"/>
    </row>
    <row r="688" spans="2:23" ht="25.5" customHeight="1">
      <c r="B688" s="70">
        <v>677</v>
      </c>
      <c r="C688" s="70" t="s">
        <v>1201</v>
      </c>
      <c r="D688" s="70" t="s">
        <v>2379</v>
      </c>
      <c r="E688" s="140" t="s">
        <v>64</v>
      </c>
      <c r="F688" s="139" t="s">
        <v>85</v>
      </c>
      <c r="G688" s="141" t="s">
        <v>99</v>
      </c>
      <c r="H688" s="70" t="s">
        <v>98</v>
      </c>
      <c r="S688" s="11"/>
      <c r="T688" s="11"/>
      <c r="U688" s="11"/>
      <c r="V688" s="11"/>
      <c r="W688" s="11"/>
    </row>
    <row r="689" spans="2:23" ht="25.5" customHeight="1">
      <c r="B689" s="70">
        <v>678</v>
      </c>
      <c r="C689" s="70" t="s">
        <v>1202</v>
      </c>
      <c r="D689" s="70" t="s">
        <v>2380</v>
      </c>
      <c r="E689" s="140" t="s">
        <v>64</v>
      </c>
      <c r="F689" s="139" t="s">
        <v>85</v>
      </c>
      <c r="G689" s="141" t="s">
        <v>99</v>
      </c>
      <c r="H689" s="70" t="s">
        <v>98</v>
      </c>
      <c r="S689" s="11"/>
      <c r="T689" s="11"/>
      <c r="U689" s="11"/>
      <c r="V689" s="11"/>
      <c r="W689" s="11"/>
    </row>
    <row r="690" spans="2:23" ht="25.5" customHeight="1">
      <c r="B690" s="70">
        <v>679</v>
      </c>
      <c r="C690" s="70" t="s">
        <v>1203</v>
      </c>
      <c r="D690" s="70" t="s">
        <v>2381</v>
      </c>
      <c r="E690" s="140" t="s">
        <v>152</v>
      </c>
      <c r="F690" s="139" t="s">
        <v>2162</v>
      </c>
      <c r="G690" s="141" t="s">
        <v>238</v>
      </c>
      <c r="H690" s="70" t="s">
        <v>237</v>
      </c>
      <c r="S690" s="11"/>
      <c r="T690" s="11"/>
      <c r="U690" s="11"/>
      <c r="V690" s="11"/>
      <c r="W690" s="11"/>
    </row>
    <row r="691" spans="2:23" ht="25.5" customHeight="1">
      <c r="B691" s="70">
        <v>680</v>
      </c>
      <c r="C691" s="70" t="s">
        <v>1314</v>
      </c>
      <c r="D691" s="70" t="s">
        <v>1315</v>
      </c>
      <c r="E691" s="140" t="s">
        <v>152</v>
      </c>
      <c r="F691" s="139" t="s">
        <v>2162</v>
      </c>
      <c r="G691" s="141" t="s">
        <v>238</v>
      </c>
      <c r="H691" s="142" t="s">
        <v>237</v>
      </c>
      <c r="S691" s="11"/>
      <c r="T691" s="11"/>
      <c r="U691" s="11"/>
      <c r="V691" s="11"/>
      <c r="W691" s="11"/>
    </row>
    <row r="692" spans="2:23" ht="25.5" customHeight="1">
      <c r="B692" s="70">
        <v>681</v>
      </c>
      <c r="C692" s="70" t="s">
        <v>1316</v>
      </c>
      <c r="D692" s="70" t="s">
        <v>1315</v>
      </c>
      <c r="E692" s="140" t="s">
        <v>152</v>
      </c>
      <c r="F692" s="139" t="s">
        <v>2162</v>
      </c>
      <c r="G692" s="141" t="s">
        <v>238</v>
      </c>
      <c r="H692" s="142" t="s">
        <v>237</v>
      </c>
      <c r="S692" s="11"/>
      <c r="T692" s="11"/>
      <c r="U692" s="11"/>
      <c r="V692" s="11"/>
      <c r="W692" s="11"/>
    </row>
    <row r="693" spans="2:23" ht="25.5" customHeight="1">
      <c r="B693" s="70">
        <v>682</v>
      </c>
      <c r="C693" s="70" t="s">
        <v>1317</v>
      </c>
      <c r="D693" s="70" t="s">
        <v>1318</v>
      </c>
      <c r="E693" s="140" t="s">
        <v>35</v>
      </c>
      <c r="F693" s="139" t="s">
        <v>2138</v>
      </c>
      <c r="G693" s="142" t="s">
        <v>16</v>
      </c>
      <c r="H693" s="142" t="s">
        <v>210</v>
      </c>
      <c r="S693" s="11"/>
      <c r="T693" s="11"/>
      <c r="U693" s="11"/>
      <c r="V693" s="11"/>
      <c r="W693" s="11"/>
    </row>
    <row r="694" spans="2:23" ht="25.5" customHeight="1">
      <c r="B694" s="70">
        <v>683</v>
      </c>
      <c r="C694" s="70" t="s">
        <v>1319</v>
      </c>
      <c r="D694" s="70" t="s">
        <v>1318</v>
      </c>
      <c r="E694" s="140" t="s">
        <v>35</v>
      </c>
      <c r="F694" s="139" t="s">
        <v>2138</v>
      </c>
      <c r="G694" s="142" t="s">
        <v>16</v>
      </c>
      <c r="H694" s="142" t="s">
        <v>210</v>
      </c>
      <c r="S694" s="11"/>
      <c r="T694" s="11"/>
      <c r="U694" s="11"/>
      <c r="V694" s="11"/>
      <c r="W694" s="11"/>
    </row>
    <row r="695" spans="2:23" ht="25.5" customHeight="1">
      <c r="B695" s="70">
        <v>684</v>
      </c>
      <c r="C695" s="70" t="s">
        <v>253</v>
      </c>
      <c r="D695" s="70" t="s">
        <v>1320</v>
      </c>
      <c r="E695" s="140" t="s">
        <v>64</v>
      </c>
      <c r="F695" s="139" t="s">
        <v>2092</v>
      </c>
      <c r="G695" s="142" t="s">
        <v>111</v>
      </c>
      <c r="H695" s="142" t="s">
        <v>110</v>
      </c>
      <c r="S695" s="11"/>
      <c r="T695" s="11"/>
      <c r="U695" s="11"/>
      <c r="V695" s="11"/>
      <c r="W695" s="11"/>
    </row>
    <row r="696" spans="2:23" ht="25.5" customHeight="1">
      <c r="B696" s="70">
        <v>685</v>
      </c>
      <c r="C696" s="70" t="s">
        <v>1321</v>
      </c>
      <c r="D696" s="70" t="s">
        <v>1322</v>
      </c>
      <c r="E696" s="140" t="s">
        <v>24</v>
      </c>
      <c r="F696" s="139" t="s">
        <v>20</v>
      </c>
      <c r="G696" s="142" t="s">
        <v>20</v>
      </c>
      <c r="H696" s="142" t="s">
        <v>40</v>
      </c>
      <c r="S696" s="11"/>
      <c r="T696" s="11"/>
      <c r="U696" s="11"/>
      <c r="V696" s="11"/>
      <c r="W696" s="11"/>
    </row>
    <row r="697" spans="2:23" ht="25.5" customHeight="1">
      <c r="B697" s="70">
        <v>686</v>
      </c>
      <c r="C697" s="70" t="s">
        <v>1323</v>
      </c>
      <c r="D697" s="70" t="s">
        <v>1322</v>
      </c>
      <c r="E697" s="140" t="s">
        <v>24</v>
      </c>
      <c r="F697" s="139" t="s">
        <v>20</v>
      </c>
      <c r="G697" s="142" t="s">
        <v>20</v>
      </c>
      <c r="H697" s="142" t="s">
        <v>40</v>
      </c>
      <c r="S697" s="11"/>
      <c r="T697" s="11"/>
      <c r="U697" s="11"/>
      <c r="V697" s="11"/>
      <c r="W697" s="11"/>
    </row>
    <row r="698" spans="2:23" ht="25.5" customHeight="1">
      <c r="B698" s="70">
        <v>687</v>
      </c>
      <c r="C698" s="70" t="s">
        <v>1324</v>
      </c>
      <c r="D698" s="70" t="s">
        <v>1325</v>
      </c>
      <c r="E698" s="140" t="s">
        <v>64</v>
      </c>
      <c r="F698" s="139" t="s">
        <v>85</v>
      </c>
      <c r="G698" s="142" t="s">
        <v>84</v>
      </c>
      <c r="H698" s="142" t="s">
        <v>83</v>
      </c>
      <c r="S698" s="11"/>
      <c r="T698" s="11"/>
      <c r="U698" s="11"/>
      <c r="V698" s="11"/>
      <c r="W698" s="11"/>
    </row>
    <row r="699" spans="2:23" ht="25.5" customHeight="1">
      <c r="B699" s="70">
        <v>688</v>
      </c>
      <c r="C699" s="70" t="s">
        <v>1326</v>
      </c>
      <c r="D699" s="70" t="s">
        <v>1325</v>
      </c>
      <c r="E699" s="140" t="s">
        <v>64</v>
      </c>
      <c r="F699" s="139" t="s">
        <v>85</v>
      </c>
      <c r="G699" s="142" t="s">
        <v>84</v>
      </c>
      <c r="H699" s="142" t="s">
        <v>83</v>
      </c>
      <c r="S699" s="11"/>
      <c r="T699" s="11"/>
      <c r="U699" s="11"/>
      <c r="V699" s="11"/>
      <c r="W699" s="11"/>
    </row>
    <row r="700" spans="2:23" ht="25.5" customHeight="1">
      <c r="B700" s="70">
        <v>689</v>
      </c>
      <c r="C700" s="70" t="s">
        <v>1327</v>
      </c>
      <c r="D700" s="70" t="s">
        <v>1325</v>
      </c>
      <c r="E700" s="140" t="s">
        <v>64</v>
      </c>
      <c r="F700" s="139" t="s">
        <v>85</v>
      </c>
      <c r="G700" s="142" t="s">
        <v>84</v>
      </c>
      <c r="H700" s="142" t="s">
        <v>83</v>
      </c>
      <c r="S700" s="11"/>
      <c r="T700" s="11"/>
      <c r="U700" s="11"/>
      <c r="V700" s="11"/>
      <c r="W700" s="11"/>
    </row>
    <row r="701" spans="2:23" ht="25.5" customHeight="1">
      <c r="B701" s="70">
        <v>690</v>
      </c>
      <c r="C701" s="70" t="s">
        <v>1328</v>
      </c>
      <c r="D701" s="70" t="s">
        <v>2382</v>
      </c>
      <c r="E701" s="140" t="s">
        <v>152</v>
      </c>
      <c r="F701" s="139" t="s">
        <v>2080</v>
      </c>
      <c r="G701" s="141" t="s">
        <v>2080</v>
      </c>
      <c r="H701" s="142" t="s">
        <v>3</v>
      </c>
      <c r="S701" s="11"/>
      <c r="T701" s="11"/>
      <c r="U701" s="11"/>
      <c r="V701" s="11"/>
      <c r="W701" s="11"/>
    </row>
    <row r="702" spans="2:23" ht="25.5" customHeight="1">
      <c r="B702" s="70">
        <v>691</v>
      </c>
      <c r="C702" s="70" t="s">
        <v>1329</v>
      </c>
      <c r="D702" s="70" t="s">
        <v>1330</v>
      </c>
      <c r="E702" s="140" t="s">
        <v>152</v>
      </c>
      <c r="F702" s="139" t="s">
        <v>2080</v>
      </c>
      <c r="G702" s="141" t="s">
        <v>2080</v>
      </c>
      <c r="H702" s="142" t="s">
        <v>3</v>
      </c>
      <c r="S702" s="11"/>
      <c r="T702" s="11"/>
      <c r="U702" s="11"/>
      <c r="V702" s="11"/>
      <c r="W702" s="11"/>
    </row>
    <row r="703" spans="2:23" ht="25.5" customHeight="1">
      <c r="B703" s="70">
        <v>692</v>
      </c>
      <c r="C703" s="70" t="s">
        <v>1331</v>
      </c>
      <c r="D703" s="70" t="s">
        <v>1330</v>
      </c>
      <c r="E703" s="140" t="s">
        <v>152</v>
      </c>
      <c r="F703" s="139" t="s">
        <v>2080</v>
      </c>
      <c r="G703" s="141" t="s">
        <v>2080</v>
      </c>
      <c r="H703" s="142" t="s">
        <v>3</v>
      </c>
      <c r="S703" s="11"/>
      <c r="T703" s="11"/>
      <c r="U703" s="11"/>
      <c r="V703" s="11"/>
      <c r="W703" s="11"/>
    </row>
    <row r="704" spans="2:23" ht="25.5" customHeight="1">
      <c r="B704" s="70">
        <v>693</v>
      </c>
      <c r="C704" s="70" t="s">
        <v>254</v>
      </c>
      <c r="D704" s="70" t="s">
        <v>1318</v>
      </c>
      <c r="E704" s="140" t="s">
        <v>35</v>
      </c>
      <c r="F704" s="139" t="s">
        <v>2138</v>
      </c>
      <c r="G704" s="141" t="s">
        <v>16</v>
      </c>
      <c r="H704" s="142" t="s">
        <v>210</v>
      </c>
      <c r="S704" s="11"/>
      <c r="T704" s="11"/>
      <c r="U704" s="11"/>
      <c r="V704" s="11"/>
      <c r="W704" s="11"/>
    </row>
    <row r="705" spans="2:23" ht="25.5" customHeight="1">
      <c r="B705" s="70">
        <v>694</v>
      </c>
      <c r="C705" s="70" t="s">
        <v>255</v>
      </c>
      <c r="D705" s="70" t="s">
        <v>1315</v>
      </c>
      <c r="E705" s="140" t="s">
        <v>152</v>
      </c>
      <c r="F705" s="139" t="s">
        <v>2162</v>
      </c>
      <c r="G705" s="141" t="s">
        <v>238</v>
      </c>
      <c r="H705" s="142" t="s">
        <v>237</v>
      </c>
      <c r="S705" s="11"/>
      <c r="T705" s="11"/>
      <c r="U705" s="11"/>
      <c r="V705" s="11"/>
      <c r="W705" s="11"/>
    </row>
    <row r="706" spans="2:23" ht="25.5" customHeight="1">
      <c r="B706" s="70">
        <v>695</v>
      </c>
      <c r="C706" s="70" t="s">
        <v>256</v>
      </c>
      <c r="D706" s="70" t="s">
        <v>1322</v>
      </c>
      <c r="E706" s="140" t="s">
        <v>24</v>
      </c>
      <c r="F706" s="139" t="s">
        <v>20</v>
      </c>
      <c r="G706" s="141" t="s">
        <v>20</v>
      </c>
      <c r="H706" s="142" t="s">
        <v>40</v>
      </c>
      <c r="S706" s="11"/>
      <c r="T706" s="11"/>
      <c r="U706" s="11"/>
      <c r="V706" s="11"/>
      <c r="W706" s="11"/>
    </row>
    <row r="707" spans="2:23" ht="25.5" customHeight="1">
      <c r="B707" s="70">
        <v>696</v>
      </c>
      <c r="C707" s="70" t="s">
        <v>257</v>
      </c>
      <c r="D707" s="70" t="s">
        <v>1332</v>
      </c>
      <c r="E707" s="140" t="s">
        <v>64</v>
      </c>
      <c r="F707" s="139" t="s">
        <v>85</v>
      </c>
      <c r="G707" s="141" t="s">
        <v>84</v>
      </c>
      <c r="H707" s="142" t="s">
        <v>83</v>
      </c>
      <c r="S707" s="11"/>
      <c r="T707" s="11"/>
      <c r="U707" s="11"/>
      <c r="V707" s="11"/>
      <c r="W707" s="11"/>
    </row>
    <row r="708" spans="2:23" ht="25.5" customHeight="1">
      <c r="B708" s="70">
        <v>697</v>
      </c>
      <c r="C708" s="70" t="s">
        <v>258</v>
      </c>
      <c r="D708" s="70" t="s">
        <v>1320</v>
      </c>
      <c r="E708" s="140" t="s">
        <v>64</v>
      </c>
      <c r="F708" s="139" t="s">
        <v>2092</v>
      </c>
      <c r="G708" s="141" t="s">
        <v>111</v>
      </c>
      <c r="H708" s="142" t="s">
        <v>110</v>
      </c>
      <c r="S708" s="11"/>
      <c r="T708" s="11"/>
      <c r="U708" s="11"/>
      <c r="V708" s="11"/>
      <c r="W708" s="11"/>
    </row>
    <row r="709" spans="2:23" ht="25.5" customHeight="1">
      <c r="B709" s="70">
        <v>698</v>
      </c>
      <c r="C709" s="70" t="s">
        <v>259</v>
      </c>
      <c r="D709" s="70" t="s">
        <v>1333</v>
      </c>
      <c r="E709" s="140" t="s">
        <v>64</v>
      </c>
      <c r="F709" s="139" t="s">
        <v>2092</v>
      </c>
      <c r="G709" s="141" t="s">
        <v>111</v>
      </c>
      <c r="H709" s="142" t="s">
        <v>110</v>
      </c>
      <c r="S709" s="11"/>
      <c r="T709" s="11"/>
      <c r="U709" s="11"/>
      <c r="V709" s="11"/>
      <c r="W709" s="11"/>
    </row>
    <row r="710" spans="2:23" ht="25.5" customHeight="1">
      <c r="B710" s="70">
        <v>699</v>
      </c>
      <c r="C710" s="70" t="s">
        <v>1334</v>
      </c>
      <c r="D710" s="70" t="s">
        <v>1335</v>
      </c>
      <c r="E710" s="140" t="s">
        <v>152</v>
      </c>
      <c r="F710" s="139" t="s">
        <v>2080</v>
      </c>
      <c r="G710" s="141" t="s">
        <v>2080</v>
      </c>
      <c r="H710" s="142" t="s">
        <v>3</v>
      </c>
      <c r="S710" s="11"/>
      <c r="T710" s="11"/>
      <c r="U710" s="11"/>
      <c r="V710" s="11"/>
      <c r="W710" s="11"/>
    </row>
    <row r="711" spans="2:23" ht="25.5" customHeight="1">
      <c r="B711" s="70">
        <v>700</v>
      </c>
      <c r="C711" s="70" t="s">
        <v>1336</v>
      </c>
      <c r="D711" s="70" t="s">
        <v>1337</v>
      </c>
      <c r="E711" s="140" t="s">
        <v>152</v>
      </c>
      <c r="F711" s="139" t="s">
        <v>2080</v>
      </c>
      <c r="G711" s="141" t="s">
        <v>2080</v>
      </c>
      <c r="H711" s="142" t="s">
        <v>3</v>
      </c>
      <c r="S711" s="11"/>
      <c r="T711" s="11"/>
      <c r="U711" s="11"/>
      <c r="V711" s="11"/>
      <c r="W711" s="11"/>
    </row>
    <row r="712" spans="2:23" ht="25.5" customHeight="1">
      <c r="B712" s="70">
        <v>701</v>
      </c>
      <c r="C712" s="70" t="s">
        <v>1338</v>
      </c>
      <c r="D712" s="70" t="s">
        <v>2383</v>
      </c>
      <c r="E712" s="140" t="s">
        <v>152</v>
      </c>
      <c r="F712" s="139" t="s">
        <v>2080</v>
      </c>
      <c r="G712" s="141" t="s">
        <v>2080</v>
      </c>
      <c r="H712" s="142" t="s">
        <v>3</v>
      </c>
      <c r="S712" s="11"/>
      <c r="T712" s="11"/>
      <c r="U712" s="11"/>
      <c r="V712" s="11"/>
      <c r="W712" s="11"/>
    </row>
    <row r="713" spans="2:23" ht="25.5" customHeight="1">
      <c r="B713" s="70">
        <v>702</v>
      </c>
      <c r="C713" s="70" t="s">
        <v>1339</v>
      </c>
      <c r="D713" s="70" t="s">
        <v>2384</v>
      </c>
      <c r="E713" s="140" t="s">
        <v>152</v>
      </c>
      <c r="F713" s="139" t="s">
        <v>2080</v>
      </c>
      <c r="G713" s="141" t="s">
        <v>2080</v>
      </c>
      <c r="H713" s="142" t="s">
        <v>3</v>
      </c>
      <c r="S713" s="11"/>
      <c r="T713" s="11"/>
      <c r="U713" s="11"/>
      <c r="V713" s="11"/>
      <c r="W713" s="11"/>
    </row>
    <row r="714" spans="2:23" ht="25.5" customHeight="1">
      <c r="B714" s="70">
        <v>703</v>
      </c>
      <c r="C714" s="70" t="s">
        <v>1340</v>
      </c>
      <c r="D714" s="70" t="s">
        <v>1341</v>
      </c>
      <c r="E714" s="140" t="s">
        <v>35</v>
      </c>
      <c r="F714" s="139" t="s">
        <v>2138</v>
      </c>
      <c r="G714" s="141" t="s">
        <v>16</v>
      </c>
      <c r="H714" s="142" t="s">
        <v>210</v>
      </c>
      <c r="S714" s="11"/>
      <c r="T714" s="11"/>
      <c r="U714" s="11"/>
      <c r="V714" s="11"/>
      <c r="W714" s="11"/>
    </row>
    <row r="715" spans="2:23" ht="25.5" customHeight="1">
      <c r="B715" s="70">
        <v>704</v>
      </c>
      <c r="C715" s="70" t="s">
        <v>1342</v>
      </c>
      <c r="D715" s="70" t="s">
        <v>1343</v>
      </c>
      <c r="E715" s="140" t="s">
        <v>152</v>
      </c>
      <c r="F715" s="139" t="s">
        <v>2162</v>
      </c>
      <c r="G715" s="141" t="s">
        <v>238</v>
      </c>
      <c r="H715" s="142" t="s">
        <v>237</v>
      </c>
      <c r="S715" s="11"/>
      <c r="T715" s="11"/>
      <c r="U715" s="11"/>
      <c r="V715" s="11"/>
      <c r="W715" s="11"/>
    </row>
    <row r="716" spans="2:23" ht="25.5" customHeight="1">
      <c r="B716" s="70">
        <v>705</v>
      </c>
      <c r="C716" s="70" t="s">
        <v>1344</v>
      </c>
      <c r="D716" s="70" t="s">
        <v>1345</v>
      </c>
      <c r="E716" s="140" t="s">
        <v>24</v>
      </c>
      <c r="F716" s="139" t="s">
        <v>20</v>
      </c>
      <c r="G716" s="141" t="s">
        <v>20</v>
      </c>
      <c r="H716" s="142" t="s">
        <v>40</v>
      </c>
      <c r="S716" s="11"/>
      <c r="T716" s="11"/>
      <c r="U716" s="11"/>
      <c r="V716" s="11"/>
      <c r="W716" s="11"/>
    </row>
    <row r="717" spans="2:23" ht="25.5" customHeight="1">
      <c r="B717" s="70">
        <v>706</v>
      </c>
      <c r="C717" s="70" t="s">
        <v>1346</v>
      </c>
      <c r="D717" s="70" t="s">
        <v>1347</v>
      </c>
      <c r="E717" s="140" t="s">
        <v>64</v>
      </c>
      <c r="F717" s="139" t="s">
        <v>85</v>
      </c>
      <c r="G717" s="141" t="s">
        <v>84</v>
      </c>
      <c r="H717" s="142" t="s">
        <v>83</v>
      </c>
      <c r="S717" s="11"/>
      <c r="T717" s="11"/>
      <c r="U717" s="11"/>
      <c r="V717" s="11"/>
      <c r="W717" s="11"/>
    </row>
    <row r="718" spans="2:23" ht="25.5" customHeight="1">
      <c r="B718" s="70">
        <v>707</v>
      </c>
      <c r="C718" s="70" t="s">
        <v>1348</v>
      </c>
      <c r="D718" s="70" t="s">
        <v>1349</v>
      </c>
      <c r="E718" s="140" t="s">
        <v>64</v>
      </c>
      <c r="F718" s="139" t="s">
        <v>2092</v>
      </c>
      <c r="G718" s="141" t="s">
        <v>111</v>
      </c>
      <c r="H718" s="142" t="s">
        <v>110</v>
      </c>
      <c r="S718" s="11"/>
      <c r="T718" s="11"/>
      <c r="U718" s="11"/>
      <c r="V718" s="11"/>
      <c r="W718" s="11"/>
    </row>
    <row r="719" spans="2:23" ht="25.5" customHeight="1">
      <c r="B719" s="70">
        <v>708</v>
      </c>
      <c r="C719" s="70" t="s">
        <v>1350</v>
      </c>
      <c r="D719" s="70" t="s">
        <v>1351</v>
      </c>
      <c r="E719" s="140" t="s">
        <v>64</v>
      </c>
      <c r="F719" s="139" t="s">
        <v>2092</v>
      </c>
      <c r="G719" s="141" t="s">
        <v>111</v>
      </c>
      <c r="H719" s="142" t="s">
        <v>110</v>
      </c>
      <c r="S719" s="11"/>
      <c r="T719" s="11"/>
      <c r="U719" s="11"/>
      <c r="V719" s="11"/>
      <c r="W719" s="11"/>
    </row>
    <row r="720" spans="2:23" ht="25.5" customHeight="1">
      <c r="B720" s="70">
        <v>709</v>
      </c>
      <c r="C720" s="70" t="s">
        <v>1352</v>
      </c>
      <c r="D720" s="70" t="s">
        <v>1353</v>
      </c>
      <c r="E720" s="140" t="s">
        <v>152</v>
      </c>
      <c r="F720" s="139" t="s">
        <v>2080</v>
      </c>
      <c r="G720" s="141" t="s">
        <v>2080</v>
      </c>
      <c r="H720" s="142" t="s">
        <v>3</v>
      </c>
      <c r="S720" s="11"/>
      <c r="T720" s="11"/>
      <c r="U720" s="11"/>
      <c r="V720" s="11"/>
      <c r="W720" s="11"/>
    </row>
    <row r="721" spans="2:23" ht="25.5" customHeight="1">
      <c r="B721" s="70">
        <v>710</v>
      </c>
      <c r="C721" s="70" t="s">
        <v>1354</v>
      </c>
      <c r="D721" s="70" t="s">
        <v>1355</v>
      </c>
      <c r="E721" s="140" t="s">
        <v>152</v>
      </c>
      <c r="F721" s="139" t="s">
        <v>2080</v>
      </c>
      <c r="G721" s="141" t="s">
        <v>2080</v>
      </c>
      <c r="H721" s="142" t="s">
        <v>3</v>
      </c>
      <c r="S721" s="11"/>
      <c r="T721" s="11"/>
      <c r="U721" s="11"/>
      <c r="V721" s="11"/>
      <c r="W721" s="11"/>
    </row>
    <row r="722" spans="2:23" ht="25.5" customHeight="1">
      <c r="B722" s="70">
        <v>736</v>
      </c>
      <c r="C722" s="70" t="s">
        <v>1204</v>
      </c>
      <c r="D722" s="70" t="s">
        <v>1205</v>
      </c>
      <c r="E722" s="140" t="s">
        <v>64</v>
      </c>
      <c r="F722" s="139" t="s">
        <v>2186</v>
      </c>
      <c r="G722" s="141" t="s">
        <v>171</v>
      </c>
      <c r="H722" s="142" t="s">
        <v>170</v>
      </c>
      <c r="S722" s="11"/>
      <c r="T722" s="11"/>
      <c r="U722" s="11"/>
      <c r="V722" s="11"/>
      <c r="W722" s="11"/>
    </row>
    <row r="723" spans="2:23" ht="25.5" customHeight="1">
      <c r="B723" s="70">
        <v>737</v>
      </c>
      <c r="C723" s="70" t="s">
        <v>1206</v>
      </c>
      <c r="D723" s="70" t="s">
        <v>1207</v>
      </c>
      <c r="E723" s="140" t="s">
        <v>64</v>
      </c>
      <c r="F723" s="139" t="s">
        <v>2186</v>
      </c>
      <c r="G723" s="141" t="s">
        <v>171</v>
      </c>
      <c r="H723" s="142" t="s">
        <v>170</v>
      </c>
      <c r="S723" s="11"/>
      <c r="T723" s="11"/>
      <c r="U723" s="11"/>
      <c r="V723" s="11"/>
      <c r="W723" s="11"/>
    </row>
    <row r="724" spans="2:23" ht="25.5" customHeight="1">
      <c r="B724" s="70">
        <v>738</v>
      </c>
      <c r="C724" s="70" t="s">
        <v>1208</v>
      </c>
      <c r="D724" s="70" t="s">
        <v>1209</v>
      </c>
      <c r="E724" s="140" t="s">
        <v>64</v>
      </c>
      <c r="F724" s="139" t="s">
        <v>2186</v>
      </c>
      <c r="G724" s="141" t="s">
        <v>171</v>
      </c>
      <c r="H724" s="142" t="s">
        <v>170</v>
      </c>
      <c r="S724" s="11"/>
      <c r="T724" s="11"/>
      <c r="U724" s="11"/>
      <c r="V724" s="11"/>
      <c r="W724" s="11"/>
    </row>
    <row r="725" spans="2:23" ht="25.5" customHeight="1">
      <c r="B725" s="70">
        <v>739</v>
      </c>
      <c r="C725" s="70" t="s">
        <v>1210</v>
      </c>
      <c r="D725" s="70" t="s">
        <v>1211</v>
      </c>
      <c r="E725" s="140" t="s">
        <v>64</v>
      </c>
      <c r="F725" s="139" t="s">
        <v>2186</v>
      </c>
      <c r="G725" s="141" t="s">
        <v>171</v>
      </c>
      <c r="H725" s="142" t="s">
        <v>170</v>
      </c>
      <c r="S725" s="11"/>
      <c r="T725" s="11"/>
      <c r="U725" s="11"/>
      <c r="V725" s="11"/>
      <c r="W725" s="11"/>
    </row>
    <row r="726" spans="2:23" ht="25.5" customHeight="1">
      <c r="B726" s="70">
        <v>740</v>
      </c>
      <c r="C726" s="70" t="s">
        <v>1212</v>
      </c>
      <c r="D726" s="70" t="s">
        <v>1213</v>
      </c>
      <c r="E726" s="140" t="s">
        <v>64</v>
      </c>
      <c r="F726" s="139" t="s">
        <v>2186</v>
      </c>
      <c r="G726" s="141" t="s">
        <v>171</v>
      </c>
      <c r="H726" s="142" t="s">
        <v>170</v>
      </c>
      <c r="S726" s="11"/>
      <c r="T726" s="11"/>
      <c r="U726" s="11"/>
      <c r="V726" s="11"/>
      <c r="W726" s="11"/>
    </row>
    <row r="727" spans="2:23" ht="25.5" customHeight="1">
      <c r="B727" s="70">
        <v>741</v>
      </c>
      <c r="C727" s="70" t="s">
        <v>1214</v>
      </c>
      <c r="D727" s="70" t="s">
        <v>1215</v>
      </c>
      <c r="E727" s="140" t="s">
        <v>64</v>
      </c>
      <c r="F727" s="139" t="s">
        <v>2186</v>
      </c>
      <c r="G727" s="141" t="s">
        <v>171</v>
      </c>
      <c r="H727" s="142" t="s">
        <v>170</v>
      </c>
      <c r="S727" s="11"/>
      <c r="T727" s="11"/>
      <c r="U727" s="11"/>
      <c r="V727" s="11"/>
      <c r="W727" s="11"/>
    </row>
    <row r="728" spans="2:23" ht="25.5" customHeight="1">
      <c r="B728" s="70">
        <v>742</v>
      </c>
      <c r="C728" s="70" t="s">
        <v>1216</v>
      </c>
      <c r="D728" s="70" t="s">
        <v>1217</v>
      </c>
      <c r="E728" s="140" t="s">
        <v>64</v>
      </c>
      <c r="F728" s="139" t="s">
        <v>2186</v>
      </c>
      <c r="G728" s="141" t="s">
        <v>174</v>
      </c>
      <c r="H728" s="142" t="s">
        <v>173</v>
      </c>
      <c r="S728" s="11"/>
      <c r="T728" s="11"/>
      <c r="U728" s="11"/>
      <c r="V728" s="11"/>
      <c r="W728" s="11"/>
    </row>
    <row r="729" spans="2:23" ht="25.5" customHeight="1">
      <c r="B729" s="70">
        <v>743</v>
      </c>
      <c r="C729" s="70" t="s">
        <v>1218</v>
      </c>
      <c r="D729" s="70" t="s">
        <v>1219</v>
      </c>
      <c r="E729" s="140" t="s">
        <v>64</v>
      </c>
      <c r="F729" s="139" t="s">
        <v>2186</v>
      </c>
      <c r="G729" s="141" t="s">
        <v>174</v>
      </c>
      <c r="H729" s="142" t="s">
        <v>173</v>
      </c>
      <c r="S729" s="11"/>
      <c r="T729" s="11"/>
      <c r="U729" s="11"/>
      <c r="V729" s="11"/>
      <c r="W729" s="11"/>
    </row>
    <row r="730" spans="2:23" ht="25.5" customHeight="1">
      <c r="B730" s="70">
        <v>744</v>
      </c>
      <c r="C730" s="70" t="s">
        <v>1220</v>
      </c>
      <c r="D730" s="70" t="s">
        <v>1221</v>
      </c>
      <c r="E730" s="140" t="s">
        <v>64</v>
      </c>
      <c r="F730" s="139" t="s">
        <v>2186</v>
      </c>
      <c r="G730" s="141" t="s">
        <v>174</v>
      </c>
      <c r="H730" s="142" t="s">
        <v>173</v>
      </c>
      <c r="S730" s="11"/>
      <c r="T730" s="11"/>
      <c r="U730" s="11"/>
      <c r="V730" s="11"/>
      <c r="W730" s="11"/>
    </row>
    <row r="731" spans="2:23" ht="25.5" customHeight="1">
      <c r="B731" s="70">
        <v>745</v>
      </c>
      <c r="C731" s="70" t="s">
        <v>1222</v>
      </c>
      <c r="D731" s="70" t="s">
        <v>1223</v>
      </c>
      <c r="E731" s="140" t="s">
        <v>64</v>
      </c>
      <c r="F731" s="139" t="s">
        <v>2186</v>
      </c>
      <c r="G731" s="141" t="s">
        <v>174</v>
      </c>
      <c r="H731" s="142" t="s">
        <v>173</v>
      </c>
      <c r="S731" s="11"/>
      <c r="T731" s="11"/>
      <c r="U731" s="11"/>
      <c r="V731" s="11"/>
      <c r="W731" s="11"/>
    </row>
    <row r="732" spans="2:23" ht="25.5" customHeight="1">
      <c r="B732" s="70">
        <v>746</v>
      </c>
      <c r="C732" s="70" t="s">
        <v>1224</v>
      </c>
      <c r="D732" s="70" t="s">
        <v>1225</v>
      </c>
      <c r="E732" s="140" t="s">
        <v>64</v>
      </c>
      <c r="F732" s="139" t="s">
        <v>2186</v>
      </c>
      <c r="G732" s="141" t="s">
        <v>174</v>
      </c>
      <c r="H732" s="142" t="s">
        <v>173</v>
      </c>
      <c r="S732" s="11"/>
      <c r="T732" s="11"/>
      <c r="U732" s="11"/>
      <c r="V732" s="11"/>
      <c r="W732" s="11"/>
    </row>
    <row r="733" spans="2:23" ht="25.5" customHeight="1">
      <c r="B733" s="70">
        <v>747</v>
      </c>
      <c r="C733" s="70" t="s">
        <v>1226</v>
      </c>
      <c r="D733" s="70" t="s">
        <v>1227</v>
      </c>
      <c r="E733" s="140" t="s">
        <v>64</v>
      </c>
      <c r="F733" s="139" t="s">
        <v>2186</v>
      </c>
      <c r="G733" s="141" t="s">
        <v>174</v>
      </c>
      <c r="H733" s="142" t="s">
        <v>173</v>
      </c>
      <c r="S733" s="11"/>
      <c r="T733" s="11"/>
      <c r="U733" s="11"/>
      <c r="V733" s="11"/>
      <c r="W733" s="11"/>
    </row>
    <row r="734" spans="2:23" ht="25.5" customHeight="1">
      <c r="B734" s="70">
        <v>748</v>
      </c>
      <c r="C734" s="70" t="s">
        <v>1228</v>
      </c>
      <c r="D734" s="70" t="s">
        <v>1229</v>
      </c>
      <c r="E734" s="140" t="s">
        <v>64</v>
      </c>
      <c r="F734" s="139" t="s">
        <v>2186</v>
      </c>
      <c r="G734" s="141" t="s">
        <v>176</v>
      </c>
      <c r="H734" s="142" t="s">
        <v>175</v>
      </c>
      <c r="S734" s="11"/>
      <c r="T734" s="11"/>
      <c r="U734" s="11"/>
      <c r="V734" s="11"/>
      <c r="W734" s="11"/>
    </row>
    <row r="735" spans="2:23" ht="25.5" customHeight="1">
      <c r="B735" s="70">
        <v>749</v>
      </c>
      <c r="C735" s="70" t="s">
        <v>1230</v>
      </c>
      <c r="D735" s="70" t="s">
        <v>1231</v>
      </c>
      <c r="E735" s="140" t="s">
        <v>64</v>
      </c>
      <c r="F735" s="139" t="s">
        <v>2186</v>
      </c>
      <c r="G735" s="141" t="s">
        <v>176</v>
      </c>
      <c r="H735" s="142" t="s">
        <v>175</v>
      </c>
      <c r="S735" s="11"/>
      <c r="T735" s="11"/>
      <c r="U735" s="11"/>
      <c r="V735" s="11"/>
      <c r="W735" s="11"/>
    </row>
    <row r="736" spans="2:23" ht="25.5" customHeight="1">
      <c r="B736" s="70">
        <v>750</v>
      </c>
      <c r="C736" s="70" t="s">
        <v>1232</v>
      </c>
      <c r="D736" s="70" t="s">
        <v>2385</v>
      </c>
      <c r="E736" s="140" t="s">
        <v>64</v>
      </c>
      <c r="F736" s="139" t="s">
        <v>2186</v>
      </c>
      <c r="G736" s="141" t="s">
        <v>171</v>
      </c>
      <c r="H736" s="142" t="s">
        <v>170</v>
      </c>
      <c r="S736" s="11"/>
      <c r="T736" s="11"/>
      <c r="U736" s="11"/>
      <c r="V736" s="11"/>
      <c r="W736" s="11"/>
    </row>
    <row r="737" spans="2:23" ht="25.5" customHeight="1">
      <c r="B737" s="70">
        <v>751</v>
      </c>
      <c r="C737" s="70" t="s">
        <v>1233</v>
      </c>
      <c r="D737" s="70" t="s">
        <v>2386</v>
      </c>
      <c r="E737" s="140" t="s">
        <v>64</v>
      </c>
      <c r="F737" s="139" t="s">
        <v>2186</v>
      </c>
      <c r="G737" s="141" t="s">
        <v>171</v>
      </c>
      <c r="H737" s="142" t="s">
        <v>170</v>
      </c>
      <c r="S737" s="11"/>
      <c r="T737" s="11"/>
      <c r="U737" s="11"/>
      <c r="V737" s="11"/>
      <c r="W737" s="11"/>
    </row>
    <row r="738" spans="2:23" ht="25.5" customHeight="1">
      <c r="B738" s="70">
        <v>752</v>
      </c>
      <c r="C738" s="70" t="s">
        <v>1234</v>
      </c>
      <c r="D738" s="70" t="s">
        <v>2387</v>
      </c>
      <c r="E738" s="140" t="s">
        <v>64</v>
      </c>
      <c r="F738" s="139" t="s">
        <v>2186</v>
      </c>
      <c r="G738" s="141" t="s">
        <v>171</v>
      </c>
      <c r="H738" s="142" t="s">
        <v>170</v>
      </c>
      <c r="S738" s="11"/>
      <c r="T738" s="11"/>
      <c r="U738" s="11"/>
      <c r="V738" s="11"/>
      <c r="W738" s="11"/>
    </row>
    <row r="739" spans="2:23" ht="25.5" customHeight="1">
      <c r="B739" s="70">
        <v>753</v>
      </c>
      <c r="C739" s="70" t="s">
        <v>1235</v>
      </c>
      <c r="D739" s="70" t="s">
        <v>2388</v>
      </c>
      <c r="E739" s="140" t="s">
        <v>64</v>
      </c>
      <c r="F739" s="139" t="s">
        <v>2186</v>
      </c>
      <c r="G739" s="141" t="s">
        <v>171</v>
      </c>
      <c r="H739" s="142" t="s">
        <v>170</v>
      </c>
      <c r="S739" s="11"/>
      <c r="T739" s="11"/>
      <c r="U739" s="11"/>
      <c r="V739" s="11"/>
      <c r="W739" s="11"/>
    </row>
    <row r="740" spans="2:23" ht="25.5" customHeight="1">
      <c r="B740" s="70">
        <v>754</v>
      </c>
      <c r="C740" s="70" t="s">
        <v>1236</v>
      </c>
      <c r="D740" s="70" t="s">
        <v>2385</v>
      </c>
      <c r="E740" s="140" t="s">
        <v>64</v>
      </c>
      <c r="F740" s="139" t="s">
        <v>2186</v>
      </c>
      <c r="G740" s="141" t="s">
        <v>171</v>
      </c>
      <c r="H740" s="142" t="s">
        <v>170</v>
      </c>
      <c r="S740" s="11"/>
      <c r="T740" s="11"/>
      <c r="U740" s="11"/>
      <c r="V740" s="11"/>
      <c r="W740" s="11"/>
    </row>
    <row r="741" spans="2:23" ht="25.5" customHeight="1">
      <c r="B741" s="70">
        <v>755</v>
      </c>
      <c r="C741" s="70" t="s">
        <v>1237</v>
      </c>
      <c r="D741" s="70" t="s">
        <v>2386</v>
      </c>
      <c r="E741" s="140" t="s">
        <v>64</v>
      </c>
      <c r="F741" s="139" t="s">
        <v>2186</v>
      </c>
      <c r="G741" s="141" t="s">
        <v>171</v>
      </c>
      <c r="H741" s="142" t="s">
        <v>170</v>
      </c>
      <c r="S741" s="11"/>
      <c r="T741" s="11"/>
      <c r="U741" s="11"/>
      <c r="V741" s="11"/>
      <c r="W741" s="11"/>
    </row>
    <row r="742" spans="2:23" ht="25.5" customHeight="1">
      <c r="B742" s="70">
        <v>756</v>
      </c>
      <c r="C742" s="70" t="s">
        <v>1238</v>
      </c>
      <c r="D742" s="70" t="s">
        <v>2387</v>
      </c>
      <c r="E742" s="140" t="s">
        <v>64</v>
      </c>
      <c r="F742" s="139" t="s">
        <v>2186</v>
      </c>
      <c r="G742" s="141" t="s">
        <v>171</v>
      </c>
      <c r="H742" s="142" t="s">
        <v>170</v>
      </c>
      <c r="S742" s="11"/>
      <c r="T742" s="11"/>
      <c r="U742" s="11"/>
      <c r="V742" s="11"/>
      <c r="W742" s="11"/>
    </row>
    <row r="743" spans="2:23" ht="25.5" customHeight="1">
      <c r="B743" s="70">
        <v>757</v>
      </c>
      <c r="C743" s="70" t="s">
        <v>1239</v>
      </c>
      <c r="D743" s="70" t="s">
        <v>2385</v>
      </c>
      <c r="E743" s="140" t="s">
        <v>64</v>
      </c>
      <c r="F743" s="139" t="s">
        <v>2186</v>
      </c>
      <c r="G743" s="141" t="s">
        <v>174</v>
      </c>
      <c r="H743" s="142" t="s">
        <v>173</v>
      </c>
      <c r="S743" s="11"/>
      <c r="T743" s="11"/>
      <c r="U743" s="11"/>
      <c r="V743" s="11"/>
      <c r="W743" s="11"/>
    </row>
    <row r="744" spans="2:23" ht="25.5" customHeight="1">
      <c r="B744" s="70">
        <v>758</v>
      </c>
      <c r="C744" s="70" t="s">
        <v>1240</v>
      </c>
      <c r="D744" s="70" t="s">
        <v>2386</v>
      </c>
      <c r="E744" s="140" t="s">
        <v>64</v>
      </c>
      <c r="F744" s="139" t="s">
        <v>2186</v>
      </c>
      <c r="G744" s="141" t="s">
        <v>174</v>
      </c>
      <c r="H744" s="142" t="s">
        <v>173</v>
      </c>
      <c r="S744" s="11"/>
      <c r="T744" s="11"/>
      <c r="U744" s="11"/>
      <c r="V744" s="11"/>
      <c r="W744" s="11"/>
    </row>
    <row r="745" spans="2:23" ht="25.5" customHeight="1">
      <c r="B745" s="70">
        <v>759</v>
      </c>
      <c r="C745" s="70" t="s">
        <v>1241</v>
      </c>
      <c r="D745" s="70" t="s">
        <v>2387</v>
      </c>
      <c r="E745" s="140" t="s">
        <v>64</v>
      </c>
      <c r="F745" s="139" t="s">
        <v>2186</v>
      </c>
      <c r="G745" s="141" t="s">
        <v>174</v>
      </c>
      <c r="H745" s="142" t="s">
        <v>173</v>
      </c>
      <c r="S745" s="11"/>
      <c r="T745" s="11"/>
      <c r="U745" s="11"/>
      <c r="V745" s="11"/>
      <c r="W745" s="11"/>
    </row>
    <row r="746" spans="2:23" ht="25.5" customHeight="1">
      <c r="B746" s="70">
        <v>760</v>
      </c>
      <c r="C746" s="70" t="s">
        <v>1242</v>
      </c>
      <c r="D746" s="70" t="s">
        <v>2388</v>
      </c>
      <c r="E746" s="140" t="s">
        <v>64</v>
      </c>
      <c r="F746" s="139" t="s">
        <v>2186</v>
      </c>
      <c r="G746" s="141" t="s">
        <v>174</v>
      </c>
      <c r="H746" s="142" t="s">
        <v>173</v>
      </c>
      <c r="S746" s="11"/>
      <c r="T746" s="11"/>
      <c r="U746" s="11"/>
      <c r="V746" s="11"/>
      <c r="W746" s="11"/>
    </row>
    <row r="747" spans="2:23" ht="25.5" customHeight="1">
      <c r="B747" s="70">
        <v>761</v>
      </c>
      <c r="C747" s="70" t="s">
        <v>1243</v>
      </c>
      <c r="D747" s="70" t="s">
        <v>2385</v>
      </c>
      <c r="E747" s="140" t="s">
        <v>64</v>
      </c>
      <c r="F747" s="139" t="s">
        <v>2186</v>
      </c>
      <c r="G747" s="141" t="s">
        <v>174</v>
      </c>
      <c r="H747" s="142" t="s">
        <v>173</v>
      </c>
      <c r="S747" s="11"/>
      <c r="T747" s="11"/>
      <c r="U747" s="11"/>
      <c r="V747" s="11"/>
      <c r="W747" s="11"/>
    </row>
    <row r="748" spans="2:23" ht="25.5" customHeight="1">
      <c r="B748" s="70">
        <v>762</v>
      </c>
      <c r="C748" s="70" t="s">
        <v>1244</v>
      </c>
      <c r="D748" s="70" t="s">
        <v>2386</v>
      </c>
      <c r="E748" s="140" t="s">
        <v>64</v>
      </c>
      <c r="F748" s="139" t="s">
        <v>2186</v>
      </c>
      <c r="G748" s="141" t="s">
        <v>174</v>
      </c>
      <c r="H748" s="142" t="s">
        <v>173</v>
      </c>
      <c r="S748" s="11"/>
      <c r="T748" s="11"/>
      <c r="U748" s="11"/>
      <c r="V748" s="11"/>
      <c r="W748" s="11"/>
    </row>
    <row r="749" spans="2:23" ht="25.5" customHeight="1">
      <c r="B749" s="70">
        <v>763</v>
      </c>
      <c r="C749" s="70" t="s">
        <v>1245</v>
      </c>
      <c r="D749" s="70" t="s">
        <v>2387</v>
      </c>
      <c r="E749" s="140" t="s">
        <v>64</v>
      </c>
      <c r="F749" s="139" t="s">
        <v>2186</v>
      </c>
      <c r="G749" s="141" t="s">
        <v>174</v>
      </c>
      <c r="H749" s="142" t="s">
        <v>173</v>
      </c>
      <c r="S749" s="11"/>
      <c r="T749" s="11"/>
      <c r="U749" s="11"/>
      <c r="V749" s="11"/>
      <c r="W749" s="11"/>
    </row>
    <row r="750" spans="2:23" ht="25.5" customHeight="1">
      <c r="B750" s="70">
        <v>764</v>
      </c>
      <c r="C750" s="70" t="s">
        <v>1246</v>
      </c>
      <c r="D750" s="70" t="s">
        <v>2389</v>
      </c>
      <c r="E750" s="140" t="s">
        <v>64</v>
      </c>
      <c r="F750" s="139" t="s">
        <v>2186</v>
      </c>
      <c r="G750" s="141" t="s">
        <v>171</v>
      </c>
      <c r="H750" s="142" t="s">
        <v>170</v>
      </c>
      <c r="S750" s="11"/>
      <c r="T750" s="11"/>
      <c r="U750" s="11"/>
      <c r="V750" s="11"/>
      <c r="W750" s="11"/>
    </row>
    <row r="751" spans="2:23" ht="25.5" customHeight="1">
      <c r="B751" s="70">
        <v>765</v>
      </c>
      <c r="C751" s="70" t="s">
        <v>1247</v>
      </c>
      <c r="D751" s="70" t="s">
        <v>2389</v>
      </c>
      <c r="E751" s="140" t="s">
        <v>64</v>
      </c>
      <c r="F751" s="139" t="s">
        <v>2186</v>
      </c>
      <c r="G751" s="141" t="s">
        <v>171</v>
      </c>
      <c r="H751" s="142" t="s">
        <v>170</v>
      </c>
      <c r="S751" s="11"/>
      <c r="T751" s="11"/>
      <c r="U751" s="11"/>
      <c r="V751" s="11"/>
      <c r="W751" s="11"/>
    </row>
    <row r="752" spans="2:23" ht="25.5" customHeight="1">
      <c r="B752" s="70">
        <v>766</v>
      </c>
      <c r="C752" s="70" t="s">
        <v>1248</v>
      </c>
      <c r="D752" s="70" t="s">
        <v>2390</v>
      </c>
      <c r="E752" s="140" t="s">
        <v>64</v>
      </c>
      <c r="F752" s="139" t="s">
        <v>2186</v>
      </c>
      <c r="G752" s="141" t="s">
        <v>171</v>
      </c>
      <c r="H752" s="142" t="s">
        <v>170</v>
      </c>
      <c r="S752" s="11"/>
      <c r="T752" s="11"/>
      <c r="U752" s="11"/>
      <c r="V752" s="11"/>
      <c r="W752" s="11"/>
    </row>
    <row r="753" spans="2:23" ht="25.5" customHeight="1">
      <c r="B753" s="70">
        <v>767</v>
      </c>
      <c r="C753" s="70" t="s">
        <v>1249</v>
      </c>
      <c r="D753" s="70" t="s">
        <v>2391</v>
      </c>
      <c r="E753" s="140" t="s">
        <v>64</v>
      </c>
      <c r="F753" s="139" t="s">
        <v>2186</v>
      </c>
      <c r="G753" s="141" t="s">
        <v>174</v>
      </c>
      <c r="H753" s="142" t="s">
        <v>173</v>
      </c>
      <c r="S753" s="11"/>
      <c r="T753" s="11"/>
      <c r="U753" s="11"/>
      <c r="V753" s="11"/>
      <c r="W753" s="11"/>
    </row>
    <row r="754" spans="2:23" ht="25.5" customHeight="1">
      <c r="B754" s="70">
        <v>768</v>
      </c>
      <c r="C754" s="70" t="s">
        <v>1250</v>
      </c>
      <c r="D754" s="70" t="s">
        <v>2391</v>
      </c>
      <c r="E754" s="140" t="s">
        <v>64</v>
      </c>
      <c r="F754" s="139" t="s">
        <v>2186</v>
      </c>
      <c r="G754" s="141" t="s">
        <v>174</v>
      </c>
      <c r="H754" s="142" t="s">
        <v>173</v>
      </c>
      <c r="S754" s="11"/>
      <c r="T754" s="11"/>
      <c r="U754" s="11"/>
      <c r="V754" s="11"/>
      <c r="W754" s="11"/>
    </row>
    <row r="755" spans="2:23" ht="25.5" customHeight="1">
      <c r="B755" s="70">
        <v>769</v>
      </c>
      <c r="C755" s="70" t="s">
        <v>1251</v>
      </c>
      <c r="D755" s="70" t="s">
        <v>2390</v>
      </c>
      <c r="E755" s="140" t="s">
        <v>64</v>
      </c>
      <c r="F755" s="139" t="s">
        <v>2186</v>
      </c>
      <c r="G755" s="141" t="s">
        <v>174</v>
      </c>
      <c r="H755" s="142" t="s">
        <v>173</v>
      </c>
      <c r="S755" s="11"/>
      <c r="T755" s="11"/>
      <c r="U755" s="11"/>
      <c r="V755" s="11"/>
      <c r="W755" s="11"/>
    </row>
    <row r="756" spans="2:23" ht="25.5" customHeight="1">
      <c r="B756" s="70">
        <v>770</v>
      </c>
      <c r="C756" s="70" t="s">
        <v>1252</v>
      </c>
      <c r="D756" s="70" t="s">
        <v>1253</v>
      </c>
      <c r="E756" s="140" t="s">
        <v>64</v>
      </c>
      <c r="F756" s="139" t="s">
        <v>2186</v>
      </c>
      <c r="G756" s="141" t="s">
        <v>171</v>
      </c>
      <c r="H756" s="142" t="s">
        <v>170</v>
      </c>
      <c r="S756" s="11"/>
      <c r="T756" s="11"/>
      <c r="U756" s="11"/>
      <c r="V756" s="11"/>
      <c r="W756" s="11"/>
    </row>
    <row r="757" spans="2:23" ht="25.5" customHeight="1">
      <c r="B757" s="70">
        <v>771</v>
      </c>
      <c r="C757" s="70" t="s">
        <v>1254</v>
      </c>
      <c r="D757" s="70" t="s">
        <v>1255</v>
      </c>
      <c r="E757" s="140" t="s">
        <v>64</v>
      </c>
      <c r="F757" s="139" t="s">
        <v>2186</v>
      </c>
      <c r="G757" s="142" t="s">
        <v>171</v>
      </c>
      <c r="H757" s="142" t="s">
        <v>170</v>
      </c>
      <c r="S757" s="11"/>
      <c r="T757" s="11"/>
      <c r="U757" s="11"/>
      <c r="V757" s="11"/>
      <c r="W757" s="11"/>
    </row>
    <row r="758" spans="2:23" ht="25.5" customHeight="1">
      <c r="B758" s="70">
        <v>772</v>
      </c>
      <c r="C758" s="70" t="s">
        <v>1256</v>
      </c>
      <c r="D758" s="70" t="s">
        <v>1253</v>
      </c>
      <c r="E758" s="140" t="s">
        <v>64</v>
      </c>
      <c r="F758" s="139" t="s">
        <v>2186</v>
      </c>
      <c r="G758" s="142" t="s">
        <v>174</v>
      </c>
      <c r="H758" s="142" t="s">
        <v>173</v>
      </c>
      <c r="S758" s="11"/>
      <c r="T758" s="11"/>
      <c r="U758" s="11"/>
      <c r="V758" s="11"/>
      <c r="W758" s="11"/>
    </row>
    <row r="759" spans="2:23" ht="25.5" customHeight="1">
      <c r="B759" s="70">
        <v>773</v>
      </c>
      <c r="C759" s="70" t="s">
        <v>1257</v>
      </c>
      <c r="D759" s="70" t="s">
        <v>1258</v>
      </c>
      <c r="E759" s="140" t="s">
        <v>64</v>
      </c>
      <c r="F759" s="139" t="s">
        <v>2186</v>
      </c>
      <c r="G759" s="142" t="s">
        <v>174</v>
      </c>
      <c r="H759" s="142" t="s">
        <v>173</v>
      </c>
      <c r="S759" s="11"/>
      <c r="T759" s="11"/>
      <c r="U759" s="11"/>
      <c r="V759" s="11"/>
      <c r="W759" s="11"/>
    </row>
    <row r="760" spans="2:23" ht="25.5" customHeight="1">
      <c r="B760" s="70">
        <v>774</v>
      </c>
      <c r="C760" s="70" t="s">
        <v>1259</v>
      </c>
      <c r="D760" s="70" t="s">
        <v>1260</v>
      </c>
      <c r="E760" s="140" t="s">
        <v>64</v>
      </c>
      <c r="F760" s="139" t="s">
        <v>2186</v>
      </c>
      <c r="G760" s="142" t="s">
        <v>171</v>
      </c>
      <c r="H760" s="142" t="s">
        <v>170</v>
      </c>
      <c r="S760" s="11"/>
      <c r="T760" s="11"/>
      <c r="U760" s="11"/>
      <c r="V760" s="11"/>
      <c r="W760" s="11"/>
    </row>
    <row r="761" spans="2:23" ht="25.5" customHeight="1">
      <c r="B761" s="70">
        <v>775</v>
      </c>
      <c r="C761" s="70" t="s">
        <v>1261</v>
      </c>
      <c r="D761" s="70" t="s">
        <v>1262</v>
      </c>
      <c r="E761" s="140" t="s">
        <v>64</v>
      </c>
      <c r="F761" s="139" t="s">
        <v>2186</v>
      </c>
      <c r="G761" s="142" t="s">
        <v>171</v>
      </c>
      <c r="H761" s="142" t="s">
        <v>170</v>
      </c>
      <c r="S761" s="11"/>
      <c r="T761" s="11"/>
      <c r="U761" s="11"/>
      <c r="V761" s="11"/>
      <c r="W761" s="11"/>
    </row>
    <row r="762" spans="2:23" ht="25.5" customHeight="1">
      <c r="B762" s="70">
        <v>776</v>
      </c>
      <c r="C762" s="70" t="s">
        <v>1263</v>
      </c>
      <c r="D762" s="70" t="s">
        <v>1264</v>
      </c>
      <c r="E762" s="140" t="s">
        <v>64</v>
      </c>
      <c r="F762" s="139" t="s">
        <v>2186</v>
      </c>
      <c r="G762" s="142" t="s">
        <v>174</v>
      </c>
      <c r="H762" s="142" t="s">
        <v>173</v>
      </c>
      <c r="S762" s="11"/>
      <c r="T762" s="11"/>
      <c r="U762" s="11"/>
      <c r="V762" s="11"/>
      <c r="W762" s="11"/>
    </row>
    <row r="763" spans="2:23" ht="25.5" customHeight="1">
      <c r="B763" s="70">
        <v>777</v>
      </c>
      <c r="C763" s="70" t="s">
        <v>1265</v>
      </c>
      <c r="D763" s="70" t="s">
        <v>1266</v>
      </c>
      <c r="E763" s="140" t="s">
        <v>64</v>
      </c>
      <c r="F763" s="139" t="s">
        <v>2186</v>
      </c>
      <c r="G763" s="142" t="s">
        <v>174</v>
      </c>
      <c r="H763" s="142" t="s">
        <v>173</v>
      </c>
      <c r="S763" s="11"/>
      <c r="T763" s="11"/>
      <c r="U763" s="11"/>
      <c r="V763" s="11"/>
      <c r="W763" s="11"/>
    </row>
    <row r="764" spans="2:23" ht="25.5" customHeight="1">
      <c r="B764" s="70">
        <v>778</v>
      </c>
      <c r="C764" s="70" t="s">
        <v>1267</v>
      </c>
      <c r="D764" s="70" t="s">
        <v>1268</v>
      </c>
      <c r="E764" s="140" t="s">
        <v>64</v>
      </c>
      <c r="F764" s="139" t="s">
        <v>2186</v>
      </c>
      <c r="G764" s="142" t="s">
        <v>176</v>
      </c>
      <c r="H764" s="142" t="s">
        <v>175</v>
      </c>
      <c r="S764" s="11"/>
      <c r="T764" s="11"/>
      <c r="U764" s="11"/>
      <c r="V764" s="11"/>
      <c r="W764" s="11"/>
    </row>
    <row r="765" spans="2:23" ht="25.5" customHeight="1">
      <c r="B765" s="70">
        <v>779</v>
      </c>
      <c r="C765" s="70" t="s">
        <v>1269</v>
      </c>
      <c r="D765" s="70" t="s">
        <v>1270</v>
      </c>
      <c r="E765" s="140" t="s">
        <v>64</v>
      </c>
      <c r="F765" s="139" t="s">
        <v>2186</v>
      </c>
      <c r="G765" s="142" t="s">
        <v>176</v>
      </c>
      <c r="H765" s="142" t="s">
        <v>175</v>
      </c>
      <c r="S765" s="11"/>
      <c r="T765" s="11"/>
      <c r="U765" s="11"/>
      <c r="V765" s="11"/>
      <c r="W765" s="11"/>
    </row>
    <row r="766" spans="2:23" ht="25.5" customHeight="1">
      <c r="B766" s="70">
        <v>780</v>
      </c>
      <c r="C766" s="70" t="s">
        <v>1271</v>
      </c>
      <c r="D766" s="70" t="s">
        <v>2392</v>
      </c>
      <c r="E766" s="140" t="s">
        <v>64</v>
      </c>
      <c r="F766" s="139" t="s">
        <v>2186</v>
      </c>
      <c r="G766" s="142" t="s">
        <v>171</v>
      </c>
      <c r="H766" s="142" t="s">
        <v>170</v>
      </c>
      <c r="S766" s="11"/>
      <c r="T766" s="11"/>
      <c r="U766" s="11"/>
      <c r="V766" s="11"/>
      <c r="W766" s="11"/>
    </row>
    <row r="767" spans="2:23" ht="25.5" customHeight="1">
      <c r="B767" s="70">
        <v>781</v>
      </c>
      <c r="C767" s="70" t="s">
        <v>1272</v>
      </c>
      <c r="D767" s="70" t="s">
        <v>2393</v>
      </c>
      <c r="E767" s="140" t="s">
        <v>64</v>
      </c>
      <c r="F767" s="139" t="s">
        <v>2186</v>
      </c>
      <c r="G767" s="142" t="s">
        <v>171</v>
      </c>
      <c r="H767" s="142" t="s">
        <v>170</v>
      </c>
      <c r="S767" s="11"/>
      <c r="T767" s="11"/>
      <c r="U767" s="11"/>
      <c r="V767" s="11"/>
      <c r="W767" s="11"/>
    </row>
    <row r="768" spans="2:23" ht="25.5" customHeight="1">
      <c r="B768" s="70">
        <v>782</v>
      </c>
      <c r="C768" s="70" t="s">
        <v>1273</v>
      </c>
      <c r="D768" s="70" t="s">
        <v>2394</v>
      </c>
      <c r="E768" s="140" t="s">
        <v>64</v>
      </c>
      <c r="F768" s="139" t="s">
        <v>2186</v>
      </c>
      <c r="G768" s="142" t="s">
        <v>171</v>
      </c>
      <c r="H768" s="142" t="s">
        <v>170</v>
      </c>
      <c r="S768" s="11"/>
      <c r="T768" s="11"/>
      <c r="U768" s="11"/>
      <c r="V768" s="11"/>
      <c r="W768" s="11"/>
    </row>
    <row r="769" spans="2:23" ht="25.5" customHeight="1">
      <c r="B769" s="70">
        <v>783</v>
      </c>
      <c r="C769" s="70" t="s">
        <v>1274</v>
      </c>
      <c r="D769" s="70" t="s">
        <v>1275</v>
      </c>
      <c r="E769" s="140" t="s">
        <v>64</v>
      </c>
      <c r="F769" s="139" t="s">
        <v>2186</v>
      </c>
      <c r="G769" s="141" t="s">
        <v>171</v>
      </c>
      <c r="H769" s="142" t="s">
        <v>170</v>
      </c>
      <c r="S769" s="11"/>
      <c r="T769" s="11"/>
      <c r="U769" s="11"/>
      <c r="V769" s="11"/>
      <c r="W769" s="11"/>
    </row>
    <row r="770" spans="2:23" ht="25.5" customHeight="1">
      <c r="B770" s="70">
        <v>784</v>
      </c>
      <c r="C770" s="70" t="s">
        <v>1276</v>
      </c>
      <c r="D770" s="70" t="s">
        <v>2392</v>
      </c>
      <c r="E770" s="140" t="s">
        <v>64</v>
      </c>
      <c r="F770" s="139" t="s">
        <v>2186</v>
      </c>
      <c r="G770" s="142" t="s">
        <v>171</v>
      </c>
      <c r="H770" s="142" t="s">
        <v>170</v>
      </c>
      <c r="S770" s="11"/>
      <c r="T770" s="11"/>
      <c r="U770" s="11"/>
      <c r="V770" s="11"/>
      <c r="W770" s="11"/>
    </row>
    <row r="771" spans="2:23" ht="25.5" customHeight="1">
      <c r="B771" s="70">
        <v>785</v>
      </c>
      <c r="C771" s="70" t="s">
        <v>1277</v>
      </c>
      <c r="D771" s="70" t="s">
        <v>2393</v>
      </c>
      <c r="E771" s="140" t="s">
        <v>64</v>
      </c>
      <c r="F771" s="139" t="s">
        <v>2186</v>
      </c>
      <c r="G771" s="142" t="s">
        <v>171</v>
      </c>
      <c r="H771" s="142" t="s">
        <v>170</v>
      </c>
      <c r="S771" s="11"/>
      <c r="T771" s="11"/>
      <c r="U771" s="11"/>
      <c r="V771" s="11"/>
      <c r="W771" s="11"/>
    </row>
    <row r="772" spans="2:23" ht="25.5" customHeight="1">
      <c r="B772" s="70">
        <v>786</v>
      </c>
      <c r="C772" s="70" t="s">
        <v>1278</v>
      </c>
      <c r="D772" s="70" t="s">
        <v>2394</v>
      </c>
      <c r="E772" s="140" t="s">
        <v>64</v>
      </c>
      <c r="F772" s="139" t="s">
        <v>2186</v>
      </c>
      <c r="G772" s="142" t="s">
        <v>171</v>
      </c>
      <c r="H772" s="142" t="s">
        <v>170</v>
      </c>
      <c r="S772" s="11"/>
      <c r="T772" s="11"/>
      <c r="U772" s="11"/>
      <c r="V772" s="11"/>
      <c r="W772" s="11"/>
    </row>
    <row r="773" spans="2:23" ht="25.5" customHeight="1">
      <c r="B773" s="70">
        <v>787</v>
      </c>
      <c r="C773" s="70" t="s">
        <v>1279</v>
      </c>
      <c r="D773" s="70" t="s">
        <v>2392</v>
      </c>
      <c r="E773" s="140" t="s">
        <v>64</v>
      </c>
      <c r="F773" s="139" t="s">
        <v>2186</v>
      </c>
      <c r="G773" s="142" t="s">
        <v>174</v>
      </c>
      <c r="H773" s="142" t="s">
        <v>173</v>
      </c>
      <c r="S773" s="11"/>
      <c r="T773" s="11"/>
      <c r="U773" s="11"/>
      <c r="V773" s="11"/>
      <c r="W773" s="11"/>
    </row>
    <row r="774" spans="2:23" ht="25.5" customHeight="1">
      <c r="B774" s="70">
        <v>788</v>
      </c>
      <c r="C774" s="70" t="s">
        <v>1280</v>
      </c>
      <c r="D774" s="70" t="s">
        <v>2393</v>
      </c>
      <c r="E774" s="140" t="s">
        <v>64</v>
      </c>
      <c r="F774" s="139" t="s">
        <v>2186</v>
      </c>
      <c r="G774" s="142" t="s">
        <v>174</v>
      </c>
      <c r="H774" s="142" t="s">
        <v>173</v>
      </c>
      <c r="S774" s="11"/>
      <c r="T774" s="11"/>
      <c r="U774" s="11"/>
      <c r="V774" s="11"/>
      <c r="W774" s="11"/>
    </row>
    <row r="775" spans="2:23" ht="25.5" customHeight="1">
      <c r="B775" s="70">
        <v>789</v>
      </c>
      <c r="C775" s="70" t="s">
        <v>1281</v>
      </c>
      <c r="D775" s="70" t="s">
        <v>2394</v>
      </c>
      <c r="E775" s="140" t="s">
        <v>64</v>
      </c>
      <c r="F775" s="139" t="s">
        <v>2186</v>
      </c>
      <c r="G775" s="142" t="s">
        <v>174</v>
      </c>
      <c r="H775" s="142" t="s">
        <v>173</v>
      </c>
      <c r="S775" s="11"/>
      <c r="T775" s="11"/>
      <c r="U775" s="11"/>
      <c r="V775" s="11"/>
      <c r="W775" s="11"/>
    </row>
    <row r="776" spans="2:23" ht="25.5" customHeight="1">
      <c r="B776" s="70">
        <v>790</v>
      </c>
      <c r="C776" s="70" t="s">
        <v>1282</v>
      </c>
      <c r="D776" s="70" t="s">
        <v>1275</v>
      </c>
      <c r="E776" s="140" t="s">
        <v>64</v>
      </c>
      <c r="F776" s="139" t="s">
        <v>2186</v>
      </c>
      <c r="G776" s="142" t="s">
        <v>174</v>
      </c>
      <c r="H776" s="142" t="s">
        <v>173</v>
      </c>
      <c r="S776" s="11"/>
      <c r="T776" s="11"/>
      <c r="U776" s="11"/>
      <c r="V776" s="11"/>
      <c r="W776" s="11"/>
    </row>
    <row r="777" spans="2:23" ht="25.5" customHeight="1">
      <c r="B777" s="70">
        <v>791</v>
      </c>
      <c r="C777" s="70" t="s">
        <v>1283</v>
      </c>
      <c r="D777" s="70" t="s">
        <v>2392</v>
      </c>
      <c r="E777" s="140" t="s">
        <v>64</v>
      </c>
      <c r="F777" s="139" t="s">
        <v>2186</v>
      </c>
      <c r="G777" s="142" t="s">
        <v>174</v>
      </c>
      <c r="H777" s="142" t="s">
        <v>173</v>
      </c>
      <c r="S777" s="11"/>
      <c r="T777" s="11"/>
      <c r="U777" s="11"/>
      <c r="V777" s="11"/>
      <c r="W777" s="11"/>
    </row>
    <row r="778" spans="2:23" ht="25.5" customHeight="1">
      <c r="B778" s="70">
        <v>792</v>
      </c>
      <c r="C778" s="70" t="s">
        <v>1284</v>
      </c>
      <c r="D778" s="70" t="s">
        <v>2393</v>
      </c>
      <c r="E778" s="140" t="s">
        <v>64</v>
      </c>
      <c r="F778" s="139" t="s">
        <v>2186</v>
      </c>
      <c r="G778" s="142" t="s">
        <v>174</v>
      </c>
      <c r="H778" s="142" t="s">
        <v>173</v>
      </c>
      <c r="S778" s="11"/>
      <c r="T778" s="11"/>
      <c r="U778" s="11"/>
      <c r="V778" s="11"/>
      <c r="W778" s="11"/>
    </row>
    <row r="779" spans="2:23" ht="25.5" customHeight="1">
      <c r="B779" s="70">
        <v>793</v>
      </c>
      <c r="C779" s="70" t="s">
        <v>1285</v>
      </c>
      <c r="D779" s="70" t="s">
        <v>2394</v>
      </c>
      <c r="E779" s="140" t="s">
        <v>64</v>
      </c>
      <c r="F779" s="139" t="s">
        <v>2186</v>
      </c>
      <c r="G779" s="141" t="s">
        <v>174</v>
      </c>
      <c r="H779" s="142" t="s">
        <v>173</v>
      </c>
      <c r="S779" s="11"/>
      <c r="T779" s="11"/>
      <c r="U779" s="11"/>
      <c r="V779" s="11"/>
      <c r="W779" s="11"/>
    </row>
    <row r="780" spans="2:23" ht="25.5" customHeight="1">
      <c r="B780" s="70">
        <v>794</v>
      </c>
      <c r="C780" s="70" t="s">
        <v>1286</v>
      </c>
      <c r="D780" s="70" t="s">
        <v>1287</v>
      </c>
      <c r="E780" s="140" t="s">
        <v>64</v>
      </c>
      <c r="F780" s="139" t="s">
        <v>2186</v>
      </c>
      <c r="G780" s="142" t="s">
        <v>176</v>
      </c>
      <c r="H780" s="142" t="s">
        <v>175</v>
      </c>
      <c r="S780" s="11"/>
      <c r="T780" s="11"/>
      <c r="U780" s="11"/>
      <c r="V780" s="11"/>
      <c r="W780" s="11"/>
    </row>
    <row r="781" spans="2:23" ht="25.5" customHeight="1">
      <c r="B781" s="70">
        <v>795</v>
      </c>
      <c r="C781" s="70" t="s">
        <v>1288</v>
      </c>
      <c r="D781" s="70" t="s">
        <v>1289</v>
      </c>
      <c r="E781" s="140" t="s">
        <v>64</v>
      </c>
      <c r="F781" s="139" t="s">
        <v>2186</v>
      </c>
      <c r="G781" s="142" t="s">
        <v>176</v>
      </c>
      <c r="H781" s="142" t="s">
        <v>175</v>
      </c>
      <c r="S781" s="11"/>
      <c r="T781" s="11"/>
      <c r="U781" s="11"/>
      <c r="V781" s="11"/>
      <c r="W781" s="11"/>
    </row>
    <row r="782" spans="2:23" ht="25.5" customHeight="1">
      <c r="B782" s="70">
        <v>796</v>
      </c>
      <c r="C782" s="70" t="s">
        <v>1267</v>
      </c>
      <c r="D782" s="70" t="s">
        <v>1290</v>
      </c>
      <c r="E782" s="140" t="s">
        <v>64</v>
      </c>
      <c r="F782" s="139" t="s">
        <v>2186</v>
      </c>
      <c r="G782" s="142" t="s">
        <v>176</v>
      </c>
      <c r="H782" s="142" t="s">
        <v>175</v>
      </c>
      <c r="S782" s="11"/>
      <c r="T782" s="11"/>
      <c r="U782" s="11"/>
      <c r="V782" s="11"/>
      <c r="W782" s="11"/>
    </row>
    <row r="783" spans="2:23" ht="25.5" customHeight="1">
      <c r="B783" s="70">
        <v>797</v>
      </c>
      <c r="C783" s="70" t="s">
        <v>1269</v>
      </c>
      <c r="D783" s="70" t="s">
        <v>1291</v>
      </c>
      <c r="E783" s="140" t="s">
        <v>64</v>
      </c>
      <c r="F783" s="139" t="s">
        <v>2186</v>
      </c>
      <c r="G783" s="142" t="s">
        <v>176</v>
      </c>
      <c r="H783" s="142" t="s">
        <v>175</v>
      </c>
      <c r="S783" s="11"/>
      <c r="T783" s="11"/>
      <c r="U783" s="11"/>
      <c r="V783" s="11"/>
      <c r="W783" s="11"/>
    </row>
    <row r="784" spans="2:23" ht="25.5" customHeight="1">
      <c r="B784" s="70">
        <v>798</v>
      </c>
      <c r="C784" s="70" t="s">
        <v>1292</v>
      </c>
      <c r="D784" s="70" t="s">
        <v>1293</v>
      </c>
      <c r="E784" s="140" t="s">
        <v>64</v>
      </c>
      <c r="F784" s="139" t="s">
        <v>2186</v>
      </c>
      <c r="G784" s="142" t="s">
        <v>176</v>
      </c>
      <c r="H784" s="142" t="s">
        <v>175</v>
      </c>
      <c r="S784" s="11"/>
      <c r="T784" s="11"/>
      <c r="U784" s="11"/>
      <c r="V784" s="11"/>
      <c r="W784" s="11"/>
    </row>
    <row r="785" spans="2:23" ht="25.5" customHeight="1">
      <c r="B785" s="70">
        <v>799</v>
      </c>
      <c r="C785" s="70" t="s">
        <v>1294</v>
      </c>
      <c r="D785" s="70" t="s">
        <v>1295</v>
      </c>
      <c r="E785" s="140" t="s">
        <v>64</v>
      </c>
      <c r="F785" s="139" t="s">
        <v>2186</v>
      </c>
      <c r="G785" s="142" t="s">
        <v>176</v>
      </c>
      <c r="H785" s="142" t="s">
        <v>175</v>
      </c>
      <c r="S785" s="11"/>
      <c r="T785" s="11"/>
      <c r="U785" s="11"/>
      <c r="V785" s="11"/>
      <c r="W785" s="11"/>
    </row>
    <row r="786" spans="2:23" ht="25.5" customHeight="1">
      <c r="B786" s="70">
        <v>800</v>
      </c>
      <c r="C786" s="30" t="s">
        <v>1296</v>
      </c>
      <c r="D786" s="70" t="s">
        <v>2385</v>
      </c>
      <c r="E786" s="140" t="s">
        <v>64</v>
      </c>
      <c r="F786" s="139" t="s">
        <v>2186</v>
      </c>
      <c r="G786" s="142" t="s">
        <v>176</v>
      </c>
      <c r="H786" s="142" t="s">
        <v>175</v>
      </c>
      <c r="S786" s="11"/>
      <c r="T786" s="11"/>
      <c r="U786" s="11"/>
      <c r="V786" s="11"/>
      <c r="W786" s="11"/>
    </row>
    <row r="787" spans="2:23" ht="25.5" customHeight="1">
      <c r="B787" s="70">
        <v>801</v>
      </c>
      <c r="C787" s="31" t="s">
        <v>1297</v>
      </c>
      <c r="D787" s="70" t="s">
        <v>2386</v>
      </c>
      <c r="E787" s="140" t="s">
        <v>64</v>
      </c>
      <c r="F787" s="139" t="s">
        <v>2186</v>
      </c>
      <c r="G787" s="142" t="s">
        <v>176</v>
      </c>
      <c r="H787" s="142" t="s">
        <v>175</v>
      </c>
      <c r="S787" s="11"/>
      <c r="T787" s="11"/>
      <c r="U787" s="11"/>
      <c r="V787" s="11"/>
      <c r="W787" s="11"/>
    </row>
    <row r="788" spans="2:23" ht="25.5" customHeight="1">
      <c r="B788" s="70">
        <v>802</v>
      </c>
      <c r="C788" s="31" t="s">
        <v>1298</v>
      </c>
      <c r="D788" s="70" t="s">
        <v>2385</v>
      </c>
      <c r="E788" s="140" t="s">
        <v>64</v>
      </c>
      <c r="F788" s="139" t="s">
        <v>2186</v>
      </c>
      <c r="G788" s="142" t="s">
        <v>176</v>
      </c>
      <c r="H788" s="142" t="s">
        <v>175</v>
      </c>
      <c r="S788" s="11"/>
      <c r="T788" s="11"/>
      <c r="U788" s="11"/>
      <c r="V788" s="11"/>
      <c r="W788" s="11"/>
    </row>
    <row r="789" spans="2:23" ht="25.5" customHeight="1">
      <c r="B789" s="70">
        <v>803</v>
      </c>
      <c r="C789" s="31" t="s">
        <v>1299</v>
      </c>
      <c r="D789" s="70" t="s">
        <v>2386</v>
      </c>
      <c r="E789" s="140" t="s">
        <v>64</v>
      </c>
      <c r="F789" s="139" t="s">
        <v>2186</v>
      </c>
      <c r="G789" s="142" t="s">
        <v>176</v>
      </c>
      <c r="H789" s="142" t="s">
        <v>175</v>
      </c>
      <c r="S789" s="11"/>
      <c r="T789" s="11"/>
      <c r="U789" s="11"/>
      <c r="V789" s="11"/>
      <c r="W789" s="11"/>
    </row>
    <row r="790" spans="2:23" ht="25.5" customHeight="1">
      <c r="B790" s="70">
        <v>804</v>
      </c>
      <c r="C790" s="30" t="s">
        <v>1300</v>
      </c>
      <c r="D790" s="70" t="s">
        <v>1301</v>
      </c>
      <c r="E790" s="140" t="s">
        <v>64</v>
      </c>
      <c r="F790" s="139" t="s">
        <v>2186</v>
      </c>
      <c r="G790" s="142" t="s">
        <v>176</v>
      </c>
      <c r="H790" s="142" t="s">
        <v>175</v>
      </c>
      <c r="S790" s="11"/>
      <c r="T790" s="11"/>
      <c r="U790" s="11"/>
      <c r="V790" s="11"/>
      <c r="W790" s="11"/>
    </row>
    <row r="791" spans="2:23" ht="25.5" customHeight="1">
      <c r="B791" s="70">
        <v>805</v>
      </c>
      <c r="C791" s="31" t="s">
        <v>1302</v>
      </c>
      <c r="D791" s="70" t="s">
        <v>1303</v>
      </c>
      <c r="E791" s="140" t="s">
        <v>64</v>
      </c>
      <c r="F791" s="139" t="s">
        <v>2186</v>
      </c>
      <c r="G791" s="142" t="s">
        <v>176</v>
      </c>
      <c r="H791" s="142" t="s">
        <v>175</v>
      </c>
      <c r="S791" s="11"/>
      <c r="T791" s="11"/>
      <c r="U791" s="11"/>
      <c r="V791" s="11"/>
      <c r="W791" s="11"/>
    </row>
    <row r="792" spans="2:23" ht="25.5" customHeight="1">
      <c r="B792" s="70">
        <v>806</v>
      </c>
      <c r="C792" s="30" t="s">
        <v>1304</v>
      </c>
      <c r="D792" s="70" t="s">
        <v>2392</v>
      </c>
      <c r="E792" s="140" t="s">
        <v>64</v>
      </c>
      <c r="F792" s="139" t="s">
        <v>2186</v>
      </c>
      <c r="G792" s="142" t="s">
        <v>176</v>
      </c>
      <c r="H792" s="142" t="s">
        <v>175</v>
      </c>
      <c r="S792" s="11"/>
      <c r="T792" s="11"/>
      <c r="U792" s="11"/>
      <c r="V792" s="11"/>
      <c r="W792" s="11"/>
    </row>
    <row r="793" spans="2:23" ht="25.5" customHeight="1">
      <c r="B793" s="70">
        <v>807</v>
      </c>
      <c r="C793" s="31" t="s">
        <v>1305</v>
      </c>
      <c r="D793" s="70" t="s">
        <v>2393</v>
      </c>
      <c r="E793" s="140" t="s">
        <v>64</v>
      </c>
      <c r="F793" s="139" t="s">
        <v>2186</v>
      </c>
      <c r="G793" s="142" t="s">
        <v>176</v>
      </c>
      <c r="H793" s="142" t="s">
        <v>175</v>
      </c>
      <c r="S793" s="11"/>
      <c r="T793" s="11"/>
      <c r="U793" s="11"/>
      <c r="V793" s="11"/>
      <c r="W793" s="11"/>
    </row>
    <row r="794" spans="2:23" ht="25.5" customHeight="1">
      <c r="B794" s="70">
        <v>808</v>
      </c>
      <c r="C794" s="31" t="s">
        <v>1306</v>
      </c>
      <c r="D794" s="70" t="s">
        <v>2392</v>
      </c>
      <c r="E794" s="140" t="s">
        <v>64</v>
      </c>
      <c r="F794" s="139" t="s">
        <v>2186</v>
      </c>
      <c r="G794" s="141" t="s">
        <v>176</v>
      </c>
      <c r="H794" s="142" t="s">
        <v>175</v>
      </c>
      <c r="S794" s="11"/>
      <c r="T794" s="11"/>
      <c r="U794" s="11"/>
      <c r="V794" s="11"/>
      <c r="W794" s="11"/>
    </row>
    <row r="795" spans="2:23" ht="25.5" customHeight="1">
      <c r="B795" s="70">
        <v>809</v>
      </c>
      <c r="C795" s="31" t="s">
        <v>1307</v>
      </c>
      <c r="D795" s="70" t="s">
        <v>2393</v>
      </c>
      <c r="E795" s="140" t="s">
        <v>64</v>
      </c>
      <c r="F795" s="139" t="s">
        <v>2186</v>
      </c>
      <c r="G795" s="141" t="s">
        <v>176</v>
      </c>
      <c r="H795" s="142" t="s">
        <v>175</v>
      </c>
      <c r="S795" s="11"/>
      <c r="T795" s="11"/>
      <c r="U795" s="11"/>
      <c r="V795" s="11"/>
      <c r="W795" s="11"/>
    </row>
    <row r="796" spans="2:23" ht="25.5" customHeight="1">
      <c r="B796" s="70">
        <v>810</v>
      </c>
      <c r="C796" s="30" t="s">
        <v>1308</v>
      </c>
      <c r="D796" s="70" t="s">
        <v>1275</v>
      </c>
      <c r="E796" s="140" t="s">
        <v>64</v>
      </c>
      <c r="F796" s="139" t="s">
        <v>2186</v>
      </c>
      <c r="G796" s="141" t="s">
        <v>176</v>
      </c>
      <c r="H796" s="142" t="s">
        <v>175</v>
      </c>
      <c r="S796" s="11"/>
      <c r="T796" s="11"/>
      <c r="U796" s="11"/>
      <c r="V796" s="11"/>
      <c r="W796" s="11"/>
    </row>
    <row r="797" spans="2:23" ht="25.5" customHeight="1">
      <c r="B797" s="70">
        <v>811</v>
      </c>
      <c r="C797" s="31" t="s">
        <v>1309</v>
      </c>
      <c r="D797" s="70" t="s">
        <v>2390</v>
      </c>
      <c r="E797" s="140" t="s">
        <v>64</v>
      </c>
      <c r="F797" s="139" t="s">
        <v>2186</v>
      </c>
      <c r="G797" s="141" t="s">
        <v>176</v>
      </c>
      <c r="H797" s="142" t="s">
        <v>175</v>
      </c>
      <c r="S797" s="11"/>
      <c r="T797" s="11"/>
      <c r="U797" s="11"/>
      <c r="V797" s="11"/>
      <c r="W797" s="11"/>
    </row>
    <row r="798" spans="2:23" ht="25.5" customHeight="1">
      <c r="B798" s="70">
        <v>812</v>
      </c>
      <c r="C798" s="30" t="s">
        <v>1310</v>
      </c>
      <c r="D798" s="70" t="s">
        <v>1311</v>
      </c>
      <c r="E798" s="140" t="s">
        <v>64</v>
      </c>
      <c r="F798" s="139" t="s">
        <v>2186</v>
      </c>
      <c r="G798" s="142" t="s">
        <v>176</v>
      </c>
      <c r="H798" s="142" t="s">
        <v>175</v>
      </c>
      <c r="S798" s="11"/>
      <c r="T798" s="11"/>
      <c r="U798" s="11"/>
      <c r="V798" s="11"/>
      <c r="W798" s="11"/>
    </row>
    <row r="799" spans="2:23" ht="25.5" customHeight="1">
      <c r="B799" s="70">
        <v>813</v>
      </c>
      <c r="C799" s="31" t="s">
        <v>1312</v>
      </c>
      <c r="D799" s="70" t="s">
        <v>1313</v>
      </c>
      <c r="E799" s="140" t="s">
        <v>64</v>
      </c>
      <c r="F799" s="139" t="s">
        <v>2186</v>
      </c>
      <c r="G799" s="141" t="s">
        <v>176</v>
      </c>
      <c r="H799" s="142" t="s">
        <v>175</v>
      </c>
      <c r="S799" s="11"/>
      <c r="T799" s="11"/>
      <c r="U799" s="11"/>
      <c r="V799" s="11"/>
      <c r="W799" s="11"/>
    </row>
    <row r="800" spans="2:23" ht="25.5" customHeight="1">
      <c r="B800" s="70">
        <v>814</v>
      </c>
      <c r="C800" s="30" t="s">
        <v>1750</v>
      </c>
      <c r="D800" s="31" t="s">
        <v>2395</v>
      </c>
      <c r="E800" s="139" t="s">
        <v>152</v>
      </c>
      <c r="F800" s="139" t="s">
        <v>2162</v>
      </c>
      <c r="G800" s="70" t="s">
        <v>1801</v>
      </c>
      <c r="H800" s="72" t="s">
        <v>1801</v>
      </c>
      <c r="S800" s="11"/>
      <c r="T800" s="11"/>
      <c r="U800" s="11"/>
      <c r="V800" s="11"/>
      <c r="W800" s="11"/>
    </row>
    <row r="801" spans="2:23" ht="25.5" customHeight="1">
      <c r="B801" s="70">
        <v>815</v>
      </c>
      <c r="C801" s="31" t="s">
        <v>1694</v>
      </c>
      <c r="D801" s="31" t="s">
        <v>2395</v>
      </c>
      <c r="E801" s="139" t="s">
        <v>152</v>
      </c>
      <c r="F801" s="139" t="s">
        <v>2162</v>
      </c>
      <c r="G801" s="70" t="s">
        <v>1801</v>
      </c>
      <c r="H801" s="73" t="s">
        <v>1801</v>
      </c>
      <c r="S801" s="11"/>
      <c r="T801" s="11"/>
      <c r="U801" s="11"/>
      <c r="V801" s="11"/>
      <c r="W801" s="11"/>
    </row>
    <row r="802" spans="2:23" ht="25.5" customHeight="1">
      <c r="B802" s="70">
        <v>816</v>
      </c>
      <c r="C802" s="30" t="s">
        <v>1849</v>
      </c>
      <c r="D802" s="31" t="s">
        <v>2395</v>
      </c>
      <c r="E802" s="139" t="s">
        <v>152</v>
      </c>
      <c r="F802" s="139" t="s">
        <v>2162</v>
      </c>
      <c r="G802" s="70" t="s">
        <v>1801</v>
      </c>
      <c r="H802" s="73" t="s">
        <v>1801</v>
      </c>
      <c r="S802" s="11"/>
      <c r="T802" s="11"/>
      <c r="U802" s="11"/>
      <c r="V802" s="11"/>
      <c r="W802" s="11"/>
    </row>
    <row r="803" spans="2:23" ht="25.5" customHeight="1">
      <c r="B803" s="70">
        <v>817</v>
      </c>
      <c r="C803" s="31" t="s">
        <v>2087</v>
      </c>
      <c r="D803" s="31" t="s">
        <v>2395</v>
      </c>
      <c r="E803" s="139" t="s">
        <v>152</v>
      </c>
      <c r="F803" s="139" t="s">
        <v>2162</v>
      </c>
      <c r="G803" s="70" t="s">
        <v>1801</v>
      </c>
      <c r="H803" s="73" t="s">
        <v>1801</v>
      </c>
      <c r="S803" s="11"/>
      <c r="T803" s="11"/>
      <c r="U803" s="11"/>
      <c r="V803" s="11"/>
      <c r="W803" s="11"/>
    </row>
    <row r="804" spans="2:23" ht="25.5" customHeight="1">
      <c r="B804" s="70">
        <v>818</v>
      </c>
      <c r="C804" s="30" t="s">
        <v>1640</v>
      </c>
      <c r="D804" s="70" t="s">
        <v>2405</v>
      </c>
      <c r="E804" s="71" t="s">
        <v>24</v>
      </c>
      <c r="F804" s="70" t="s">
        <v>29</v>
      </c>
      <c r="G804" s="73" t="s">
        <v>37</v>
      </c>
      <c r="H804" s="157" t="s">
        <v>36</v>
      </c>
      <c r="S804" s="11"/>
      <c r="T804" s="11"/>
      <c r="U804" s="11"/>
      <c r="V804" s="11"/>
      <c r="W804" s="11"/>
    </row>
    <row r="805" spans="2:23" ht="25.5" customHeight="1">
      <c r="B805" s="70">
        <v>819</v>
      </c>
      <c r="C805" s="31" t="s">
        <v>1641</v>
      </c>
      <c r="D805" s="70" t="s">
        <v>1356</v>
      </c>
      <c r="E805" s="70" t="s">
        <v>24</v>
      </c>
      <c r="F805" s="70" t="s">
        <v>25</v>
      </c>
      <c r="G805" s="73" t="s">
        <v>2081</v>
      </c>
      <c r="H805" s="157" t="s">
        <v>26</v>
      </c>
      <c r="S805" s="11"/>
      <c r="T805" s="11"/>
      <c r="U805" s="11"/>
      <c r="V805" s="11"/>
      <c r="W805" s="11"/>
    </row>
    <row r="806" spans="2:23" ht="25.5" customHeight="1">
      <c r="B806" s="70">
        <v>820</v>
      </c>
      <c r="C806" s="31" t="s">
        <v>2406</v>
      </c>
      <c r="D806" s="70" t="s">
        <v>2418</v>
      </c>
      <c r="E806" s="70" t="s">
        <v>24</v>
      </c>
      <c r="F806" s="70" t="s">
        <v>25</v>
      </c>
      <c r="G806" s="73" t="s">
        <v>2081</v>
      </c>
      <c r="H806" s="157" t="s">
        <v>26</v>
      </c>
      <c r="S806" s="11"/>
      <c r="T806" s="11"/>
      <c r="U806" s="11"/>
      <c r="V806" s="11"/>
      <c r="W806" s="11"/>
    </row>
    <row r="807" spans="2:23" ht="25.5" customHeight="1">
      <c r="B807" s="70">
        <v>821</v>
      </c>
      <c r="C807" s="31" t="s">
        <v>1642</v>
      </c>
      <c r="D807" s="70" t="s">
        <v>1357</v>
      </c>
      <c r="E807" s="70" t="s">
        <v>24</v>
      </c>
      <c r="F807" s="70" t="s">
        <v>57</v>
      </c>
      <c r="G807" s="73" t="s">
        <v>63</v>
      </c>
      <c r="H807" s="157" t="s">
        <v>62</v>
      </c>
      <c r="S807" s="11"/>
      <c r="T807" s="11"/>
      <c r="U807" s="11"/>
      <c r="V807" s="11"/>
      <c r="W807" s="11"/>
    </row>
    <row r="808" spans="2:23" ht="25.5" customHeight="1">
      <c r="B808" s="70">
        <v>822</v>
      </c>
      <c r="C808" s="31" t="s">
        <v>1645</v>
      </c>
      <c r="D808" s="70" t="s">
        <v>2082</v>
      </c>
      <c r="E808" s="70" t="s">
        <v>24</v>
      </c>
      <c r="F808" s="70" t="s">
        <v>20</v>
      </c>
      <c r="G808" s="73" t="s">
        <v>56</v>
      </c>
      <c r="H808" s="157" t="s">
        <v>55</v>
      </c>
      <c r="S808" s="11"/>
      <c r="T808" s="11"/>
      <c r="U808" s="11"/>
      <c r="V808" s="11"/>
      <c r="W808" s="11"/>
    </row>
    <row r="809" spans="2:23" ht="25.5" customHeight="1">
      <c r="B809" s="70">
        <v>823</v>
      </c>
      <c r="C809" s="157" t="s">
        <v>1643</v>
      </c>
      <c r="D809" s="157" t="s">
        <v>1358</v>
      </c>
      <c r="E809" s="157" t="s">
        <v>24</v>
      </c>
      <c r="F809" s="157" t="s">
        <v>20</v>
      </c>
      <c r="G809" s="160" t="s">
        <v>39</v>
      </c>
      <c r="H809" s="158" t="s">
        <v>38</v>
      </c>
      <c r="I809" s="2"/>
      <c r="J809" s="2"/>
      <c r="K809" s="2"/>
      <c r="L809" s="2"/>
      <c r="M809" s="2"/>
      <c r="N809" s="2"/>
      <c r="O809" s="10"/>
      <c r="P809" s="10"/>
      <c r="Q809" s="10"/>
      <c r="R809" s="10"/>
      <c r="T809" s="19"/>
    </row>
    <row r="810" spans="2:23" ht="25.5" customHeight="1">
      <c r="B810" s="70">
        <v>824</v>
      </c>
      <c r="C810" s="157" t="s">
        <v>2407</v>
      </c>
      <c r="D810" s="157" t="s">
        <v>2086</v>
      </c>
      <c r="E810" s="157" t="s">
        <v>24</v>
      </c>
      <c r="F810" s="157" t="s">
        <v>57</v>
      </c>
      <c r="G810" s="160" t="s">
        <v>61</v>
      </c>
      <c r="H810" s="158" t="s">
        <v>60</v>
      </c>
      <c r="I810" s="2"/>
      <c r="J810" s="2"/>
      <c r="K810" s="2"/>
      <c r="L810" s="2"/>
      <c r="M810" s="2"/>
      <c r="N810" s="2"/>
      <c r="O810" s="10"/>
      <c r="P810" s="10"/>
      <c r="Q810" s="10"/>
      <c r="R810" s="10"/>
      <c r="T810" s="19"/>
    </row>
    <row r="811" spans="2:23" ht="25.5" customHeight="1">
      <c r="B811" s="70">
        <v>825</v>
      </c>
      <c r="C811" s="157" t="s">
        <v>1644</v>
      </c>
      <c r="D811" s="157" t="s">
        <v>1662</v>
      </c>
      <c r="E811" s="157" t="s">
        <v>152</v>
      </c>
      <c r="F811" s="157" t="s">
        <v>239</v>
      </c>
      <c r="G811" s="160" t="s">
        <v>241</v>
      </c>
      <c r="H811" s="158" t="s">
        <v>240</v>
      </c>
      <c r="I811" s="2"/>
      <c r="J811" s="2"/>
      <c r="K811" s="2"/>
      <c r="L811" s="2"/>
      <c r="M811" s="2"/>
      <c r="N811" s="2"/>
      <c r="O811" s="10"/>
      <c r="P811" s="10"/>
      <c r="Q811" s="10"/>
      <c r="R811" s="10"/>
      <c r="T811" s="19"/>
    </row>
    <row r="812" spans="2:23" ht="25.5" customHeight="1">
      <c r="B812" s="70">
        <v>826</v>
      </c>
      <c r="C812" s="157" t="s">
        <v>1646</v>
      </c>
      <c r="D812" s="157" t="s">
        <v>2084</v>
      </c>
      <c r="E812" s="157" t="s">
        <v>152</v>
      </c>
      <c r="F812" s="157" t="s">
        <v>244</v>
      </c>
      <c r="G812" s="160" t="s">
        <v>243</v>
      </c>
      <c r="H812" s="158" t="s">
        <v>242</v>
      </c>
      <c r="I812" s="2"/>
      <c r="J812" s="2"/>
      <c r="K812" s="2"/>
      <c r="L812" s="2"/>
      <c r="M812" s="2"/>
      <c r="N812" s="2"/>
      <c r="O812" s="10"/>
      <c r="P812" s="10"/>
      <c r="Q812" s="10"/>
      <c r="R812" s="10"/>
      <c r="T812" s="19"/>
    </row>
    <row r="813" spans="2:23" ht="25.5" customHeight="1">
      <c r="B813" s="70">
        <v>827</v>
      </c>
      <c r="C813" s="157" t="s">
        <v>1656</v>
      </c>
      <c r="D813" s="157" t="s">
        <v>1359</v>
      </c>
      <c r="E813" s="157" t="s">
        <v>64</v>
      </c>
      <c r="F813" s="157" t="s">
        <v>155</v>
      </c>
      <c r="G813" s="160" t="s">
        <v>2057</v>
      </c>
      <c r="H813" s="158" t="s">
        <v>2058</v>
      </c>
      <c r="I813" s="2"/>
      <c r="J813" s="2"/>
      <c r="K813" s="2"/>
      <c r="L813" s="2"/>
      <c r="M813" s="2"/>
      <c r="N813" s="2"/>
      <c r="O813" s="10"/>
      <c r="P813" s="10"/>
      <c r="Q813" s="10"/>
      <c r="R813" s="10"/>
      <c r="T813" s="19"/>
    </row>
    <row r="814" spans="2:23" ht="25.15" customHeight="1">
      <c r="B814" s="70">
        <v>828</v>
      </c>
      <c r="C814" s="157" t="s">
        <v>2408</v>
      </c>
      <c r="D814" s="157" t="s">
        <v>2409</v>
      </c>
      <c r="E814" s="157" t="s">
        <v>64</v>
      </c>
      <c r="F814" s="157" t="s">
        <v>155</v>
      </c>
      <c r="G814" s="160" t="s">
        <v>2057</v>
      </c>
      <c r="H814" s="158" t="s">
        <v>2058</v>
      </c>
      <c r="I814" s="2"/>
      <c r="J814" s="2"/>
      <c r="K814" s="2"/>
      <c r="L814" s="2"/>
      <c r="M814" s="2"/>
      <c r="N814" s="2"/>
      <c r="O814" s="10"/>
      <c r="P814" s="10"/>
      <c r="Q814" s="10"/>
      <c r="R814" s="10"/>
      <c r="T814" s="19"/>
    </row>
    <row r="815" spans="2:23" ht="25.15" customHeight="1">
      <c r="B815" s="70">
        <v>829</v>
      </c>
      <c r="C815" s="157" t="s">
        <v>1657</v>
      </c>
      <c r="D815" s="157" t="s">
        <v>2083</v>
      </c>
      <c r="E815" s="157" t="s">
        <v>64</v>
      </c>
      <c r="F815" s="157" t="s">
        <v>155</v>
      </c>
      <c r="G815" s="160" t="s">
        <v>157</v>
      </c>
      <c r="H815" s="158" t="s">
        <v>156</v>
      </c>
      <c r="I815" s="2"/>
      <c r="J815" s="2"/>
      <c r="K815" s="2"/>
      <c r="L815" s="2"/>
      <c r="M815" s="2"/>
      <c r="N815" s="2"/>
      <c r="O815" s="10"/>
      <c r="P815" s="10"/>
      <c r="Q815" s="10"/>
      <c r="R815" s="10"/>
      <c r="T815" s="19"/>
    </row>
    <row r="816" spans="2:23" ht="25.15" customHeight="1">
      <c r="B816" s="70">
        <v>830</v>
      </c>
      <c r="C816" s="157" t="s">
        <v>1658</v>
      </c>
      <c r="D816" s="157" t="s">
        <v>1360</v>
      </c>
      <c r="E816" s="157" t="s">
        <v>64</v>
      </c>
      <c r="F816" s="157" t="s">
        <v>155</v>
      </c>
      <c r="G816" s="160" t="s">
        <v>154</v>
      </c>
      <c r="H816" s="158" t="s">
        <v>153</v>
      </c>
      <c r="I816" s="2"/>
      <c r="J816" s="2"/>
      <c r="K816" s="2"/>
      <c r="L816" s="2"/>
      <c r="M816" s="2"/>
      <c r="N816" s="2"/>
      <c r="O816" s="10"/>
      <c r="P816" s="10"/>
      <c r="Q816" s="10"/>
      <c r="R816" s="10"/>
      <c r="T816" s="19"/>
    </row>
    <row r="817" spans="2:20" ht="25.15" customHeight="1">
      <c r="B817" s="70">
        <v>831</v>
      </c>
      <c r="C817" s="157" t="s">
        <v>2410</v>
      </c>
      <c r="D817" s="157" t="s">
        <v>2411</v>
      </c>
      <c r="E817" s="157" t="s">
        <v>64</v>
      </c>
      <c r="F817" s="157" t="s">
        <v>165</v>
      </c>
      <c r="G817" s="160" t="s">
        <v>167</v>
      </c>
      <c r="H817" s="158" t="s">
        <v>166</v>
      </c>
      <c r="I817" s="2"/>
      <c r="J817" s="2"/>
      <c r="K817" s="2"/>
      <c r="L817" s="2"/>
      <c r="M817" s="2"/>
      <c r="N817" s="2"/>
      <c r="O817" s="10"/>
      <c r="P817" s="10"/>
      <c r="Q817" s="10"/>
      <c r="R817" s="10"/>
      <c r="T817" s="19"/>
    </row>
    <row r="818" spans="2:20" ht="25.15" customHeight="1">
      <c r="B818" s="70">
        <v>832</v>
      </c>
      <c r="C818" s="157" t="s">
        <v>1659</v>
      </c>
      <c r="D818" s="157" t="s">
        <v>1361</v>
      </c>
      <c r="E818" s="157" t="s">
        <v>64</v>
      </c>
      <c r="F818" s="157" t="s">
        <v>112</v>
      </c>
      <c r="G818" s="160" t="s">
        <v>138</v>
      </c>
      <c r="H818" s="158" t="s">
        <v>137</v>
      </c>
      <c r="I818" s="2"/>
      <c r="J818" s="2"/>
      <c r="K818" s="2"/>
      <c r="L818" s="2"/>
      <c r="M818" s="2"/>
      <c r="N818" s="2"/>
      <c r="O818" s="10"/>
      <c r="P818" s="10"/>
      <c r="Q818" s="10"/>
      <c r="R818" s="10"/>
      <c r="T818" s="19"/>
    </row>
    <row r="819" spans="2:20" ht="25.15" customHeight="1">
      <c r="B819" s="70">
        <v>833</v>
      </c>
      <c r="C819" s="157" t="s">
        <v>1660</v>
      </c>
      <c r="D819" s="157" t="s">
        <v>1362</v>
      </c>
      <c r="E819" s="157" t="s">
        <v>64</v>
      </c>
      <c r="F819" s="157" t="s">
        <v>112</v>
      </c>
      <c r="G819" s="160" t="s">
        <v>111</v>
      </c>
      <c r="H819" s="158" t="s">
        <v>110</v>
      </c>
      <c r="I819" s="2"/>
      <c r="J819" s="2"/>
      <c r="K819" s="2"/>
      <c r="L819" s="2"/>
      <c r="M819" s="2"/>
      <c r="N819" s="2"/>
      <c r="O819" s="10"/>
      <c r="P819" s="10"/>
      <c r="Q819" s="10"/>
      <c r="R819" s="10"/>
      <c r="T819" s="19"/>
    </row>
    <row r="820" spans="2:20" ht="25.15" customHeight="1">
      <c r="B820" s="70">
        <v>834</v>
      </c>
      <c r="C820" s="157" t="s">
        <v>2412</v>
      </c>
      <c r="D820" s="157" t="s">
        <v>2413</v>
      </c>
      <c r="E820" s="157" t="s">
        <v>64</v>
      </c>
      <c r="F820" s="157" t="s">
        <v>112</v>
      </c>
      <c r="G820" s="160" t="s">
        <v>140</v>
      </c>
      <c r="H820" s="158" t="s">
        <v>139</v>
      </c>
      <c r="I820" s="2"/>
      <c r="J820" s="2"/>
      <c r="K820" s="2"/>
      <c r="L820" s="2"/>
      <c r="M820" s="2"/>
      <c r="N820" s="2"/>
      <c r="O820" s="10"/>
      <c r="P820" s="10"/>
      <c r="Q820" s="10"/>
      <c r="R820" s="10"/>
      <c r="T820" s="19"/>
    </row>
    <row r="821" spans="2:20" ht="25.15" customHeight="1">
      <c r="B821" s="70">
        <v>835</v>
      </c>
      <c r="C821" s="157" t="s">
        <v>1661</v>
      </c>
      <c r="D821" s="157" t="s">
        <v>1363</v>
      </c>
      <c r="E821" s="157" t="s">
        <v>64</v>
      </c>
      <c r="F821" s="157" t="s">
        <v>172</v>
      </c>
      <c r="G821" s="160" t="s">
        <v>171</v>
      </c>
      <c r="H821" s="158" t="s">
        <v>170</v>
      </c>
      <c r="I821" s="2"/>
      <c r="J821" s="2"/>
      <c r="K821" s="2"/>
      <c r="L821" s="2"/>
      <c r="M821" s="2"/>
      <c r="N821" s="2"/>
      <c r="O821" s="10"/>
      <c r="P821" s="10"/>
      <c r="Q821" s="10"/>
      <c r="R821" s="10"/>
      <c r="T821" s="19"/>
    </row>
    <row r="822" spans="2:20" ht="25.15" customHeight="1">
      <c r="B822" s="70">
        <v>836</v>
      </c>
      <c r="C822" s="157" t="s">
        <v>2414</v>
      </c>
      <c r="D822" s="157" t="s">
        <v>2415</v>
      </c>
      <c r="E822" s="157" t="s">
        <v>64</v>
      </c>
      <c r="F822" s="157" t="s">
        <v>172</v>
      </c>
      <c r="G822" s="160" t="s">
        <v>171</v>
      </c>
      <c r="H822" s="158" t="s">
        <v>170</v>
      </c>
      <c r="I822" s="2"/>
      <c r="J822" s="2"/>
      <c r="K822" s="2"/>
      <c r="L822" s="2"/>
      <c r="M822" s="2"/>
      <c r="N822" s="2"/>
      <c r="O822" s="10"/>
      <c r="P822" s="10"/>
      <c r="Q822" s="10"/>
      <c r="R822" s="10"/>
      <c r="T822" s="19"/>
    </row>
    <row r="823" spans="2:20" ht="25.15" customHeight="1">
      <c r="B823" s="70">
        <v>837</v>
      </c>
      <c r="C823" s="157" t="s">
        <v>1647</v>
      </c>
      <c r="D823" s="157" t="s">
        <v>1663</v>
      </c>
      <c r="E823" s="157" t="s">
        <v>152</v>
      </c>
      <c r="F823" s="157" t="s">
        <v>239</v>
      </c>
      <c r="G823" s="160" t="s">
        <v>241</v>
      </c>
      <c r="H823" s="158" t="s">
        <v>240</v>
      </c>
      <c r="I823" s="2"/>
      <c r="J823" s="2"/>
      <c r="K823" s="2"/>
      <c r="L823" s="2"/>
      <c r="M823" s="2"/>
      <c r="N823" s="2"/>
      <c r="O823" s="10"/>
      <c r="P823" s="10"/>
      <c r="Q823" s="10"/>
      <c r="R823" s="10"/>
      <c r="T823" s="19"/>
    </row>
    <row r="824" spans="2:20" ht="25.15" customHeight="1">
      <c r="B824" s="70">
        <v>838</v>
      </c>
      <c r="C824" s="157" t="s">
        <v>2416</v>
      </c>
      <c r="D824" s="157" t="s">
        <v>2085</v>
      </c>
      <c r="E824" s="157" t="s">
        <v>24</v>
      </c>
      <c r="F824" s="157" t="s">
        <v>29</v>
      </c>
      <c r="G824" s="160" t="s">
        <v>28</v>
      </c>
      <c r="H824" s="158" t="s">
        <v>27</v>
      </c>
      <c r="I824" s="2"/>
      <c r="J824" s="2"/>
      <c r="K824" s="2"/>
      <c r="L824" s="2"/>
      <c r="M824" s="2"/>
      <c r="N824" s="2"/>
      <c r="O824" s="10"/>
      <c r="P824" s="10"/>
      <c r="Q824" s="10"/>
      <c r="R824" s="10"/>
      <c r="T824" s="19"/>
    </row>
    <row r="825" spans="2:20" ht="25.15" customHeight="1">
      <c r="B825" s="70">
        <v>839</v>
      </c>
      <c r="C825" s="157" t="s">
        <v>1648</v>
      </c>
      <c r="D825" s="157" t="s">
        <v>1364</v>
      </c>
      <c r="E825" s="157" t="s">
        <v>35</v>
      </c>
      <c r="F825" s="157" t="s">
        <v>197</v>
      </c>
      <c r="G825" s="160" t="s">
        <v>214</v>
      </c>
      <c r="H825" s="158" t="s">
        <v>213</v>
      </c>
      <c r="I825" s="2"/>
      <c r="J825" s="2"/>
      <c r="K825" s="2"/>
      <c r="L825" s="2"/>
      <c r="M825" s="2"/>
      <c r="N825" s="2"/>
      <c r="O825" s="10"/>
      <c r="P825" s="10"/>
      <c r="Q825" s="10"/>
      <c r="R825" s="10"/>
      <c r="T825" s="19"/>
    </row>
    <row r="826" spans="2:20" ht="25.15" customHeight="1">
      <c r="B826" s="70">
        <v>840</v>
      </c>
      <c r="C826" s="157" t="s">
        <v>1649</v>
      </c>
      <c r="D826" s="157" t="s">
        <v>1365</v>
      </c>
      <c r="E826" s="157" t="s">
        <v>35</v>
      </c>
      <c r="F826" s="157" t="s">
        <v>181</v>
      </c>
      <c r="G826" s="160" t="s">
        <v>180</v>
      </c>
      <c r="H826" s="158" t="s">
        <v>179</v>
      </c>
      <c r="I826" s="2"/>
      <c r="J826" s="2"/>
      <c r="K826" s="2"/>
      <c r="L826" s="2"/>
      <c r="M826" s="2"/>
      <c r="N826" s="2"/>
      <c r="O826" s="10"/>
      <c r="P826" s="10"/>
      <c r="Q826" s="10"/>
      <c r="R826" s="10"/>
      <c r="T826" s="19"/>
    </row>
    <row r="827" spans="2:20" ht="25.15" customHeight="1">
      <c r="B827" s="70">
        <v>841</v>
      </c>
      <c r="C827" s="157" t="s">
        <v>1650</v>
      </c>
      <c r="D827" s="157" t="s">
        <v>1366</v>
      </c>
      <c r="E827" s="157" t="s">
        <v>35</v>
      </c>
      <c r="F827" s="157" t="s">
        <v>181</v>
      </c>
      <c r="G827" s="160" t="s">
        <v>183</v>
      </c>
      <c r="H827" s="158" t="s">
        <v>182</v>
      </c>
      <c r="I827" s="2"/>
      <c r="J827" s="2"/>
      <c r="K827" s="2"/>
      <c r="L827" s="2"/>
      <c r="M827" s="2"/>
      <c r="N827" s="2"/>
      <c r="O827" s="10"/>
      <c r="P827" s="10"/>
      <c r="Q827" s="10"/>
      <c r="R827" s="10"/>
      <c r="T827" s="19"/>
    </row>
    <row r="828" spans="2:20" ht="25.15" customHeight="1">
      <c r="B828" s="70">
        <v>842</v>
      </c>
      <c r="C828" s="157" t="s">
        <v>1651</v>
      </c>
      <c r="D828" s="157" t="s">
        <v>1367</v>
      </c>
      <c r="E828" s="157" t="s">
        <v>35</v>
      </c>
      <c r="F828" s="157" t="s">
        <v>181</v>
      </c>
      <c r="G828" s="160" t="s">
        <v>188</v>
      </c>
      <c r="H828" s="158" t="s">
        <v>187</v>
      </c>
      <c r="I828" s="2"/>
      <c r="J828" s="2"/>
      <c r="K828" s="2"/>
      <c r="L828" s="2"/>
      <c r="M828" s="2"/>
      <c r="N828" s="2"/>
      <c r="O828" s="10"/>
      <c r="P828" s="10"/>
      <c r="Q828" s="10"/>
      <c r="R828" s="10"/>
      <c r="T828" s="19"/>
    </row>
    <row r="829" spans="2:20" ht="25.15" customHeight="1">
      <c r="B829" s="70">
        <v>843</v>
      </c>
      <c r="C829" s="157" t="s">
        <v>1652</v>
      </c>
      <c r="D829" s="157" t="s">
        <v>1368</v>
      </c>
      <c r="E829" s="157" t="s">
        <v>35</v>
      </c>
      <c r="F829" s="157" t="s">
        <v>181</v>
      </c>
      <c r="G829" s="160" t="s">
        <v>186</v>
      </c>
      <c r="H829" s="158" t="s">
        <v>185</v>
      </c>
      <c r="I829" s="2"/>
      <c r="J829" s="2"/>
      <c r="K829" s="2"/>
      <c r="L829" s="2"/>
      <c r="M829" s="2"/>
      <c r="N829" s="2"/>
      <c r="O829" s="10"/>
      <c r="P829" s="10"/>
      <c r="Q829" s="10"/>
      <c r="R829" s="10"/>
      <c r="T829" s="19"/>
    </row>
    <row r="830" spans="2:20" ht="25.15" customHeight="1">
      <c r="B830" s="70">
        <v>844</v>
      </c>
      <c r="C830" s="157" t="s">
        <v>1653</v>
      </c>
      <c r="D830" s="157" t="s">
        <v>2417</v>
      </c>
      <c r="E830" s="157" t="s">
        <v>35</v>
      </c>
      <c r="F830" s="157" t="s">
        <v>181</v>
      </c>
      <c r="G830" s="160" t="s">
        <v>22</v>
      </c>
      <c r="H830" s="158" t="s">
        <v>184</v>
      </c>
      <c r="I830" s="2"/>
      <c r="J830" s="2"/>
      <c r="K830" s="2"/>
      <c r="L830" s="2"/>
      <c r="M830" s="2"/>
      <c r="N830" s="2"/>
      <c r="O830" s="10"/>
      <c r="P830" s="10"/>
      <c r="Q830" s="10"/>
      <c r="R830" s="10"/>
      <c r="T830" s="19"/>
    </row>
    <row r="831" spans="2:20" ht="25.15" customHeight="1">
      <c r="B831" s="70">
        <v>845</v>
      </c>
      <c r="C831" s="157" t="s">
        <v>1654</v>
      </c>
      <c r="D831" s="157" t="s">
        <v>1369</v>
      </c>
      <c r="E831" s="157" t="s">
        <v>152</v>
      </c>
      <c r="F831" s="157" t="s">
        <v>244</v>
      </c>
      <c r="G831" s="160" t="s">
        <v>243</v>
      </c>
      <c r="H831" s="158" t="s">
        <v>242</v>
      </c>
      <c r="I831" s="2"/>
      <c r="J831" s="2"/>
      <c r="K831" s="2"/>
      <c r="L831" s="2"/>
      <c r="M831" s="2"/>
      <c r="N831" s="2"/>
      <c r="O831" s="10"/>
      <c r="P831" s="10"/>
      <c r="Q831" s="10"/>
      <c r="R831" s="10"/>
      <c r="T831" s="19"/>
    </row>
    <row r="832" spans="2:20" ht="25.15" customHeight="1">
      <c r="B832" s="70">
        <v>846</v>
      </c>
      <c r="C832" s="157" t="s">
        <v>1655</v>
      </c>
      <c r="D832" s="157" t="s">
        <v>1370</v>
      </c>
      <c r="E832" s="157" t="s">
        <v>35</v>
      </c>
      <c r="F832" s="157" t="s">
        <v>234</v>
      </c>
      <c r="G832" s="160" t="s">
        <v>236</v>
      </c>
      <c r="H832" s="161" t="s">
        <v>235</v>
      </c>
      <c r="I832" s="2"/>
      <c r="J832" s="2"/>
      <c r="K832" s="2"/>
      <c r="L832" s="2"/>
      <c r="M832" s="2"/>
      <c r="N832" s="2"/>
      <c r="O832" s="10"/>
      <c r="P832" s="10"/>
      <c r="Q832" s="10"/>
      <c r="R832" s="10"/>
      <c r="T832" s="19"/>
    </row>
    <row r="833" spans="2:20" ht="24" customHeight="1">
      <c r="B833" s="70">
        <v>847</v>
      </c>
      <c r="C833" s="157" t="s">
        <v>1923</v>
      </c>
      <c r="D833" s="157" t="s">
        <v>2419</v>
      </c>
      <c r="E833" s="157" t="s">
        <v>24</v>
      </c>
      <c r="F833" s="157" t="s">
        <v>57</v>
      </c>
      <c r="G833" s="157" t="s">
        <v>59</v>
      </c>
      <c r="H833" s="160" t="s">
        <v>58</v>
      </c>
      <c r="I833" s="2"/>
      <c r="J833" s="2"/>
      <c r="K833" s="2"/>
      <c r="L833" s="2"/>
      <c r="M833" s="2"/>
      <c r="N833" s="2"/>
      <c r="O833" s="10"/>
      <c r="P833" s="10"/>
      <c r="Q833" s="10"/>
      <c r="R833" s="10"/>
      <c r="T833" s="19"/>
    </row>
    <row r="834" spans="2:20">
      <c r="B834" s="10"/>
      <c r="C834" s="10"/>
      <c r="D834" s="10"/>
      <c r="E834" s="10"/>
      <c r="F834" s="10"/>
      <c r="G834" s="10"/>
      <c r="H834" s="10"/>
      <c r="I834" s="2"/>
      <c r="J834" s="2"/>
      <c r="K834" s="2"/>
      <c r="L834" s="2"/>
      <c r="M834" s="2"/>
      <c r="N834" s="2"/>
      <c r="O834" s="10"/>
      <c r="P834" s="10"/>
      <c r="Q834" s="10"/>
      <c r="R834" s="10"/>
      <c r="T834" s="19"/>
    </row>
    <row r="835" spans="2:20">
      <c r="B835" s="10"/>
      <c r="C835" s="10"/>
      <c r="D835" s="10"/>
      <c r="E835" s="10"/>
      <c r="F835" s="10"/>
      <c r="G835" s="10"/>
      <c r="H835" s="10"/>
      <c r="I835" s="2"/>
      <c r="J835" s="2"/>
      <c r="K835" s="2"/>
      <c r="L835" s="2"/>
      <c r="M835" s="2"/>
      <c r="N835" s="2"/>
      <c r="O835" s="10"/>
      <c r="P835" s="10"/>
      <c r="Q835" s="10"/>
      <c r="R835" s="10"/>
      <c r="T835" s="19"/>
    </row>
    <row r="836" spans="2:20">
      <c r="B836" s="10"/>
      <c r="C836" s="10"/>
      <c r="D836" s="10"/>
      <c r="E836" s="10"/>
      <c r="F836" s="10"/>
      <c r="G836" s="10"/>
      <c r="H836" s="10"/>
      <c r="I836" s="2"/>
      <c r="J836" s="2"/>
      <c r="K836" s="2"/>
      <c r="L836" s="2"/>
      <c r="M836" s="2"/>
      <c r="N836" s="2"/>
      <c r="O836" s="10"/>
      <c r="P836" s="10"/>
      <c r="Q836" s="10"/>
      <c r="R836" s="10"/>
      <c r="T836" s="19"/>
    </row>
    <row r="837" spans="2:20">
      <c r="B837" s="10"/>
      <c r="C837" s="10"/>
      <c r="D837" s="10"/>
      <c r="E837" s="10"/>
      <c r="F837" s="10"/>
      <c r="G837" s="10"/>
      <c r="H837" s="10"/>
      <c r="I837" s="2"/>
      <c r="J837" s="2"/>
      <c r="K837" s="2"/>
      <c r="L837" s="2"/>
      <c r="M837" s="2"/>
      <c r="N837" s="2"/>
      <c r="O837" s="10"/>
      <c r="P837" s="10"/>
      <c r="Q837" s="10"/>
      <c r="R837" s="10"/>
      <c r="T837" s="19"/>
    </row>
    <row r="838" spans="2:20">
      <c r="B838" s="10"/>
      <c r="C838" s="10"/>
      <c r="D838" s="10"/>
      <c r="E838" s="10"/>
      <c r="F838" s="10"/>
      <c r="G838" s="10"/>
      <c r="H838" s="10"/>
      <c r="I838" s="2"/>
      <c r="J838" s="2"/>
      <c r="K838" s="2"/>
      <c r="L838" s="2"/>
      <c r="M838" s="2"/>
      <c r="N838" s="2"/>
      <c r="O838" s="10"/>
      <c r="P838" s="10"/>
      <c r="Q838" s="10"/>
      <c r="R838" s="10"/>
      <c r="T838" s="19"/>
    </row>
    <row r="839" spans="2:20">
      <c r="B839" s="10"/>
      <c r="C839" s="10"/>
      <c r="D839" s="10"/>
      <c r="E839" s="10"/>
      <c r="F839" s="10"/>
      <c r="G839" s="10"/>
      <c r="H839" s="10"/>
      <c r="I839" s="2"/>
      <c r="J839" s="2"/>
      <c r="K839" s="2"/>
      <c r="L839" s="2"/>
      <c r="M839" s="2"/>
      <c r="N839" s="2"/>
      <c r="O839" s="10"/>
      <c r="P839" s="10"/>
      <c r="Q839" s="10"/>
      <c r="R839" s="10"/>
      <c r="T839" s="19"/>
    </row>
    <row r="840" spans="2:20">
      <c r="B840" s="10"/>
      <c r="C840" s="10"/>
      <c r="D840" s="10"/>
      <c r="E840" s="10"/>
      <c r="F840" s="10"/>
      <c r="G840" s="10"/>
      <c r="H840" s="10"/>
      <c r="I840" s="2"/>
      <c r="J840" s="2"/>
      <c r="K840" s="2"/>
      <c r="L840" s="2"/>
      <c r="M840" s="2"/>
      <c r="N840" s="2"/>
      <c r="O840" s="10"/>
      <c r="P840" s="10"/>
      <c r="Q840" s="10"/>
      <c r="R840" s="10"/>
      <c r="T840" s="19"/>
    </row>
    <row r="841" spans="2:20">
      <c r="B841" s="10"/>
      <c r="C841" s="10"/>
      <c r="D841" s="10"/>
      <c r="E841" s="10"/>
      <c r="F841" s="10"/>
      <c r="G841" s="10"/>
      <c r="H841" s="10"/>
      <c r="I841" s="2"/>
      <c r="J841" s="2"/>
      <c r="K841" s="2"/>
      <c r="L841" s="2"/>
      <c r="M841" s="2"/>
      <c r="N841" s="2"/>
      <c r="O841" s="10"/>
      <c r="P841" s="10"/>
      <c r="Q841" s="10"/>
      <c r="R841" s="10"/>
      <c r="T841" s="19"/>
    </row>
    <row r="842" spans="2:20">
      <c r="B842" s="10"/>
      <c r="C842" s="10"/>
      <c r="D842" s="10"/>
      <c r="E842" s="10"/>
      <c r="F842" s="10"/>
      <c r="G842" s="10"/>
      <c r="H842" s="10"/>
      <c r="I842" s="2"/>
      <c r="J842" s="2"/>
      <c r="K842" s="2"/>
      <c r="L842" s="2"/>
      <c r="M842" s="2"/>
      <c r="N842" s="2"/>
      <c r="O842" s="10"/>
      <c r="P842" s="10"/>
      <c r="Q842" s="10"/>
      <c r="R842" s="10"/>
      <c r="T842" s="19"/>
    </row>
    <row r="843" spans="2:20">
      <c r="B843" s="10"/>
      <c r="C843" s="10"/>
      <c r="D843" s="10"/>
      <c r="E843" s="10"/>
      <c r="F843" s="10"/>
      <c r="G843" s="10"/>
      <c r="H843" s="10"/>
      <c r="I843" s="2"/>
      <c r="J843" s="2"/>
      <c r="K843" s="2"/>
      <c r="L843" s="2"/>
      <c r="M843" s="2"/>
      <c r="N843" s="2"/>
      <c r="O843" s="10"/>
      <c r="P843" s="10"/>
      <c r="Q843" s="10"/>
      <c r="R843" s="10"/>
      <c r="T843" s="19"/>
    </row>
    <row r="844" spans="2:20">
      <c r="B844" s="10"/>
      <c r="C844" s="10"/>
      <c r="D844" s="10"/>
      <c r="E844" s="10"/>
      <c r="F844" s="10"/>
      <c r="G844" s="10"/>
      <c r="H844" s="10"/>
      <c r="I844" s="2"/>
      <c r="J844" s="2"/>
      <c r="K844" s="2"/>
      <c r="L844" s="2"/>
      <c r="M844" s="2"/>
      <c r="N844" s="2"/>
      <c r="O844" s="10"/>
      <c r="P844" s="10"/>
      <c r="Q844" s="10"/>
      <c r="R844" s="10"/>
      <c r="T844" s="19"/>
    </row>
    <row r="845" spans="2:20">
      <c r="B845" s="10"/>
      <c r="C845" s="10"/>
      <c r="D845" s="10"/>
      <c r="E845" s="10"/>
      <c r="F845" s="10"/>
      <c r="G845" s="10"/>
      <c r="H845" s="10"/>
      <c r="I845" s="2"/>
      <c r="J845" s="2"/>
      <c r="K845" s="2"/>
      <c r="L845" s="2"/>
      <c r="M845" s="2"/>
      <c r="N845" s="2"/>
      <c r="O845" s="10"/>
      <c r="P845" s="10"/>
      <c r="Q845" s="10"/>
      <c r="R845" s="10"/>
      <c r="T845" s="19"/>
    </row>
    <row r="846" spans="2:20">
      <c r="B846" s="10"/>
      <c r="C846" s="10"/>
      <c r="D846" s="10"/>
      <c r="E846" s="10"/>
      <c r="F846" s="10"/>
      <c r="G846" s="10"/>
      <c r="H846" s="10"/>
      <c r="I846" s="2"/>
      <c r="J846" s="2"/>
      <c r="K846" s="2"/>
      <c r="L846" s="2"/>
      <c r="M846" s="2"/>
      <c r="N846" s="2"/>
      <c r="O846" s="10"/>
      <c r="P846" s="10"/>
      <c r="Q846" s="10"/>
      <c r="R846" s="10"/>
      <c r="T846" s="19"/>
    </row>
    <row r="847" spans="2:20">
      <c r="B847" s="10"/>
      <c r="C847" s="10"/>
      <c r="D847" s="10"/>
      <c r="E847" s="10"/>
      <c r="F847" s="10"/>
      <c r="G847" s="10"/>
      <c r="H847" s="10"/>
      <c r="I847" s="2"/>
      <c r="J847" s="2"/>
      <c r="K847" s="2"/>
      <c r="L847" s="2"/>
      <c r="M847" s="2"/>
      <c r="N847" s="2"/>
      <c r="O847" s="10"/>
      <c r="P847" s="10"/>
      <c r="Q847" s="10"/>
      <c r="R847" s="10"/>
      <c r="T847" s="19"/>
    </row>
    <row r="848" spans="2:20">
      <c r="B848" s="10"/>
      <c r="C848" s="10"/>
      <c r="D848" s="10"/>
      <c r="E848" s="10"/>
      <c r="F848" s="10"/>
      <c r="G848" s="10"/>
      <c r="H848" s="10"/>
      <c r="I848" s="2"/>
      <c r="J848" s="2"/>
      <c r="K848" s="2"/>
      <c r="L848" s="2"/>
      <c r="M848" s="2"/>
      <c r="N848" s="2"/>
      <c r="O848" s="10"/>
      <c r="P848" s="10"/>
      <c r="Q848" s="10"/>
      <c r="R848" s="10"/>
      <c r="T848" s="19"/>
    </row>
    <row r="849" spans="2:20">
      <c r="B849" s="10"/>
      <c r="C849" s="10"/>
      <c r="D849" s="10"/>
      <c r="E849" s="10"/>
      <c r="F849" s="10"/>
      <c r="G849" s="10"/>
      <c r="H849" s="10"/>
      <c r="I849" s="2"/>
      <c r="J849" s="2"/>
      <c r="K849" s="2"/>
      <c r="L849" s="2"/>
      <c r="M849" s="2"/>
      <c r="N849" s="2"/>
      <c r="O849" s="10"/>
      <c r="P849" s="10"/>
      <c r="Q849" s="10"/>
      <c r="R849" s="10"/>
      <c r="T849" s="19"/>
    </row>
    <row r="850" spans="2:20">
      <c r="B850" s="10"/>
      <c r="C850" s="10"/>
      <c r="D850" s="10"/>
      <c r="E850" s="10"/>
      <c r="F850" s="10"/>
      <c r="G850" s="10"/>
      <c r="H850" s="10"/>
      <c r="I850" s="2"/>
      <c r="J850" s="2"/>
      <c r="K850" s="2"/>
      <c r="L850" s="2"/>
      <c r="M850" s="2"/>
      <c r="N850" s="2"/>
      <c r="O850" s="10"/>
      <c r="P850" s="10"/>
      <c r="Q850" s="10"/>
      <c r="R850" s="10"/>
      <c r="T850" s="19"/>
    </row>
    <row r="851" spans="2:20">
      <c r="B851" s="10"/>
      <c r="C851" s="10"/>
      <c r="D851" s="10"/>
      <c r="E851" s="10"/>
      <c r="F851" s="10"/>
      <c r="G851" s="10"/>
      <c r="H851" s="10"/>
      <c r="I851" s="2"/>
      <c r="J851" s="2"/>
      <c r="K851" s="2"/>
      <c r="L851" s="2"/>
      <c r="M851" s="2"/>
      <c r="N851" s="2"/>
      <c r="O851" s="10"/>
      <c r="P851" s="10"/>
      <c r="Q851" s="10"/>
      <c r="R851" s="10"/>
      <c r="T851" s="19"/>
    </row>
    <row r="852" spans="2:20">
      <c r="B852" s="10"/>
      <c r="C852" s="10"/>
      <c r="D852" s="10"/>
      <c r="E852" s="10"/>
      <c r="F852" s="10"/>
      <c r="G852" s="10"/>
      <c r="H852" s="10"/>
      <c r="I852" s="2"/>
      <c r="J852" s="2"/>
      <c r="K852" s="2"/>
      <c r="L852" s="2"/>
      <c r="M852" s="2"/>
      <c r="N852" s="2"/>
      <c r="O852" s="10"/>
      <c r="P852" s="10"/>
      <c r="Q852" s="10"/>
      <c r="R852" s="10"/>
      <c r="T852" s="19"/>
    </row>
    <row r="853" spans="2:20">
      <c r="B853" s="10"/>
      <c r="C853" s="10"/>
      <c r="D853" s="10"/>
      <c r="E853" s="10"/>
      <c r="F853" s="10"/>
      <c r="G853" s="10"/>
      <c r="H853" s="10"/>
      <c r="I853" s="2"/>
      <c r="J853" s="2"/>
      <c r="K853" s="2"/>
      <c r="L853" s="2"/>
      <c r="M853" s="2"/>
      <c r="N853" s="2"/>
      <c r="O853" s="10"/>
      <c r="P853" s="10"/>
      <c r="Q853" s="10"/>
      <c r="R853" s="10"/>
      <c r="T853" s="19"/>
    </row>
    <row r="854" spans="2:20">
      <c r="B854" s="10"/>
      <c r="C854" s="10"/>
      <c r="D854" s="10"/>
      <c r="E854" s="10"/>
      <c r="F854" s="10"/>
      <c r="G854" s="10"/>
      <c r="H854" s="10"/>
      <c r="I854" s="2"/>
      <c r="J854" s="2"/>
      <c r="K854" s="2"/>
      <c r="L854" s="2"/>
      <c r="M854" s="2"/>
      <c r="N854" s="2"/>
      <c r="O854" s="10"/>
      <c r="P854" s="10"/>
      <c r="Q854" s="10"/>
      <c r="R854" s="10"/>
      <c r="T854" s="19"/>
    </row>
    <row r="855" spans="2:20">
      <c r="B855" s="10"/>
      <c r="C855" s="10"/>
      <c r="D855" s="10"/>
      <c r="E855" s="10"/>
      <c r="F855" s="10"/>
      <c r="G855" s="10"/>
      <c r="H855" s="10"/>
      <c r="I855" s="2"/>
      <c r="J855" s="2"/>
      <c r="K855" s="2"/>
      <c r="L855" s="2"/>
      <c r="M855" s="2"/>
      <c r="N855" s="2"/>
      <c r="O855" s="10"/>
      <c r="P855" s="10"/>
      <c r="Q855" s="10"/>
      <c r="R855" s="10"/>
      <c r="T855" s="19"/>
    </row>
    <row r="856" spans="2:20">
      <c r="B856" s="10"/>
      <c r="C856" s="10"/>
      <c r="D856" s="10"/>
      <c r="E856" s="10"/>
      <c r="F856" s="10"/>
      <c r="G856" s="10"/>
      <c r="H856" s="10"/>
      <c r="I856" s="2"/>
      <c r="J856" s="2"/>
      <c r="K856" s="2"/>
      <c r="L856" s="2"/>
      <c r="M856" s="2"/>
      <c r="N856" s="2"/>
      <c r="O856" s="10"/>
      <c r="P856" s="10"/>
      <c r="Q856" s="10"/>
      <c r="R856" s="10"/>
      <c r="T856" s="19"/>
    </row>
    <row r="857" spans="2:20">
      <c r="B857" s="10"/>
      <c r="C857" s="10"/>
      <c r="D857" s="10"/>
      <c r="E857" s="10"/>
      <c r="F857" s="10"/>
      <c r="G857" s="10"/>
      <c r="H857" s="10"/>
      <c r="I857" s="2"/>
      <c r="J857" s="2"/>
      <c r="K857" s="2"/>
      <c r="L857" s="2"/>
      <c r="M857" s="2"/>
      <c r="N857" s="2"/>
      <c r="O857" s="10"/>
      <c r="P857" s="10"/>
      <c r="Q857" s="10"/>
      <c r="R857" s="10"/>
      <c r="T857" s="19"/>
    </row>
    <row r="858" spans="2:20">
      <c r="B858" s="10"/>
      <c r="C858" s="10"/>
      <c r="D858" s="10"/>
      <c r="E858" s="10"/>
      <c r="F858" s="10"/>
      <c r="G858" s="10"/>
      <c r="H858" s="10"/>
      <c r="I858" s="2"/>
      <c r="J858" s="2"/>
      <c r="K858" s="2"/>
      <c r="L858" s="2"/>
      <c r="M858" s="2"/>
      <c r="N858" s="2"/>
      <c r="O858" s="10"/>
      <c r="P858" s="10"/>
      <c r="Q858" s="10"/>
      <c r="R858" s="10"/>
      <c r="T858" s="19"/>
    </row>
    <row r="859" spans="2:20">
      <c r="B859" s="10"/>
      <c r="C859" s="10"/>
      <c r="D859" s="10"/>
      <c r="E859" s="10"/>
      <c r="F859" s="10"/>
      <c r="G859" s="10"/>
      <c r="H859" s="10"/>
      <c r="I859" s="2"/>
      <c r="J859" s="2"/>
      <c r="K859" s="2"/>
      <c r="L859" s="2"/>
      <c r="M859" s="2"/>
      <c r="N859" s="2"/>
      <c r="O859" s="10"/>
      <c r="P859" s="10"/>
      <c r="Q859" s="10"/>
      <c r="R859" s="10"/>
      <c r="T859" s="19"/>
    </row>
    <row r="860" spans="2:20">
      <c r="B860" s="10"/>
      <c r="C860" s="10"/>
      <c r="D860" s="10"/>
      <c r="E860" s="10"/>
      <c r="F860" s="10"/>
      <c r="G860" s="10"/>
      <c r="H860" s="10"/>
      <c r="I860" s="2"/>
      <c r="J860" s="2"/>
      <c r="K860" s="2"/>
      <c r="L860" s="2"/>
      <c r="M860" s="2"/>
      <c r="N860" s="2"/>
      <c r="O860" s="10"/>
      <c r="P860" s="10"/>
      <c r="Q860" s="10"/>
      <c r="R860" s="10"/>
      <c r="T860" s="19"/>
    </row>
    <row r="861" spans="2:20">
      <c r="B861" s="10"/>
      <c r="C861" s="10"/>
      <c r="D861" s="10"/>
      <c r="E861" s="10"/>
      <c r="F861" s="10"/>
      <c r="G861" s="10"/>
      <c r="H861" s="10"/>
      <c r="I861" s="2"/>
      <c r="J861" s="2"/>
      <c r="K861" s="2"/>
      <c r="L861" s="2"/>
      <c r="M861" s="2"/>
      <c r="N861" s="2"/>
      <c r="O861" s="10"/>
      <c r="P861" s="10"/>
      <c r="Q861" s="10"/>
      <c r="R861" s="10"/>
      <c r="T861" s="19"/>
    </row>
    <row r="862" spans="2:20">
      <c r="B862" s="10"/>
      <c r="C862" s="10"/>
      <c r="D862" s="10"/>
      <c r="E862" s="10"/>
      <c r="F862" s="10"/>
      <c r="G862" s="10"/>
      <c r="H862" s="10"/>
      <c r="I862" s="2"/>
      <c r="J862" s="2"/>
      <c r="K862" s="2"/>
      <c r="L862" s="2"/>
      <c r="M862" s="2"/>
      <c r="N862" s="2"/>
      <c r="O862" s="10"/>
      <c r="P862" s="10"/>
      <c r="Q862" s="10"/>
      <c r="R862" s="10"/>
      <c r="T862" s="19"/>
    </row>
    <row r="863" spans="2:20">
      <c r="B863" s="10"/>
      <c r="C863" s="10"/>
      <c r="D863" s="10"/>
      <c r="E863" s="10"/>
      <c r="F863" s="10"/>
      <c r="G863" s="10"/>
      <c r="H863" s="10"/>
      <c r="I863" s="2"/>
      <c r="J863" s="2"/>
      <c r="K863" s="2"/>
      <c r="L863" s="2"/>
      <c r="M863" s="2"/>
      <c r="N863" s="2"/>
      <c r="O863" s="10"/>
      <c r="P863" s="10"/>
      <c r="Q863" s="10"/>
      <c r="R863" s="10"/>
      <c r="T863" s="19"/>
    </row>
    <row r="864" spans="2:20">
      <c r="B864" s="10"/>
      <c r="C864" s="10"/>
      <c r="D864" s="10"/>
      <c r="E864" s="10"/>
      <c r="F864" s="10"/>
      <c r="G864" s="10"/>
      <c r="H864" s="10"/>
      <c r="I864" s="2"/>
      <c r="J864" s="2"/>
      <c r="K864" s="2"/>
      <c r="L864" s="2"/>
      <c r="M864" s="2"/>
      <c r="N864" s="2"/>
      <c r="O864" s="10"/>
      <c r="P864" s="10"/>
      <c r="Q864" s="10"/>
      <c r="R864" s="10"/>
      <c r="T864" s="19"/>
    </row>
    <row r="865" spans="2:20">
      <c r="B865" s="10"/>
      <c r="C865" s="10"/>
      <c r="D865" s="10"/>
      <c r="E865" s="10"/>
      <c r="F865" s="10"/>
      <c r="G865" s="10"/>
      <c r="H865" s="10"/>
      <c r="I865" s="2"/>
      <c r="J865" s="2"/>
      <c r="K865" s="2"/>
      <c r="L865" s="2"/>
      <c r="M865" s="2"/>
      <c r="N865" s="2"/>
      <c r="O865" s="10"/>
      <c r="P865" s="10"/>
      <c r="Q865" s="10"/>
      <c r="R865" s="10"/>
      <c r="T865" s="19"/>
    </row>
    <row r="866" spans="2:20">
      <c r="B866" s="10"/>
      <c r="C866" s="10"/>
      <c r="D866" s="10"/>
      <c r="E866" s="10"/>
      <c r="F866" s="10"/>
      <c r="G866" s="10"/>
      <c r="H866" s="10"/>
      <c r="I866" s="2"/>
      <c r="J866" s="2"/>
      <c r="K866" s="2"/>
      <c r="L866" s="2"/>
      <c r="M866" s="2"/>
      <c r="N866" s="2"/>
      <c r="O866" s="10"/>
      <c r="P866" s="10"/>
      <c r="Q866" s="10"/>
      <c r="R866" s="10"/>
      <c r="T866" s="19"/>
    </row>
    <row r="867" spans="2:20">
      <c r="B867" s="10"/>
      <c r="C867" s="10"/>
      <c r="D867" s="10"/>
      <c r="E867" s="10"/>
      <c r="F867" s="10"/>
      <c r="G867" s="10"/>
      <c r="H867" s="10"/>
      <c r="I867" s="2"/>
      <c r="J867" s="2"/>
      <c r="K867" s="2"/>
      <c r="L867" s="2"/>
      <c r="M867" s="2"/>
      <c r="N867" s="2"/>
      <c r="O867" s="10"/>
      <c r="P867" s="10"/>
      <c r="Q867" s="10"/>
      <c r="R867" s="10"/>
      <c r="T867" s="19"/>
    </row>
    <row r="868" spans="2:20">
      <c r="B868" s="10"/>
      <c r="C868" s="10"/>
      <c r="D868" s="10"/>
      <c r="E868" s="10"/>
      <c r="F868" s="10"/>
      <c r="G868" s="10"/>
      <c r="H868" s="10"/>
      <c r="I868" s="2"/>
      <c r="J868" s="2"/>
      <c r="K868" s="2"/>
      <c r="L868" s="2"/>
      <c r="M868" s="2"/>
      <c r="N868" s="2"/>
      <c r="O868" s="10"/>
      <c r="P868" s="10"/>
      <c r="Q868" s="10"/>
      <c r="R868" s="10"/>
      <c r="T868" s="19"/>
    </row>
    <row r="869" spans="2:20">
      <c r="B869" s="10"/>
      <c r="C869" s="10"/>
      <c r="D869" s="10"/>
      <c r="E869" s="10"/>
      <c r="F869" s="10"/>
      <c r="G869" s="10"/>
      <c r="H869" s="10"/>
      <c r="I869" s="2"/>
      <c r="J869" s="2"/>
      <c r="K869" s="2"/>
      <c r="L869" s="2"/>
      <c r="M869" s="2"/>
      <c r="N869" s="2"/>
      <c r="O869" s="10"/>
      <c r="P869" s="10"/>
      <c r="Q869" s="10"/>
      <c r="R869" s="10"/>
      <c r="T869" s="19"/>
    </row>
    <row r="870" spans="2:20">
      <c r="B870" s="10"/>
      <c r="C870" s="10"/>
      <c r="D870" s="10"/>
      <c r="E870" s="10"/>
      <c r="F870" s="10"/>
      <c r="G870" s="10"/>
      <c r="H870" s="10"/>
      <c r="I870" s="2"/>
      <c r="J870" s="2"/>
      <c r="K870" s="2"/>
      <c r="L870" s="2"/>
      <c r="M870" s="2"/>
      <c r="N870" s="2"/>
      <c r="O870" s="10"/>
      <c r="P870" s="10"/>
      <c r="Q870" s="10"/>
      <c r="R870" s="10"/>
      <c r="T870" s="19"/>
    </row>
    <row r="871" spans="2:20">
      <c r="B871" s="10"/>
      <c r="C871" s="10"/>
      <c r="D871" s="10"/>
      <c r="E871" s="10"/>
      <c r="F871" s="10"/>
      <c r="G871" s="10"/>
      <c r="H871" s="10"/>
      <c r="I871" s="2"/>
      <c r="J871" s="2"/>
      <c r="K871" s="2"/>
      <c r="L871" s="2"/>
      <c r="M871" s="2"/>
      <c r="N871" s="2"/>
      <c r="O871" s="10"/>
      <c r="P871" s="10"/>
      <c r="Q871" s="10"/>
      <c r="R871" s="10"/>
      <c r="T871" s="19"/>
    </row>
    <row r="872" spans="2:20">
      <c r="B872" s="10"/>
      <c r="C872" s="10"/>
      <c r="D872" s="10"/>
      <c r="E872" s="10"/>
      <c r="F872" s="10"/>
      <c r="G872" s="10"/>
      <c r="H872" s="10"/>
      <c r="I872" s="2"/>
      <c r="J872" s="2"/>
      <c r="K872" s="2"/>
      <c r="L872" s="2"/>
      <c r="M872" s="2"/>
      <c r="N872" s="2"/>
      <c r="O872" s="10"/>
      <c r="P872" s="10"/>
      <c r="Q872" s="10"/>
      <c r="R872" s="10"/>
      <c r="T872" s="19"/>
    </row>
    <row r="873" spans="2:20">
      <c r="B873" s="10"/>
      <c r="C873" s="10"/>
      <c r="D873" s="10"/>
      <c r="E873" s="10"/>
      <c r="F873" s="10"/>
      <c r="G873" s="10"/>
      <c r="H873" s="10"/>
      <c r="I873" s="2"/>
      <c r="J873" s="2"/>
      <c r="K873" s="2"/>
      <c r="L873" s="2"/>
      <c r="M873" s="2"/>
      <c r="N873" s="2"/>
      <c r="O873" s="10"/>
      <c r="P873" s="10"/>
      <c r="Q873" s="10"/>
      <c r="R873" s="10"/>
      <c r="T873" s="19"/>
    </row>
    <row r="874" spans="2:20">
      <c r="B874" s="10"/>
      <c r="C874" s="10"/>
      <c r="D874" s="10"/>
      <c r="E874" s="10"/>
      <c r="F874" s="10"/>
      <c r="G874" s="10"/>
      <c r="H874" s="10"/>
      <c r="I874" s="2"/>
      <c r="J874" s="2"/>
      <c r="K874" s="2"/>
      <c r="L874" s="2"/>
      <c r="M874" s="2"/>
      <c r="N874" s="2"/>
      <c r="O874" s="10"/>
      <c r="P874" s="10"/>
      <c r="Q874" s="10"/>
      <c r="R874" s="10"/>
      <c r="T874" s="19"/>
    </row>
    <row r="875" spans="2:20">
      <c r="B875" s="10"/>
      <c r="C875" s="10"/>
      <c r="D875" s="10"/>
      <c r="E875" s="10"/>
      <c r="F875" s="10"/>
      <c r="G875" s="10"/>
      <c r="H875" s="10"/>
      <c r="I875" s="2"/>
      <c r="J875" s="2"/>
      <c r="K875" s="2"/>
      <c r="L875" s="2"/>
      <c r="M875" s="2"/>
      <c r="N875" s="2"/>
      <c r="O875" s="10"/>
      <c r="P875" s="10"/>
      <c r="Q875" s="10"/>
      <c r="R875" s="10"/>
      <c r="T875" s="19"/>
    </row>
    <row r="876" spans="2:20">
      <c r="B876" s="10"/>
      <c r="C876" s="10"/>
      <c r="D876" s="10"/>
      <c r="E876" s="10"/>
      <c r="F876" s="10"/>
      <c r="G876" s="10"/>
      <c r="H876" s="10"/>
      <c r="I876" s="2"/>
      <c r="J876" s="2"/>
      <c r="K876" s="2"/>
      <c r="L876" s="2"/>
      <c r="M876" s="2"/>
      <c r="N876" s="2"/>
      <c r="O876" s="10"/>
      <c r="P876" s="10"/>
      <c r="Q876" s="10"/>
      <c r="R876" s="10"/>
      <c r="T876" s="19"/>
    </row>
    <row r="877" spans="2:20">
      <c r="B877" s="10"/>
      <c r="C877" s="10"/>
      <c r="D877" s="10"/>
      <c r="E877" s="10"/>
      <c r="F877" s="10"/>
      <c r="G877" s="10"/>
      <c r="H877" s="10"/>
      <c r="I877" s="2"/>
      <c r="J877" s="2"/>
      <c r="K877" s="2"/>
      <c r="L877" s="2"/>
      <c r="M877" s="2"/>
      <c r="N877" s="2"/>
      <c r="O877" s="10"/>
      <c r="P877" s="10"/>
      <c r="Q877" s="10"/>
      <c r="R877" s="10"/>
      <c r="T877" s="19"/>
    </row>
    <row r="878" spans="2:20">
      <c r="B878" s="10"/>
      <c r="C878" s="10"/>
      <c r="D878" s="10"/>
      <c r="E878" s="10"/>
      <c r="F878" s="10"/>
      <c r="G878" s="10"/>
      <c r="H878" s="10"/>
      <c r="I878" s="2"/>
      <c r="J878" s="2"/>
      <c r="K878" s="2"/>
      <c r="L878" s="2"/>
      <c r="M878" s="2"/>
      <c r="N878" s="2"/>
      <c r="O878" s="10"/>
      <c r="P878" s="10"/>
      <c r="Q878" s="10"/>
      <c r="R878" s="10"/>
      <c r="T878" s="19"/>
    </row>
    <row r="879" spans="2:20">
      <c r="B879" s="10"/>
      <c r="C879" s="10"/>
      <c r="D879" s="10"/>
      <c r="E879" s="10"/>
      <c r="F879" s="10"/>
      <c r="G879" s="10"/>
      <c r="H879" s="10"/>
      <c r="I879" s="2"/>
      <c r="J879" s="2"/>
      <c r="K879" s="2"/>
      <c r="L879" s="2"/>
      <c r="M879" s="2"/>
      <c r="N879" s="2"/>
      <c r="O879" s="10"/>
      <c r="P879" s="10"/>
      <c r="Q879" s="10"/>
      <c r="R879" s="10"/>
      <c r="T879" s="19"/>
    </row>
    <row r="880" spans="2:20">
      <c r="B880" s="10"/>
      <c r="C880" s="10"/>
      <c r="D880" s="10"/>
      <c r="E880" s="10"/>
      <c r="F880" s="10"/>
      <c r="G880" s="10"/>
      <c r="H880" s="10"/>
      <c r="I880" s="2"/>
      <c r="J880" s="2"/>
      <c r="K880" s="2"/>
      <c r="L880" s="2"/>
      <c r="M880" s="2"/>
      <c r="N880" s="2"/>
      <c r="O880" s="10"/>
      <c r="P880" s="10"/>
      <c r="Q880" s="10"/>
      <c r="R880" s="10"/>
      <c r="T880" s="19"/>
    </row>
    <row r="881" spans="2:20">
      <c r="B881" s="10"/>
      <c r="C881" s="10"/>
      <c r="D881" s="10"/>
      <c r="E881" s="10"/>
      <c r="F881" s="10"/>
      <c r="G881" s="10"/>
      <c r="H881" s="10"/>
      <c r="I881" s="2"/>
      <c r="J881" s="2"/>
      <c r="K881" s="2"/>
      <c r="L881" s="2"/>
      <c r="M881" s="2"/>
      <c r="N881" s="2"/>
      <c r="O881" s="10"/>
      <c r="P881" s="10"/>
      <c r="Q881" s="10"/>
      <c r="R881" s="10"/>
      <c r="T881" s="19"/>
    </row>
    <row r="882" spans="2:20">
      <c r="B882" s="10"/>
      <c r="C882" s="10"/>
      <c r="D882" s="10"/>
      <c r="E882" s="10"/>
      <c r="F882" s="10"/>
      <c r="G882" s="10"/>
      <c r="H882" s="10"/>
      <c r="I882" s="2"/>
      <c r="J882" s="2"/>
      <c r="K882" s="2"/>
      <c r="L882" s="2"/>
      <c r="M882" s="2"/>
      <c r="N882" s="2"/>
      <c r="O882" s="10"/>
      <c r="P882" s="10"/>
      <c r="Q882" s="10"/>
      <c r="R882" s="10"/>
      <c r="T882" s="19"/>
    </row>
    <row r="883" spans="2:20">
      <c r="B883" s="10"/>
      <c r="C883" s="10"/>
      <c r="D883" s="10"/>
      <c r="E883" s="10"/>
      <c r="F883" s="10"/>
      <c r="G883" s="10"/>
      <c r="H883" s="10"/>
      <c r="I883" s="2"/>
      <c r="J883" s="2"/>
      <c r="K883" s="2"/>
      <c r="L883" s="2"/>
      <c r="M883" s="2"/>
      <c r="N883" s="2"/>
      <c r="O883" s="10"/>
      <c r="P883" s="10"/>
      <c r="Q883" s="10"/>
      <c r="R883" s="10"/>
      <c r="T883" s="19"/>
    </row>
    <row r="884" spans="2:20">
      <c r="B884" s="10"/>
      <c r="C884" s="10"/>
      <c r="D884" s="10"/>
      <c r="E884" s="10"/>
      <c r="F884" s="10"/>
      <c r="G884" s="10"/>
      <c r="H884" s="10"/>
      <c r="I884" s="2"/>
      <c r="J884" s="2"/>
      <c r="K884" s="2"/>
      <c r="L884" s="2"/>
      <c r="M884" s="2"/>
      <c r="N884" s="2"/>
      <c r="O884" s="10"/>
      <c r="P884" s="10"/>
      <c r="Q884" s="10"/>
      <c r="R884" s="10"/>
      <c r="T884" s="19"/>
    </row>
    <row r="885" spans="2:20">
      <c r="B885" s="10"/>
      <c r="C885" s="10"/>
      <c r="D885" s="10"/>
      <c r="E885" s="10"/>
      <c r="F885" s="10"/>
      <c r="G885" s="10"/>
      <c r="H885" s="10"/>
      <c r="I885" s="2"/>
      <c r="J885" s="2"/>
      <c r="K885" s="2"/>
      <c r="L885" s="2"/>
      <c r="M885" s="2"/>
      <c r="N885" s="2"/>
      <c r="O885" s="10"/>
      <c r="P885" s="10"/>
      <c r="Q885" s="10"/>
      <c r="R885" s="10"/>
      <c r="T885" s="19"/>
    </row>
    <row r="886" spans="2:20">
      <c r="B886" s="10"/>
      <c r="C886" s="10"/>
      <c r="D886" s="10"/>
      <c r="E886" s="10"/>
      <c r="F886" s="10"/>
      <c r="G886" s="10"/>
      <c r="H886" s="10"/>
      <c r="I886" s="2"/>
      <c r="J886" s="2"/>
      <c r="K886" s="2"/>
      <c r="L886" s="2"/>
      <c r="M886" s="2"/>
      <c r="N886" s="2"/>
      <c r="O886" s="10"/>
      <c r="P886" s="10"/>
      <c r="Q886" s="10"/>
      <c r="R886" s="10"/>
      <c r="T886" s="19"/>
    </row>
    <row r="887" spans="2:20">
      <c r="B887" s="10"/>
      <c r="C887" s="10"/>
      <c r="D887" s="10"/>
      <c r="E887" s="10"/>
      <c r="F887" s="10"/>
      <c r="G887" s="10"/>
      <c r="H887" s="10"/>
      <c r="I887" s="2"/>
      <c r="J887" s="2"/>
      <c r="K887" s="2"/>
      <c r="L887" s="2"/>
      <c r="M887" s="2"/>
      <c r="N887" s="2"/>
      <c r="O887" s="10"/>
      <c r="P887" s="10"/>
      <c r="Q887" s="10"/>
      <c r="R887" s="10"/>
      <c r="T887" s="19"/>
    </row>
    <row r="888" spans="2:20">
      <c r="B888" s="10"/>
      <c r="C888" s="10"/>
      <c r="D888" s="10"/>
      <c r="E888" s="10"/>
      <c r="F888" s="10"/>
      <c r="G888" s="10"/>
      <c r="H888" s="10"/>
      <c r="I888" s="2"/>
      <c r="J888" s="2"/>
      <c r="K888" s="2"/>
      <c r="L888" s="2"/>
      <c r="M888" s="2"/>
      <c r="N888" s="2"/>
      <c r="O888" s="10"/>
      <c r="P888" s="10"/>
      <c r="Q888" s="10"/>
      <c r="R888" s="10"/>
      <c r="T888" s="19"/>
    </row>
    <row r="889" spans="2:20">
      <c r="B889" s="10"/>
      <c r="C889" s="10"/>
      <c r="D889" s="10"/>
      <c r="E889" s="10"/>
      <c r="F889" s="10"/>
      <c r="G889" s="10"/>
      <c r="H889" s="10"/>
      <c r="I889" s="2"/>
      <c r="J889" s="2"/>
      <c r="K889" s="2"/>
      <c r="L889" s="2"/>
      <c r="M889" s="2"/>
      <c r="N889" s="2"/>
      <c r="O889" s="10"/>
      <c r="P889" s="10"/>
      <c r="Q889" s="10"/>
      <c r="R889" s="10"/>
      <c r="T889" s="19"/>
    </row>
    <row r="890" spans="2:20">
      <c r="B890" s="10"/>
      <c r="C890" s="10"/>
      <c r="D890" s="10"/>
      <c r="E890" s="10"/>
      <c r="F890" s="10"/>
      <c r="G890" s="10"/>
      <c r="H890" s="10"/>
      <c r="I890" s="2"/>
      <c r="J890" s="2"/>
      <c r="K890" s="2"/>
      <c r="L890" s="2"/>
      <c r="M890" s="2"/>
      <c r="N890" s="2"/>
      <c r="O890" s="10"/>
      <c r="P890" s="10"/>
      <c r="Q890" s="10"/>
      <c r="R890" s="10"/>
      <c r="T890" s="19"/>
    </row>
    <row r="891" spans="2:20">
      <c r="B891" s="10"/>
      <c r="C891" s="10"/>
      <c r="D891" s="10"/>
      <c r="E891" s="10"/>
      <c r="F891" s="10"/>
      <c r="G891" s="10"/>
      <c r="H891" s="10"/>
      <c r="I891" s="2"/>
      <c r="J891" s="2"/>
      <c r="K891" s="2"/>
      <c r="L891" s="2"/>
      <c r="M891" s="2"/>
      <c r="N891" s="2"/>
      <c r="O891" s="10"/>
      <c r="P891" s="10"/>
      <c r="Q891" s="10"/>
      <c r="R891" s="10"/>
      <c r="T891" s="19"/>
    </row>
    <row r="892" spans="2:20">
      <c r="B892" s="10"/>
      <c r="C892" s="10"/>
      <c r="D892" s="10"/>
      <c r="E892" s="10"/>
      <c r="F892" s="10"/>
      <c r="G892" s="10"/>
      <c r="H892" s="10"/>
      <c r="I892" s="2"/>
      <c r="J892" s="2"/>
      <c r="K892" s="2"/>
      <c r="L892" s="2"/>
      <c r="M892" s="2"/>
      <c r="N892" s="2"/>
      <c r="O892" s="10"/>
      <c r="P892" s="10"/>
      <c r="Q892" s="10"/>
      <c r="R892" s="10"/>
      <c r="T892" s="19"/>
    </row>
    <row r="893" spans="2:20">
      <c r="B893" s="10"/>
      <c r="C893" s="10"/>
      <c r="D893" s="10"/>
      <c r="E893" s="10"/>
      <c r="F893" s="10"/>
      <c r="G893" s="10"/>
      <c r="H893" s="10"/>
      <c r="I893" s="2"/>
      <c r="J893" s="2"/>
      <c r="K893" s="2"/>
      <c r="L893" s="2"/>
      <c r="M893" s="2"/>
      <c r="N893" s="2"/>
      <c r="O893" s="10"/>
      <c r="P893" s="10"/>
      <c r="Q893" s="10"/>
      <c r="R893" s="10"/>
      <c r="T893" s="19"/>
    </row>
    <row r="894" spans="2:20">
      <c r="B894" s="10"/>
      <c r="C894" s="10"/>
      <c r="D894" s="10"/>
      <c r="E894" s="10"/>
      <c r="F894" s="10"/>
      <c r="G894" s="10"/>
      <c r="H894" s="10"/>
      <c r="I894" s="2"/>
      <c r="J894" s="2"/>
      <c r="K894" s="2"/>
      <c r="L894" s="2"/>
      <c r="M894" s="2"/>
      <c r="N894" s="2"/>
      <c r="O894" s="10"/>
      <c r="P894" s="10"/>
      <c r="Q894" s="10"/>
      <c r="R894" s="10"/>
      <c r="T894" s="19"/>
    </row>
    <row r="895" spans="2:20">
      <c r="B895" s="10"/>
      <c r="C895" s="10"/>
      <c r="D895" s="10"/>
      <c r="E895" s="10"/>
      <c r="F895" s="10"/>
      <c r="G895" s="10"/>
      <c r="H895" s="10"/>
      <c r="I895" s="2"/>
      <c r="J895" s="2"/>
      <c r="K895" s="2"/>
      <c r="L895" s="2"/>
      <c r="M895" s="2"/>
      <c r="N895" s="2"/>
      <c r="O895" s="10"/>
      <c r="P895" s="10"/>
      <c r="Q895" s="10"/>
      <c r="R895" s="10"/>
      <c r="T895" s="19"/>
    </row>
    <row r="896" spans="2:20">
      <c r="B896" s="10"/>
      <c r="C896" s="10"/>
      <c r="D896" s="10"/>
      <c r="E896" s="10"/>
      <c r="F896" s="10"/>
      <c r="G896" s="10"/>
      <c r="H896" s="10"/>
      <c r="I896" s="2"/>
      <c r="J896" s="2"/>
      <c r="K896" s="2"/>
      <c r="L896" s="2"/>
      <c r="M896" s="2"/>
      <c r="N896" s="2"/>
      <c r="O896" s="10"/>
      <c r="P896" s="10"/>
      <c r="Q896" s="10"/>
      <c r="R896" s="10"/>
      <c r="T896" s="19"/>
    </row>
    <row r="897" spans="2:20">
      <c r="B897" s="10"/>
      <c r="C897" s="10"/>
      <c r="D897" s="10"/>
      <c r="E897" s="10"/>
      <c r="F897" s="10"/>
      <c r="G897" s="10"/>
      <c r="H897" s="10"/>
      <c r="I897" s="2"/>
      <c r="J897" s="2"/>
      <c r="K897" s="2"/>
      <c r="L897" s="2"/>
      <c r="M897" s="2"/>
      <c r="N897" s="2"/>
      <c r="O897" s="10"/>
      <c r="P897" s="10"/>
      <c r="Q897" s="10"/>
      <c r="R897" s="10"/>
      <c r="T897" s="19"/>
    </row>
    <row r="898" spans="2:20">
      <c r="B898" s="10"/>
      <c r="C898" s="10"/>
      <c r="D898" s="10"/>
      <c r="E898" s="10"/>
      <c r="F898" s="10"/>
      <c r="G898" s="10"/>
      <c r="H898" s="10"/>
      <c r="I898" s="2"/>
      <c r="J898" s="2"/>
      <c r="K898" s="2"/>
      <c r="L898" s="2"/>
      <c r="M898" s="2"/>
      <c r="N898" s="2"/>
      <c r="O898" s="10"/>
      <c r="P898" s="10"/>
      <c r="Q898" s="10"/>
      <c r="R898" s="10"/>
      <c r="T898" s="19"/>
    </row>
    <row r="899" spans="2:20">
      <c r="B899" s="10"/>
      <c r="C899" s="10"/>
      <c r="D899" s="10"/>
      <c r="E899" s="10"/>
      <c r="F899" s="10"/>
      <c r="G899" s="10"/>
      <c r="H899" s="10"/>
      <c r="I899" s="2"/>
      <c r="J899" s="2"/>
      <c r="K899" s="2"/>
      <c r="L899" s="2"/>
      <c r="M899" s="2"/>
      <c r="N899" s="2"/>
      <c r="O899" s="10"/>
      <c r="P899" s="10"/>
      <c r="Q899" s="10"/>
      <c r="R899" s="10"/>
      <c r="T899" s="19"/>
    </row>
    <row r="900" spans="2:20">
      <c r="B900" s="10"/>
      <c r="C900" s="10"/>
      <c r="D900" s="10"/>
      <c r="E900" s="10"/>
      <c r="F900" s="10"/>
      <c r="G900" s="10"/>
      <c r="H900" s="10"/>
      <c r="I900" s="2"/>
      <c r="J900" s="2"/>
      <c r="K900" s="2"/>
      <c r="L900" s="2"/>
      <c r="M900" s="2"/>
      <c r="N900" s="2"/>
      <c r="O900" s="10"/>
      <c r="P900" s="10"/>
      <c r="Q900" s="10"/>
      <c r="R900" s="10"/>
      <c r="T900" s="19"/>
    </row>
    <row r="901" spans="2:20">
      <c r="B901" s="10"/>
      <c r="C901" s="10"/>
      <c r="D901" s="10"/>
      <c r="E901" s="10"/>
      <c r="F901" s="10"/>
      <c r="G901" s="10"/>
      <c r="H901" s="10"/>
      <c r="I901" s="2"/>
      <c r="J901" s="2"/>
      <c r="K901" s="2"/>
      <c r="L901" s="2"/>
      <c r="M901" s="2"/>
      <c r="N901" s="2"/>
      <c r="O901" s="10"/>
      <c r="P901" s="10"/>
      <c r="Q901" s="10"/>
      <c r="R901" s="10"/>
      <c r="T901" s="19"/>
    </row>
    <row r="902" spans="2:20">
      <c r="B902" s="10"/>
      <c r="C902" s="10"/>
      <c r="D902" s="10"/>
      <c r="E902" s="10"/>
      <c r="F902" s="10"/>
      <c r="G902" s="10"/>
      <c r="H902" s="10"/>
      <c r="I902" s="2"/>
      <c r="J902" s="2"/>
      <c r="K902" s="2"/>
      <c r="L902" s="2"/>
      <c r="M902" s="2"/>
      <c r="N902" s="2"/>
      <c r="O902" s="10"/>
      <c r="P902" s="10"/>
      <c r="Q902" s="10"/>
      <c r="R902" s="10"/>
      <c r="T902" s="19"/>
    </row>
    <row r="903" spans="2:20">
      <c r="B903" s="10"/>
      <c r="C903" s="10"/>
      <c r="D903" s="10"/>
      <c r="E903" s="10"/>
      <c r="F903" s="10"/>
      <c r="G903" s="10"/>
      <c r="H903" s="10"/>
      <c r="I903" s="2"/>
      <c r="J903" s="2"/>
      <c r="K903" s="2"/>
      <c r="L903" s="2"/>
      <c r="M903" s="2"/>
      <c r="N903" s="2"/>
      <c r="O903" s="10"/>
      <c r="P903" s="10"/>
      <c r="Q903" s="10"/>
      <c r="R903" s="10"/>
      <c r="T903" s="19"/>
    </row>
    <row r="904" spans="2:20">
      <c r="B904" s="10"/>
      <c r="C904" s="10"/>
      <c r="D904" s="10"/>
      <c r="E904" s="10"/>
      <c r="F904" s="10"/>
      <c r="G904" s="10"/>
      <c r="H904" s="10"/>
      <c r="I904" s="2"/>
      <c r="J904" s="2"/>
      <c r="K904" s="2"/>
      <c r="L904" s="2"/>
      <c r="M904" s="2"/>
      <c r="N904" s="2"/>
      <c r="O904" s="10"/>
      <c r="P904" s="10"/>
      <c r="Q904" s="10"/>
      <c r="R904" s="10"/>
      <c r="T904" s="19"/>
    </row>
    <row r="905" spans="2:20">
      <c r="B905" s="10"/>
      <c r="C905" s="10"/>
      <c r="D905" s="10"/>
      <c r="E905" s="10"/>
      <c r="F905" s="10"/>
      <c r="G905" s="10"/>
      <c r="H905" s="10"/>
      <c r="I905" s="2"/>
      <c r="J905" s="2"/>
      <c r="K905" s="2"/>
      <c r="L905" s="2"/>
      <c r="M905" s="2"/>
      <c r="N905" s="2"/>
      <c r="O905" s="10"/>
      <c r="P905" s="10"/>
      <c r="Q905" s="10"/>
      <c r="R905" s="10"/>
      <c r="T905" s="19"/>
    </row>
    <row r="906" spans="2:20">
      <c r="B906" s="10"/>
      <c r="C906" s="10"/>
      <c r="D906" s="10"/>
      <c r="E906" s="10"/>
      <c r="F906" s="10"/>
      <c r="G906" s="10"/>
      <c r="H906" s="10"/>
      <c r="I906" s="2"/>
      <c r="J906" s="2"/>
      <c r="K906" s="2"/>
      <c r="L906" s="2"/>
      <c r="M906" s="2"/>
      <c r="N906" s="2"/>
      <c r="O906" s="10"/>
      <c r="P906" s="10"/>
      <c r="Q906" s="10"/>
      <c r="R906" s="10"/>
      <c r="T906" s="19"/>
    </row>
    <row r="907" spans="2:20">
      <c r="B907" s="10"/>
      <c r="C907" s="10"/>
      <c r="D907" s="10"/>
      <c r="E907" s="10"/>
      <c r="F907" s="10"/>
      <c r="G907" s="10"/>
      <c r="H907" s="10"/>
      <c r="I907" s="2"/>
      <c r="J907" s="2"/>
      <c r="K907" s="2"/>
      <c r="L907" s="2"/>
      <c r="M907" s="2"/>
      <c r="N907" s="2"/>
      <c r="O907" s="10"/>
      <c r="P907" s="10"/>
      <c r="Q907" s="10"/>
      <c r="R907" s="10"/>
      <c r="T907" s="19"/>
    </row>
    <row r="908" spans="2:20">
      <c r="B908" s="10"/>
      <c r="C908" s="10"/>
      <c r="D908" s="10"/>
      <c r="E908" s="10"/>
      <c r="F908" s="10"/>
      <c r="G908" s="10"/>
      <c r="H908" s="10"/>
      <c r="I908" s="2"/>
      <c r="J908" s="2"/>
      <c r="K908" s="2"/>
      <c r="L908" s="2"/>
      <c r="M908" s="2"/>
      <c r="N908" s="2"/>
      <c r="O908" s="10"/>
      <c r="P908" s="10"/>
      <c r="Q908" s="10"/>
      <c r="R908" s="10"/>
      <c r="T908" s="19"/>
    </row>
    <row r="909" spans="2:20">
      <c r="B909" s="10"/>
      <c r="C909" s="10"/>
      <c r="D909" s="10"/>
      <c r="E909" s="10"/>
      <c r="F909" s="10"/>
      <c r="G909" s="10"/>
      <c r="H909" s="10"/>
      <c r="I909" s="2"/>
      <c r="J909" s="2"/>
      <c r="K909" s="2"/>
      <c r="L909" s="2"/>
      <c r="M909" s="2"/>
      <c r="N909" s="2"/>
      <c r="O909" s="10"/>
      <c r="P909" s="10"/>
      <c r="Q909" s="10"/>
      <c r="R909" s="10"/>
      <c r="T909" s="19"/>
    </row>
    <row r="910" spans="2:20">
      <c r="B910" s="10"/>
      <c r="C910" s="10"/>
      <c r="D910" s="10"/>
      <c r="E910" s="10"/>
      <c r="F910" s="10"/>
      <c r="G910" s="10"/>
      <c r="H910" s="10"/>
      <c r="I910" s="2"/>
      <c r="J910" s="2"/>
      <c r="K910" s="2"/>
      <c r="L910" s="2"/>
      <c r="M910" s="2"/>
      <c r="N910" s="2"/>
      <c r="O910" s="10"/>
      <c r="P910" s="10"/>
      <c r="Q910" s="10"/>
      <c r="R910" s="10"/>
      <c r="T910" s="19"/>
    </row>
    <row r="911" spans="2:20">
      <c r="B911" s="10"/>
      <c r="C911" s="10"/>
      <c r="D911" s="10"/>
      <c r="E911" s="10"/>
      <c r="F911" s="10"/>
      <c r="G911" s="10"/>
      <c r="H911" s="10"/>
      <c r="I911" s="2"/>
      <c r="J911" s="2"/>
      <c r="K911" s="2"/>
      <c r="L911" s="2"/>
      <c r="M911" s="2"/>
      <c r="N911" s="2"/>
      <c r="O911" s="10"/>
      <c r="P911" s="10"/>
      <c r="Q911" s="10"/>
      <c r="R911" s="10"/>
      <c r="T911" s="19"/>
    </row>
    <row r="912" spans="2:20">
      <c r="B912" s="10"/>
      <c r="C912" s="10"/>
      <c r="D912" s="10"/>
      <c r="E912" s="10"/>
      <c r="F912" s="10"/>
      <c r="G912" s="10"/>
      <c r="H912" s="10"/>
      <c r="I912" s="2"/>
      <c r="J912" s="2"/>
      <c r="K912" s="2"/>
      <c r="L912" s="2"/>
      <c r="M912" s="2"/>
      <c r="N912" s="2"/>
      <c r="O912" s="10"/>
      <c r="P912" s="10"/>
      <c r="Q912" s="10"/>
      <c r="R912" s="10"/>
      <c r="T912" s="19"/>
    </row>
    <row r="913" spans="2:20">
      <c r="B913" s="10"/>
      <c r="C913" s="10"/>
      <c r="D913" s="10"/>
      <c r="E913" s="10"/>
      <c r="F913" s="10"/>
      <c r="G913" s="10"/>
      <c r="H913" s="10"/>
      <c r="I913" s="2"/>
      <c r="J913" s="2"/>
      <c r="K913" s="2"/>
      <c r="L913" s="2"/>
      <c r="M913" s="2"/>
      <c r="N913" s="2"/>
      <c r="O913" s="10"/>
      <c r="P913" s="10"/>
      <c r="Q913" s="10"/>
      <c r="R913" s="10"/>
      <c r="T913" s="19"/>
    </row>
    <row r="914" spans="2:20">
      <c r="B914" s="10"/>
      <c r="C914" s="10"/>
      <c r="D914" s="10"/>
      <c r="E914" s="10"/>
      <c r="F914" s="10"/>
      <c r="G914" s="10"/>
      <c r="H914" s="10"/>
      <c r="I914" s="2"/>
      <c r="J914" s="2"/>
      <c r="K914" s="2"/>
      <c r="L914" s="2"/>
      <c r="M914" s="2"/>
      <c r="N914" s="2"/>
      <c r="O914" s="10"/>
      <c r="P914" s="10"/>
      <c r="Q914" s="10"/>
      <c r="R914" s="10"/>
      <c r="T914" s="19"/>
    </row>
    <row r="915" spans="2:20">
      <c r="B915" s="10"/>
      <c r="C915" s="10"/>
      <c r="D915" s="10"/>
      <c r="E915" s="10"/>
      <c r="F915" s="10"/>
      <c r="G915" s="10"/>
      <c r="H915" s="10"/>
      <c r="I915" s="2"/>
      <c r="J915" s="2"/>
      <c r="K915" s="2"/>
      <c r="L915" s="2"/>
      <c r="M915" s="2"/>
      <c r="N915" s="2"/>
      <c r="O915" s="10"/>
      <c r="P915" s="10"/>
      <c r="Q915" s="10"/>
      <c r="R915" s="10"/>
      <c r="T915" s="19"/>
    </row>
    <row r="916" spans="2:20">
      <c r="B916" s="10"/>
      <c r="C916" s="10"/>
      <c r="D916" s="10"/>
      <c r="E916" s="10"/>
      <c r="F916" s="10"/>
      <c r="G916" s="10"/>
      <c r="H916" s="10"/>
      <c r="I916" s="2"/>
      <c r="J916" s="2"/>
      <c r="K916" s="2"/>
      <c r="L916" s="2"/>
      <c r="M916" s="2"/>
      <c r="N916" s="2"/>
      <c r="O916" s="10"/>
      <c r="P916" s="10"/>
      <c r="Q916" s="10"/>
      <c r="R916" s="10"/>
      <c r="T916" s="19"/>
    </row>
    <row r="917" spans="2:20">
      <c r="B917" s="10"/>
      <c r="C917" s="10"/>
      <c r="D917" s="10"/>
      <c r="E917" s="10"/>
      <c r="F917" s="10"/>
      <c r="G917" s="10"/>
      <c r="H917" s="10"/>
      <c r="I917" s="2"/>
      <c r="J917" s="2"/>
      <c r="K917" s="2"/>
      <c r="L917" s="2"/>
      <c r="M917" s="2"/>
      <c r="N917" s="2"/>
      <c r="O917" s="10"/>
      <c r="P917" s="10"/>
      <c r="Q917" s="10"/>
      <c r="R917" s="10"/>
      <c r="T917" s="19"/>
    </row>
    <row r="918" spans="2:20">
      <c r="B918" s="10"/>
      <c r="C918" s="10"/>
      <c r="D918" s="10"/>
      <c r="E918" s="10"/>
      <c r="F918" s="10"/>
      <c r="G918" s="10"/>
      <c r="H918" s="10"/>
      <c r="I918" s="2"/>
      <c r="J918" s="2"/>
      <c r="K918" s="2"/>
      <c r="L918" s="2"/>
      <c r="M918" s="2"/>
      <c r="N918" s="2"/>
      <c r="O918" s="10"/>
      <c r="P918" s="10"/>
      <c r="Q918" s="10"/>
      <c r="R918" s="10"/>
      <c r="T918" s="19"/>
    </row>
    <row r="919" spans="2:20">
      <c r="B919" s="10"/>
      <c r="C919" s="10"/>
      <c r="D919" s="10"/>
      <c r="E919" s="10"/>
      <c r="F919" s="10"/>
      <c r="G919" s="10"/>
      <c r="H919" s="10"/>
      <c r="I919" s="2"/>
      <c r="J919" s="2"/>
      <c r="K919" s="2"/>
      <c r="L919" s="2"/>
      <c r="M919" s="2"/>
      <c r="N919" s="2"/>
      <c r="O919" s="10"/>
      <c r="P919" s="10"/>
      <c r="Q919" s="10"/>
      <c r="R919" s="10"/>
      <c r="T919" s="19"/>
    </row>
    <row r="920" spans="2:20">
      <c r="B920" s="10"/>
      <c r="C920" s="10"/>
      <c r="D920" s="10"/>
      <c r="E920" s="10"/>
      <c r="F920" s="10"/>
      <c r="G920" s="10"/>
      <c r="H920" s="10"/>
      <c r="I920" s="2"/>
      <c r="J920" s="2"/>
      <c r="K920" s="2"/>
      <c r="L920" s="2"/>
      <c r="M920" s="2"/>
      <c r="N920" s="2"/>
      <c r="O920" s="10"/>
      <c r="P920" s="10"/>
      <c r="Q920" s="10"/>
      <c r="R920" s="10"/>
      <c r="T920" s="19"/>
    </row>
    <row r="921" spans="2:20">
      <c r="B921" s="10"/>
      <c r="C921" s="10"/>
      <c r="D921" s="10"/>
      <c r="E921" s="10"/>
      <c r="F921" s="10"/>
      <c r="G921" s="10"/>
      <c r="H921" s="10"/>
      <c r="I921" s="2"/>
      <c r="J921" s="2"/>
      <c r="K921" s="2"/>
      <c r="L921" s="2"/>
      <c r="M921" s="2"/>
      <c r="N921" s="2"/>
      <c r="O921" s="10"/>
      <c r="P921" s="10"/>
      <c r="Q921" s="10"/>
      <c r="R921" s="10"/>
      <c r="T921" s="19"/>
    </row>
    <row r="922" spans="2:20">
      <c r="B922" s="10"/>
      <c r="C922" s="10"/>
      <c r="D922" s="10"/>
      <c r="E922" s="10"/>
      <c r="F922" s="10"/>
      <c r="G922" s="10"/>
      <c r="H922" s="10"/>
      <c r="I922" s="2"/>
      <c r="J922" s="2"/>
      <c r="K922" s="2"/>
      <c r="L922" s="2"/>
      <c r="M922" s="2"/>
      <c r="N922" s="2"/>
      <c r="O922" s="10"/>
      <c r="P922" s="10"/>
      <c r="Q922" s="10"/>
      <c r="R922" s="10"/>
      <c r="T922" s="19"/>
    </row>
    <row r="923" spans="2:20">
      <c r="B923" s="10"/>
      <c r="C923" s="10"/>
      <c r="D923" s="10"/>
      <c r="E923" s="10"/>
      <c r="F923" s="10"/>
      <c r="G923" s="10"/>
      <c r="H923" s="10"/>
      <c r="I923" s="2"/>
      <c r="J923" s="2"/>
      <c r="K923" s="2"/>
      <c r="L923" s="2"/>
      <c r="M923" s="2"/>
      <c r="N923" s="2"/>
      <c r="O923" s="10"/>
      <c r="P923" s="10"/>
      <c r="Q923" s="10"/>
      <c r="R923" s="10"/>
      <c r="T923" s="19"/>
    </row>
    <row r="924" spans="2:20">
      <c r="B924" s="10"/>
      <c r="C924" s="10"/>
      <c r="D924" s="10"/>
      <c r="E924" s="10"/>
      <c r="F924" s="10"/>
      <c r="G924" s="10"/>
      <c r="H924" s="10"/>
      <c r="I924" s="2"/>
      <c r="J924" s="2"/>
      <c r="K924" s="2"/>
      <c r="L924" s="2"/>
      <c r="M924" s="2"/>
      <c r="N924" s="2"/>
      <c r="O924" s="10"/>
      <c r="P924" s="10"/>
      <c r="Q924" s="10"/>
      <c r="R924" s="10"/>
      <c r="T924" s="19"/>
    </row>
    <row r="925" spans="2:20">
      <c r="B925" s="10"/>
      <c r="C925" s="10"/>
      <c r="D925" s="10"/>
      <c r="E925" s="10"/>
      <c r="F925" s="10"/>
      <c r="G925" s="10"/>
      <c r="H925" s="10"/>
      <c r="I925" s="2"/>
      <c r="J925" s="2"/>
      <c r="K925" s="2"/>
      <c r="L925" s="2"/>
      <c r="M925" s="2"/>
      <c r="N925" s="2"/>
      <c r="O925" s="10"/>
      <c r="P925" s="10"/>
      <c r="Q925" s="10"/>
      <c r="R925" s="10"/>
      <c r="T925" s="19"/>
    </row>
    <row r="926" spans="2:20">
      <c r="B926" s="10"/>
      <c r="C926" s="10"/>
      <c r="D926" s="10"/>
      <c r="E926" s="10"/>
      <c r="F926" s="10"/>
      <c r="G926" s="10"/>
      <c r="H926" s="10"/>
      <c r="I926" s="2"/>
      <c r="J926" s="2"/>
      <c r="K926" s="2"/>
      <c r="L926" s="2"/>
      <c r="M926" s="2"/>
      <c r="N926" s="2"/>
      <c r="O926" s="10"/>
      <c r="P926" s="10"/>
      <c r="Q926" s="10"/>
      <c r="R926" s="10"/>
      <c r="T926" s="19"/>
    </row>
    <row r="927" spans="2:20">
      <c r="B927" s="10"/>
      <c r="C927" s="10"/>
      <c r="D927" s="10"/>
      <c r="E927" s="10"/>
      <c r="F927" s="10"/>
      <c r="G927" s="10"/>
      <c r="H927" s="10"/>
      <c r="I927" s="2"/>
      <c r="J927" s="2"/>
      <c r="K927" s="2"/>
      <c r="L927" s="2"/>
      <c r="M927" s="2"/>
      <c r="N927" s="2"/>
      <c r="O927" s="10"/>
      <c r="P927" s="10"/>
      <c r="Q927" s="10"/>
      <c r="R927" s="10"/>
      <c r="T927" s="19"/>
    </row>
    <row r="928" spans="2:20">
      <c r="B928" s="10"/>
      <c r="C928" s="10"/>
      <c r="D928" s="10"/>
      <c r="E928" s="10"/>
      <c r="F928" s="10"/>
      <c r="G928" s="10"/>
      <c r="H928" s="10"/>
      <c r="I928" s="2"/>
      <c r="J928" s="2"/>
      <c r="K928" s="2"/>
      <c r="L928" s="2"/>
      <c r="M928" s="2"/>
      <c r="N928" s="2"/>
      <c r="O928" s="10"/>
      <c r="P928" s="10"/>
      <c r="Q928" s="10"/>
      <c r="R928" s="10"/>
      <c r="T928" s="19"/>
    </row>
    <row r="929" spans="2:20">
      <c r="B929" s="10"/>
      <c r="C929" s="10"/>
      <c r="D929" s="10"/>
      <c r="E929" s="10"/>
      <c r="F929" s="10"/>
      <c r="G929" s="10"/>
      <c r="H929" s="10"/>
      <c r="I929" s="2"/>
      <c r="J929" s="2"/>
      <c r="K929" s="2"/>
      <c r="L929" s="2"/>
      <c r="M929" s="2"/>
      <c r="N929" s="2"/>
      <c r="O929" s="10"/>
      <c r="P929" s="10"/>
      <c r="Q929" s="10"/>
      <c r="R929" s="10"/>
      <c r="T929" s="19"/>
    </row>
    <row r="930" spans="2:20">
      <c r="B930" s="10"/>
      <c r="C930" s="10"/>
      <c r="D930" s="10"/>
      <c r="E930" s="10"/>
      <c r="F930" s="10"/>
      <c r="G930" s="10"/>
      <c r="H930" s="10"/>
      <c r="I930" s="2"/>
      <c r="J930" s="2"/>
      <c r="K930" s="2"/>
      <c r="L930" s="2"/>
      <c r="M930" s="2"/>
      <c r="N930" s="2"/>
      <c r="O930" s="10"/>
      <c r="P930" s="10"/>
      <c r="Q930" s="10"/>
      <c r="R930" s="10"/>
      <c r="T930" s="19"/>
    </row>
    <row r="931" spans="2:20">
      <c r="B931" s="10"/>
      <c r="C931" s="10"/>
      <c r="D931" s="10"/>
      <c r="E931" s="10"/>
      <c r="F931" s="10"/>
      <c r="G931" s="10"/>
      <c r="H931" s="10"/>
      <c r="I931" s="2"/>
      <c r="J931" s="2"/>
      <c r="K931" s="2"/>
      <c r="L931" s="2"/>
      <c r="M931" s="2"/>
      <c r="N931" s="2"/>
      <c r="O931" s="10"/>
      <c r="P931" s="10"/>
      <c r="Q931" s="10"/>
      <c r="R931" s="10"/>
      <c r="T931" s="19"/>
    </row>
    <row r="932" spans="2:20">
      <c r="B932" s="10"/>
      <c r="C932" s="10"/>
      <c r="D932" s="10"/>
      <c r="E932" s="10"/>
      <c r="F932" s="10"/>
      <c r="G932" s="10"/>
      <c r="H932" s="10"/>
      <c r="I932" s="2"/>
      <c r="J932" s="2"/>
      <c r="K932" s="2"/>
      <c r="L932" s="2"/>
      <c r="M932" s="2"/>
      <c r="N932" s="2"/>
      <c r="O932" s="10"/>
      <c r="P932" s="10"/>
      <c r="Q932" s="10"/>
      <c r="R932" s="10"/>
      <c r="T932" s="19"/>
    </row>
    <row r="933" spans="2:20">
      <c r="B933" s="10"/>
      <c r="C933" s="10"/>
      <c r="D933" s="10"/>
      <c r="E933" s="10"/>
      <c r="F933" s="10"/>
      <c r="G933" s="10"/>
      <c r="H933" s="10"/>
      <c r="I933" s="2"/>
      <c r="J933" s="2"/>
      <c r="K933" s="2"/>
      <c r="L933" s="2"/>
      <c r="M933" s="2"/>
      <c r="N933" s="2"/>
      <c r="O933" s="10"/>
      <c r="P933" s="10"/>
      <c r="Q933" s="10"/>
      <c r="R933" s="10"/>
      <c r="T933" s="19"/>
    </row>
    <row r="934" spans="2:20">
      <c r="B934" s="10"/>
      <c r="C934" s="10"/>
      <c r="D934" s="10"/>
      <c r="E934" s="10"/>
      <c r="F934" s="10"/>
      <c r="G934" s="10"/>
      <c r="H934" s="10"/>
      <c r="I934" s="2"/>
      <c r="J934" s="2"/>
      <c r="K934" s="2"/>
      <c r="L934" s="2"/>
      <c r="M934" s="2"/>
      <c r="N934" s="2"/>
      <c r="O934" s="10"/>
      <c r="P934" s="10"/>
      <c r="Q934" s="10"/>
      <c r="R934" s="10"/>
      <c r="T934" s="19"/>
    </row>
    <row r="935" spans="2:20">
      <c r="B935" s="10"/>
      <c r="C935" s="10"/>
      <c r="D935" s="10"/>
      <c r="E935" s="10"/>
      <c r="F935" s="10"/>
      <c r="G935" s="10"/>
      <c r="H935" s="10"/>
      <c r="I935" s="2"/>
      <c r="J935" s="2"/>
      <c r="K935" s="2"/>
      <c r="L935" s="2"/>
      <c r="M935" s="2"/>
      <c r="N935" s="2"/>
      <c r="O935" s="10"/>
      <c r="P935" s="10"/>
      <c r="Q935" s="10"/>
      <c r="R935" s="10"/>
      <c r="T935" s="19"/>
    </row>
    <row r="936" spans="2:20">
      <c r="B936" s="10"/>
      <c r="C936" s="10"/>
      <c r="D936" s="10"/>
      <c r="E936" s="10"/>
      <c r="F936" s="10"/>
      <c r="G936" s="10"/>
      <c r="H936" s="10"/>
      <c r="I936" s="2"/>
      <c r="J936" s="2"/>
      <c r="K936" s="2"/>
      <c r="L936" s="2"/>
      <c r="M936" s="2"/>
      <c r="N936" s="2"/>
      <c r="O936" s="10"/>
      <c r="P936" s="10"/>
      <c r="Q936" s="10"/>
      <c r="R936" s="10"/>
      <c r="T936" s="19"/>
    </row>
    <row r="937" spans="2:20">
      <c r="B937" s="10"/>
      <c r="C937" s="10"/>
      <c r="D937" s="10"/>
      <c r="E937" s="10"/>
      <c r="F937" s="10"/>
      <c r="G937" s="10"/>
      <c r="H937" s="10"/>
      <c r="I937" s="2"/>
      <c r="J937" s="2"/>
      <c r="K937" s="2"/>
      <c r="L937" s="2"/>
      <c r="M937" s="2"/>
      <c r="N937" s="2"/>
      <c r="O937" s="10"/>
      <c r="P937" s="10"/>
      <c r="Q937" s="10"/>
      <c r="R937" s="10"/>
      <c r="T937" s="19"/>
    </row>
    <row r="938" spans="2:20">
      <c r="B938" s="10"/>
      <c r="C938" s="10"/>
      <c r="D938" s="10"/>
      <c r="E938" s="10"/>
      <c r="F938" s="10"/>
      <c r="G938" s="10"/>
      <c r="H938" s="10"/>
      <c r="I938" s="2"/>
      <c r="J938" s="2"/>
      <c r="K938" s="2"/>
      <c r="L938" s="2"/>
      <c r="M938" s="2"/>
      <c r="N938" s="2"/>
      <c r="O938" s="10"/>
      <c r="P938" s="10"/>
      <c r="Q938" s="10"/>
      <c r="R938" s="10"/>
      <c r="T938" s="19"/>
    </row>
    <row r="939" spans="2:20">
      <c r="B939" s="10"/>
      <c r="C939" s="10"/>
      <c r="D939" s="10"/>
      <c r="E939" s="10"/>
      <c r="F939" s="10"/>
      <c r="G939" s="10"/>
      <c r="H939" s="10"/>
      <c r="I939" s="2"/>
      <c r="J939" s="2"/>
      <c r="K939" s="2"/>
      <c r="L939" s="2"/>
      <c r="M939" s="2"/>
      <c r="N939" s="2"/>
      <c r="O939" s="10"/>
      <c r="P939" s="10"/>
      <c r="Q939" s="10"/>
      <c r="R939" s="10"/>
      <c r="T939" s="19"/>
    </row>
    <row r="940" spans="2:20">
      <c r="B940" s="10"/>
      <c r="C940" s="10"/>
      <c r="D940" s="10"/>
      <c r="E940" s="10"/>
      <c r="F940" s="10"/>
      <c r="G940" s="10"/>
      <c r="H940" s="10"/>
      <c r="I940" s="2"/>
      <c r="J940" s="2"/>
      <c r="K940" s="2"/>
      <c r="L940" s="2"/>
      <c r="M940" s="2"/>
      <c r="N940" s="2"/>
      <c r="O940" s="10"/>
      <c r="P940" s="10"/>
      <c r="Q940" s="10"/>
      <c r="R940" s="10"/>
      <c r="T940" s="19"/>
    </row>
    <row r="941" spans="2:20">
      <c r="B941" s="10"/>
      <c r="C941" s="10"/>
      <c r="D941" s="10"/>
      <c r="E941" s="10"/>
      <c r="F941" s="10"/>
      <c r="G941" s="10"/>
      <c r="H941" s="10"/>
      <c r="I941" s="2"/>
      <c r="J941" s="2"/>
      <c r="K941" s="2"/>
      <c r="L941" s="2"/>
      <c r="M941" s="2"/>
      <c r="N941" s="2"/>
      <c r="O941" s="10"/>
      <c r="P941" s="10"/>
      <c r="Q941" s="10"/>
      <c r="R941" s="10"/>
      <c r="T941" s="19"/>
    </row>
    <row r="942" spans="2:20">
      <c r="B942" s="10"/>
      <c r="C942" s="10"/>
      <c r="D942" s="10"/>
      <c r="E942" s="10"/>
      <c r="F942" s="10"/>
      <c r="G942" s="10"/>
      <c r="H942" s="10"/>
      <c r="I942" s="2"/>
      <c r="J942" s="2"/>
      <c r="K942" s="2"/>
      <c r="L942" s="2"/>
      <c r="M942" s="2"/>
      <c r="N942" s="2"/>
      <c r="O942" s="10"/>
      <c r="P942" s="10"/>
      <c r="Q942" s="10"/>
      <c r="R942" s="10"/>
      <c r="T942" s="19"/>
    </row>
    <row r="943" spans="2:20">
      <c r="B943" s="10"/>
      <c r="C943" s="10"/>
      <c r="D943" s="10"/>
      <c r="E943" s="10"/>
      <c r="F943" s="10"/>
      <c r="G943" s="10"/>
      <c r="H943" s="10"/>
      <c r="I943" s="2"/>
      <c r="J943" s="2"/>
      <c r="K943" s="2"/>
      <c r="L943" s="2"/>
      <c r="M943" s="2"/>
      <c r="N943" s="2"/>
      <c r="O943" s="10"/>
      <c r="P943" s="10"/>
      <c r="Q943" s="10"/>
      <c r="R943" s="10"/>
      <c r="T943" s="19"/>
    </row>
    <row r="944" spans="2:20">
      <c r="B944" s="10"/>
      <c r="C944" s="10"/>
      <c r="D944" s="10"/>
      <c r="E944" s="10"/>
      <c r="F944" s="10"/>
      <c r="G944" s="10"/>
      <c r="H944" s="10"/>
      <c r="I944" s="2"/>
      <c r="J944" s="2"/>
      <c r="K944" s="2"/>
      <c r="L944" s="2"/>
      <c r="M944" s="2"/>
      <c r="N944" s="2"/>
      <c r="O944" s="10"/>
      <c r="P944" s="10"/>
      <c r="Q944" s="10"/>
      <c r="R944" s="10"/>
      <c r="T944" s="19"/>
    </row>
    <row r="945" spans="2:20">
      <c r="B945" s="10"/>
      <c r="C945" s="10"/>
      <c r="D945" s="10"/>
      <c r="E945" s="10"/>
      <c r="F945" s="10"/>
      <c r="G945" s="10"/>
      <c r="H945" s="10"/>
      <c r="I945" s="2"/>
      <c r="J945" s="2"/>
      <c r="K945" s="2"/>
      <c r="L945" s="2"/>
      <c r="M945" s="2"/>
      <c r="N945" s="2"/>
      <c r="O945" s="10"/>
      <c r="P945" s="10"/>
      <c r="Q945" s="10"/>
      <c r="R945" s="10"/>
      <c r="T945" s="19"/>
    </row>
    <row r="946" spans="2:20">
      <c r="B946" s="10"/>
      <c r="C946" s="10"/>
      <c r="D946" s="10"/>
      <c r="E946" s="10"/>
      <c r="F946" s="10"/>
      <c r="G946" s="10"/>
      <c r="H946" s="10"/>
      <c r="I946" s="2"/>
      <c r="J946" s="2"/>
      <c r="K946" s="2"/>
      <c r="L946" s="2"/>
      <c r="M946" s="2"/>
      <c r="N946" s="2"/>
      <c r="O946" s="10"/>
      <c r="P946" s="10"/>
      <c r="Q946" s="10"/>
      <c r="R946" s="10"/>
      <c r="T946" s="19"/>
    </row>
    <row r="947" spans="2:20">
      <c r="B947" s="10"/>
      <c r="C947" s="10"/>
      <c r="D947" s="10"/>
      <c r="E947" s="10"/>
      <c r="F947" s="10"/>
      <c r="G947" s="10"/>
      <c r="H947" s="10"/>
      <c r="I947" s="2"/>
      <c r="J947" s="2"/>
      <c r="K947" s="2"/>
      <c r="L947" s="2"/>
      <c r="M947" s="2"/>
      <c r="N947" s="2"/>
      <c r="O947" s="10"/>
      <c r="P947" s="10"/>
      <c r="Q947" s="10"/>
      <c r="R947" s="10"/>
      <c r="T947" s="19"/>
    </row>
    <row r="948" spans="2:20">
      <c r="B948" s="10"/>
      <c r="C948" s="10"/>
      <c r="D948" s="10"/>
      <c r="E948" s="10"/>
      <c r="F948" s="10"/>
      <c r="G948" s="10"/>
      <c r="H948" s="10"/>
      <c r="I948" s="2"/>
      <c r="J948" s="2"/>
      <c r="K948" s="2"/>
      <c r="L948" s="2"/>
      <c r="M948" s="2"/>
      <c r="N948" s="2"/>
      <c r="O948" s="10"/>
      <c r="P948" s="10"/>
      <c r="Q948" s="10"/>
      <c r="R948" s="10"/>
      <c r="T948" s="19"/>
    </row>
    <row r="949" spans="2:20">
      <c r="B949" s="10"/>
      <c r="C949" s="10"/>
      <c r="D949" s="10"/>
      <c r="E949" s="10"/>
      <c r="F949" s="10"/>
      <c r="G949" s="10"/>
      <c r="H949" s="10"/>
      <c r="I949" s="2"/>
      <c r="J949" s="2"/>
      <c r="K949" s="2"/>
      <c r="L949" s="2"/>
      <c r="M949" s="2"/>
      <c r="N949" s="2"/>
      <c r="O949" s="10"/>
      <c r="P949" s="10"/>
      <c r="Q949" s="10"/>
      <c r="R949" s="10"/>
      <c r="T949" s="19"/>
    </row>
    <row r="950" spans="2:20">
      <c r="B950" s="10"/>
      <c r="C950" s="10"/>
      <c r="D950" s="10"/>
      <c r="E950" s="10"/>
      <c r="F950" s="10"/>
      <c r="G950" s="10"/>
      <c r="H950" s="10"/>
      <c r="I950" s="2"/>
      <c r="J950" s="2"/>
      <c r="K950" s="2"/>
      <c r="L950" s="2"/>
      <c r="M950" s="2"/>
      <c r="N950" s="2"/>
      <c r="O950" s="10"/>
      <c r="P950" s="10"/>
      <c r="Q950" s="10"/>
      <c r="R950" s="10"/>
      <c r="T950" s="19"/>
    </row>
    <row r="951" spans="2:20">
      <c r="B951" s="10"/>
      <c r="C951" s="10"/>
      <c r="D951" s="10"/>
      <c r="E951" s="10"/>
      <c r="F951" s="10"/>
      <c r="G951" s="10"/>
      <c r="H951" s="10"/>
      <c r="I951" s="2"/>
      <c r="J951" s="2"/>
      <c r="K951" s="2"/>
      <c r="L951" s="2"/>
      <c r="M951" s="2"/>
      <c r="N951" s="2"/>
      <c r="O951" s="10"/>
      <c r="P951" s="10"/>
      <c r="Q951" s="10"/>
      <c r="R951" s="10"/>
      <c r="T951" s="19"/>
    </row>
    <row r="952" spans="2:20">
      <c r="B952" s="10"/>
      <c r="C952" s="10"/>
      <c r="D952" s="10"/>
      <c r="E952" s="10"/>
      <c r="F952" s="10"/>
      <c r="G952" s="10"/>
      <c r="H952" s="10"/>
      <c r="I952" s="2"/>
      <c r="J952" s="2"/>
      <c r="K952" s="2"/>
      <c r="L952" s="2"/>
      <c r="M952" s="2"/>
      <c r="N952" s="2"/>
      <c r="O952" s="10"/>
      <c r="P952" s="10"/>
      <c r="Q952" s="10"/>
      <c r="R952" s="10"/>
      <c r="T952" s="19"/>
    </row>
    <row r="953" spans="2:20">
      <c r="B953" s="10"/>
      <c r="C953" s="10"/>
      <c r="D953" s="10"/>
      <c r="E953" s="10"/>
      <c r="F953" s="10"/>
      <c r="G953" s="10"/>
      <c r="H953" s="10"/>
      <c r="I953" s="2"/>
      <c r="J953" s="2"/>
      <c r="K953" s="2"/>
      <c r="L953" s="2"/>
      <c r="M953" s="2"/>
      <c r="N953" s="2"/>
      <c r="O953" s="10"/>
      <c r="P953" s="10"/>
      <c r="Q953" s="10"/>
      <c r="R953" s="10"/>
      <c r="T953" s="19"/>
    </row>
    <row r="954" spans="2:20">
      <c r="B954" s="10"/>
      <c r="C954" s="10"/>
      <c r="D954" s="10"/>
      <c r="E954" s="10"/>
      <c r="F954" s="10"/>
      <c r="G954" s="10"/>
      <c r="H954" s="10"/>
      <c r="I954" s="2"/>
      <c r="J954" s="2"/>
      <c r="K954" s="2"/>
      <c r="L954" s="2"/>
      <c r="M954" s="2"/>
      <c r="N954" s="2"/>
      <c r="O954" s="10"/>
      <c r="P954" s="10"/>
      <c r="Q954" s="10"/>
      <c r="R954" s="10"/>
      <c r="T954" s="19"/>
    </row>
    <row r="955" spans="2:20">
      <c r="B955" s="10"/>
      <c r="C955" s="10"/>
      <c r="D955" s="10"/>
      <c r="E955" s="10"/>
      <c r="F955" s="10"/>
      <c r="G955" s="10"/>
      <c r="H955" s="10"/>
      <c r="I955" s="2"/>
      <c r="J955" s="2"/>
      <c r="K955" s="2"/>
      <c r="L955" s="2"/>
      <c r="M955" s="2"/>
      <c r="N955" s="2"/>
      <c r="O955" s="10"/>
      <c r="P955" s="10"/>
      <c r="Q955" s="10"/>
      <c r="R955" s="10"/>
      <c r="T955" s="19"/>
    </row>
    <row r="956" spans="2:20">
      <c r="B956" s="10"/>
      <c r="C956" s="10"/>
      <c r="D956" s="10"/>
      <c r="E956" s="10"/>
      <c r="F956" s="10"/>
      <c r="G956" s="10"/>
      <c r="H956" s="10"/>
      <c r="I956" s="2"/>
      <c r="J956" s="2"/>
      <c r="K956" s="2"/>
      <c r="L956" s="2"/>
      <c r="M956" s="2"/>
      <c r="N956" s="2"/>
      <c r="O956" s="10"/>
      <c r="P956" s="10"/>
      <c r="Q956" s="10"/>
      <c r="R956" s="10"/>
      <c r="T956" s="19"/>
    </row>
    <row r="957" spans="2:20">
      <c r="B957" s="10"/>
      <c r="C957" s="10"/>
      <c r="D957" s="10"/>
      <c r="E957" s="10"/>
      <c r="F957" s="10"/>
      <c r="G957" s="10"/>
      <c r="H957" s="10"/>
      <c r="I957" s="2"/>
      <c r="J957" s="2"/>
      <c r="K957" s="2"/>
      <c r="L957" s="2"/>
      <c r="M957" s="2"/>
      <c r="N957" s="2"/>
      <c r="O957" s="10"/>
      <c r="P957" s="10"/>
      <c r="Q957" s="10"/>
      <c r="R957" s="10"/>
      <c r="T957" s="19"/>
    </row>
    <row r="958" spans="2:20">
      <c r="B958" s="10"/>
      <c r="C958" s="10"/>
      <c r="D958" s="10"/>
      <c r="E958" s="10"/>
      <c r="F958" s="10"/>
      <c r="G958" s="10"/>
      <c r="H958" s="10"/>
      <c r="I958" s="2"/>
      <c r="J958" s="2"/>
      <c r="K958" s="2"/>
      <c r="L958" s="2"/>
      <c r="M958" s="2"/>
      <c r="N958" s="2"/>
      <c r="O958" s="10"/>
      <c r="P958" s="10"/>
      <c r="Q958" s="10"/>
      <c r="R958" s="10"/>
      <c r="T958" s="19"/>
    </row>
    <row r="959" spans="2:20">
      <c r="B959" s="10"/>
      <c r="C959" s="10"/>
      <c r="D959" s="10"/>
      <c r="E959" s="10"/>
      <c r="F959" s="10"/>
      <c r="G959" s="10"/>
      <c r="H959" s="10"/>
      <c r="I959" s="2"/>
      <c r="J959" s="2"/>
      <c r="K959" s="2"/>
      <c r="L959" s="2"/>
      <c r="M959" s="2"/>
      <c r="N959" s="2"/>
      <c r="O959" s="10"/>
      <c r="P959" s="10"/>
      <c r="Q959" s="10"/>
      <c r="R959" s="10"/>
      <c r="T959" s="19"/>
    </row>
    <row r="960" spans="2:20">
      <c r="B960" s="10"/>
      <c r="C960" s="10"/>
      <c r="D960" s="10"/>
      <c r="E960" s="10"/>
      <c r="F960" s="10"/>
      <c r="G960" s="10"/>
      <c r="H960" s="10"/>
      <c r="I960" s="2"/>
      <c r="J960" s="2"/>
      <c r="K960" s="2"/>
      <c r="L960" s="2"/>
      <c r="M960" s="2"/>
      <c r="N960" s="2"/>
      <c r="O960" s="10"/>
      <c r="P960" s="10"/>
      <c r="Q960" s="10"/>
      <c r="R960" s="10"/>
      <c r="T960" s="19"/>
    </row>
    <row r="961" spans="2:20">
      <c r="B961" s="10"/>
      <c r="C961" s="10"/>
      <c r="D961" s="10"/>
      <c r="E961" s="10"/>
      <c r="F961" s="10"/>
      <c r="G961" s="10"/>
      <c r="H961" s="10"/>
      <c r="I961" s="2"/>
      <c r="J961" s="2"/>
      <c r="K961" s="2"/>
      <c r="L961" s="2"/>
      <c r="M961" s="2"/>
      <c r="N961" s="2"/>
      <c r="O961" s="10"/>
      <c r="P961" s="10"/>
      <c r="Q961" s="10"/>
      <c r="R961" s="10"/>
      <c r="T961" s="19"/>
    </row>
    <row r="962" spans="2:20">
      <c r="B962" s="10"/>
      <c r="C962" s="10"/>
      <c r="D962" s="10"/>
      <c r="E962" s="10"/>
      <c r="F962" s="10"/>
      <c r="G962" s="10"/>
      <c r="H962" s="10"/>
      <c r="I962" s="2"/>
      <c r="J962" s="2"/>
      <c r="K962" s="2"/>
      <c r="L962" s="2"/>
      <c r="M962" s="2"/>
      <c r="N962" s="2"/>
      <c r="O962" s="10"/>
      <c r="P962" s="10"/>
      <c r="Q962" s="10"/>
      <c r="R962" s="10"/>
      <c r="T962" s="19"/>
    </row>
    <row r="963" spans="2:20">
      <c r="B963" s="10"/>
      <c r="C963" s="10"/>
      <c r="D963" s="10"/>
      <c r="E963" s="10"/>
      <c r="F963" s="10"/>
      <c r="G963" s="10"/>
      <c r="H963" s="10"/>
      <c r="I963" s="2"/>
      <c r="J963" s="2"/>
      <c r="K963" s="2"/>
      <c r="L963" s="2"/>
      <c r="M963" s="2"/>
      <c r="N963" s="2"/>
      <c r="O963" s="10"/>
      <c r="P963" s="10"/>
      <c r="Q963" s="10"/>
      <c r="R963" s="10"/>
      <c r="T963" s="19"/>
    </row>
    <row r="964" spans="2:20">
      <c r="B964" s="10"/>
      <c r="C964" s="10"/>
      <c r="D964" s="10"/>
      <c r="E964" s="10"/>
      <c r="F964" s="10"/>
      <c r="G964" s="10"/>
      <c r="H964" s="10"/>
      <c r="I964" s="2"/>
      <c r="J964" s="2"/>
      <c r="K964" s="2"/>
      <c r="L964" s="2"/>
      <c r="M964" s="2"/>
      <c r="N964" s="2"/>
      <c r="O964" s="10"/>
      <c r="P964" s="10"/>
      <c r="Q964" s="10"/>
      <c r="R964" s="10"/>
      <c r="T964" s="19"/>
    </row>
    <row r="965" spans="2:20">
      <c r="B965" s="10"/>
      <c r="C965" s="10"/>
      <c r="D965" s="10"/>
      <c r="E965" s="10"/>
      <c r="F965" s="10"/>
      <c r="G965" s="10"/>
      <c r="H965" s="10"/>
      <c r="I965" s="2"/>
      <c r="J965" s="2"/>
      <c r="K965" s="2"/>
      <c r="L965" s="2"/>
      <c r="M965" s="2"/>
      <c r="N965" s="2"/>
      <c r="O965" s="10"/>
      <c r="P965" s="10"/>
      <c r="Q965" s="10"/>
      <c r="R965" s="10"/>
      <c r="T965" s="19"/>
    </row>
    <row r="966" spans="2:20">
      <c r="B966" s="10"/>
      <c r="C966" s="10"/>
      <c r="D966" s="10"/>
      <c r="E966" s="10"/>
      <c r="F966" s="10"/>
      <c r="G966" s="10"/>
      <c r="H966" s="10"/>
      <c r="I966" s="2"/>
      <c r="J966" s="2"/>
      <c r="K966" s="2"/>
      <c r="L966" s="2"/>
      <c r="M966" s="2"/>
      <c r="N966" s="2"/>
      <c r="O966" s="10"/>
      <c r="P966" s="10"/>
      <c r="Q966" s="10"/>
      <c r="R966" s="10"/>
      <c r="T966" s="19"/>
    </row>
    <row r="967" spans="2:20">
      <c r="B967" s="10"/>
      <c r="C967" s="10"/>
      <c r="D967" s="10"/>
      <c r="E967" s="10"/>
      <c r="F967" s="10"/>
      <c r="G967" s="10"/>
      <c r="H967" s="10"/>
      <c r="I967" s="2"/>
      <c r="J967" s="2"/>
      <c r="K967" s="2"/>
      <c r="L967" s="2"/>
      <c r="M967" s="2"/>
      <c r="N967" s="2"/>
      <c r="O967" s="10"/>
      <c r="P967" s="10"/>
      <c r="Q967" s="10"/>
      <c r="R967" s="10"/>
      <c r="T967" s="19"/>
    </row>
    <row r="968" spans="2:20">
      <c r="B968" s="10"/>
      <c r="C968" s="10"/>
      <c r="D968" s="10"/>
      <c r="E968" s="10"/>
      <c r="F968" s="10"/>
      <c r="G968" s="10"/>
      <c r="H968" s="10"/>
      <c r="I968" s="2"/>
      <c r="J968" s="2"/>
      <c r="K968" s="2"/>
      <c r="L968" s="2"/>
      <c r="M968" s="2"/>
      <c r="N968" s="2"/>
      <c r="O968" s="10"/>
      <c r="P968" s="10"/>
      <c r="Q968" s="10"/>
      <c r="R968" s="10"/>
      <c r="T968" s="19"/>
    </row>
    <row r="969" spans="2:20">
      <c r="B969" s="10"/>
      <c r="C969" s="10"/>
      <c r="D969" s="10"/>
      <c r="E969" s="10"/>
      <c r="F969" s="10"/>
      <c r="G969" s="10"/>
      <c r="H969" s="10"/>
      <c r="I969" s="2"/>
      <c r="J969" s="2"/>
      <c r="K969" s="2"/>
      <c r="L969" s="2"/>
      <c r="M969" s="2"/>
      <c r="N969" s="2"/>
      <c r="O969" s="10"/>
      <c r="P969" s="10"/>
      <c r="Q969" s="10"/>
      <c r="R969" s="10"/>
      <c r="T969" s="19"/>
    </row>
    <row r="970" spans="2:20">
      <c r="B970" s="10"/>
      <c r="C970" s="10"/>
      <c r="D970" s="10"/>
      <c r="E970" s="10"/>
      <c r="F970" s="10"/>
      <c r="G970" s="10"/>
      <c r="H970" s="10"/>
      <c r="I970" s="2"/>
      <c r="J970" s="2"/>
      <c r="K970" s="2"/>
      <c r="L970" s="2"/>
      <c r="M970" s="2"/>
      <c r="N970" s="2"/>
      <c r="O970" s="10"/>
      <c r="P970" s="10"/>
      <c r="Q970" s="10"/>
      <c r="R970" s="10"/>
      <c r="T970" s="19"/>
    </row>
    <row r="971" spans="2:20">
      <c r="B971" s="10"/>
      <c r="C971" s="10"/>
      <c r="D971" s="10"/>
      <c r="E971" s="10"/>
      <c r="F971" s="10"/>
      <c r="G971" s="10"/>
      <c r="H971" s="10"/>
      <c r="I971" s="2"/>
      <c r="J971" s="2"/>
      <c r="K971" s="2"/>
      <c r="L971" s="2"/>
      <c r="M971" s="2"/>
      <c r="N971" s="2"/>
      <c r="O971" s="10"/>
      <c r="P971" s="10"/>
      <c r="Q971" s="10"/>
      <c r="R971" s="10"/>
      <c r="T971" s="19"/>
    </row>
    <row r="972" spans="2:20">
      <c r="B972" s="10"/>
      <c r="C972" s="10"/>
      <c r="D972" s="10"/>
      <c r="E972" s="10"/>
      <c r="F972" s="10"/>
      <c r="G972" s="10"/>
      <c r="H972" s="10"/>
      <c r="I972" s="2"/>
      <c r="J972" s="2"/>
      <c r="K972" s="2"/>
      <c r="L972" s="2"/>
      <c r="M972" s="2"/>
      <c r="N972" s="2"/>
      <c r="O972" s="10"/>
      <c r="P972" s="10"/>
      <c r="Q972" s="10"/>
      <c r="R972" s="10"/>
      <c r="T972" s="19"/>
    </row>
    <row r="973" spans="2:20">
      <c r="B973" s="10"/>
      <c r="C973" s="10"/>
      <c r="D973" s="10"/>
      <c r="E973" s="10"/>
      <c r="F973" s="10"/>
      <c r="G973" s="10"/>
      <c r="H973" s="10"/>
      <c r="I973" s="2"/>
      <c r="J973" s="2"/>
      <c r="K973" s="2"/>
      <c r="L973" s="2"/>
      <c r="M973" s="2"/>
      <c r="N973" s="2"/>
      <c r="O973" s="10"/>
      <c r="P973" s="10"/>
      <c r="Q973" s="10"/>
      <c r="R973" s="10"/>
      <c r="T973" s="19"/>
    </row>
    <row r="974" spans="2:20">
      <c r="B974" s="10"/>
      <c r="C974" s="10"/>
      <c r="D974" s="10"/>
      <c r="E974" s="10"/>
      <c r="F974" s="10"/>
      <c r="G974" s="10"/>
      <c r="H974" s="10"/>
      <c r="I974" s="2"/>
      <c r="J974" s="2"/>
      <c r="K974" s="2"/>
      <c r="L974" s="2"/>
      <c r="M974" s="2"/>
      <c r="N974" s="2"/>
      <c r="O974" s="10"/>
      <c r="P974" s="10"/>
      <c r="Q974" s="10"/>
      <c r="R974" s="10"/>
      <c r="T974" s="19"/>
    </row>
    <row r="975" spans="2:20">
      <c r="B975" s="10"/>
      <c r="C975" s="10"/>
      <c r="D975" s="10"/>
      <c r="E975" s="10"/>
      <c r="F975" s="10"/>
      <c r="G975" s="10"/>
      <c r="H975" s="10"/>
      <c r="I975" s="2"/>
      <c r="J975" s="2"/>
      <c r="K975" s="2"/>
      <c r="L975" s="2"/>
      <c r="M975" s="2"/>
      <c r="N975" s="2"/>
      <c r="O975" s="10"/>
      <c r="P975" s="10"/>
      <c r="Q975" s="10"/>
      <c r="R975" s="10"/>
      <c r="T975" s="19"/>
    </row>
    <row r="976" spans="2:20">
      <c r="B976" s="10"/>
      <c r="C976" s="10"/>
      <c r="D976" s="10"/>
      <c r="E976" s="10"/>
      <c r="F976" s="10"/>
      <c r="G976" s="10"/>
      <c r="H976" s="10"/>
      <c r="I976" s="2"/>
      <c r="J976" s="2"/>
      <c r="K976" s="2"/>
      <c r="L976" s="2"/>
      <c r="M976" s="2"/>
      <c r="N976" s="2"/>
      <c r="O976" s="10"/>
      <c r="P976" s="10"/>
      <c r="Q976" s="10"/>
      <c r="R976" s="10"/>
      <c r="T976" s="19"/>
    </row>
    <row r="977" spans="2:20">
      <c r="B977" s="10"/>
      <c r="C977" s="10"/>
      <c r="D977" s="10"/>
      <c r="E977" s="10"/>
      <c r="F977" s="10"/>
      <c r="G977" s="10"/>
      <c r="H977" s="10"/>
      <c r="I977" s="2"/>
      <c r="J977" s="2"/>
      <c r="K977" s="2"/>
      <c r="L977" s="2"/>
      <c r="M977" s="2"/>
      <c r="N977" s="2"/>
      <c r="O977" s="10"/>
      <c r="P977" s="10"/>
      <c r="Q977" s="10"/>
      <c r="R977" s="10"/>
      <c r="T977" s="19"/>
    </row>
    <row r="978" spans="2:20">
      <c r="B978" s="10"/>
      <c r="C978" s="10"/>
      <c r="D978" s="10"/>
      <c r="E978" s="10"/>
      <c r="F978" s="10"/>
      <c r="G978" s="10"/>
      <c r="H978" s="10"/>
      <c r="I978" s="2"/>
      <c r="J978" s="2"/>
      <c r="K978" s="2"/>
      <c r="L978" s="2"/>
      <c r="M978" s="2"/>
      <c r="N978" s="2"/>
      <c r="O978" s="10"/>
      <c r="P978" s="10"/>
      <c r="Q978" s="10"/>
      <c r="R978" s="10"/>
      <c r="T978" s="19"/>
    </row>
    <row r="979" spans="2:20">
      <c r="B979" s="10"/>
      <c r="C979" s="10"/>
      <c r="D979" s="10"/>
      <c r="E979" s="10"/>
      <c r="F979" s="10"/>
      <c r="G979" s="10"/>
      <c r="H979" s="10"/>
      <c r="I979" s="2"/>
      <c r="J979" s="2"/>
      <c r="K979" s="2"/>
      <c r="L979" s="2"/>
      <c r="M979" s="2"/>
      <c r="N979" s="2"/>
      <c r="O979" s="10"/>
      <c r="P979" s="10"/>
      <c r="Q979" s="10"/>
      <c r="R979" s="10"/>
      <c r="T979" s="19"/>
    </row>
    <row r="980" spans="2:20">
      <c r="B980" s="10"/>
      <c r="C980" s="10"/>
      <c r="D980" s="10"/>
      <c r="E980" s="10"/>
      <c r="F980" s="10"/>
      <c r="G980" s="10"/>
      <c r="H980" s="10"/>
      <c r="I980" s="2"/>
      <c r="J980" s="2"/>
      <c r="K980" s="2"/>
      <c r="L980" s="2"/>
      <c r="M980" s="2"/>
      <c r="N980" s="2"/>
      <c r="O980" s="10"/>
      <c r="P980" s="10"/>
      <c r="Q980" s="10"/>
      <c r="R980" s="10"/>
      <c r="T980" s="19"/>
    </row>
    <row r="981" spans="2:20">
      <c r="B981" s="10"/>
      <c r="C981" s="10"/>
      <c r="D981" s="10"/>
      <c r="E981" s="10"/>
      <c r="F981" s="10"/>
      <c r="G981" s="10"/>
      <c r="H981" s="10"/>
      <c r="I981" s="2"/>
      <c r="J981" s="2"/>
      <c r="K981" s="2"/>
      <c r="L981" s="2"/>
      <c r="M981" s="2"/>
      <c r="N981" s="2"/>
      <c r="O981" s="10"/>
      <c r="P981" s="10"/>
      <c r="Q981" s="10"/>
      <c r="R981" s="10"/>
      <c r="T981" s="19"/>
    </row>
    <row r="982" spans="2:20">
      <c r="B982" s="10"/>
      <c r="C982" s="10"/>
      <c r="D982" s="10"/>
      <c r="E982" s="10"/>
      <c r="F982" s="10"/>
      <c r="G982" s="10"/>
      <c r="H982" s="10"/>
      <c r="I982" s="2"/>
      <c r="J982" s="2"/>
      <c r="K982" s="2"/>
      <c r="L982" s="2"/>
      <c r="M982" s="2"/>
      <c r="N982" s="2"/>
      <c r="O982" s="10"/>
      <c r="P982" s="10"/>
      <c r="Q982" s="10"/>
      <c r="R982" s="10"/>
      <c r="T982" s="19"/>
    </row>
    <row r="983" spans="2:20">
      <c r="B983" s="10"/>
      <c r="C983" s="10"/>
      <c r="D983" s="10"/>
      <c r="E983" s="10"/>
      <c r="F983" s="10"/>
      <c r="G983" s="10"/>
      <c r="H983" s="10"/>
      <c r="I983" s="2"/>
      <c r="J983" s="2"/>
      <c r="K983" s="2"/>
      <c r="L983" s="2"/>
      <c r="M983" s="2"/>
      <c r="N983" s="2"/>
      <c r="O983" s="10"/>
      <c r="P983" s="10"/>
      <c r="Q983" s="10"/>
      <c r="R983" s="10"/>
      <c r="T983" s="19"/>
    </row>
    <row r="984" spans="2:20">
      <c r="B984" s="10"/>
      <c r="C984" s="10"/>
      <c r="D984" s="10"/>
      <c r="E984" s="10"/>
      <c r="F984" s="10"/>
      <c r="G984" s="10"/>
      <c r="H984" s="10"/>
      <c r="I984" s="2"/>
      <c r="J984" s="2"/>
      <c r="K984" s="2"/>
      <c r="L984" s="2"/>
      <c r="M984" s="2"/>
      <c r="N984" s="2"/>
      <c r="O984" s="10"/>
      <c r="P984" s="10"/>
      <c r="Q984" s="10"/>
      <c r="R984" s="10"/>
      <c r="T984" s="19"/>
    </row>
    <row r="985" spans="2:20">
      <c r="B985" s="10"/>
      <c r="C985" s="10"/>
      <c r="D985" s="10"/>
      <c r="E985" s="10"/>
      <c r="F985" s="10"/>
      <c r="G985" s="10"/>
      <c r="H985" s="10"/>
      <c r="I985" s="2"/>
      <c r="J985" s="2"/>
      <c r="K985" s="2"/>
      <c r="L985" s="2"/>
      <c r="M985" s="2"/>
      <c r="N985" s="2"/>
      <c r="O985" s="10"/>
      <c r="P985" s="10"/>
      <c r="Q985" s="10"/>
      <c r="R985" s="10"/>
      <c r="T985" s="19"/>
    </row>
    <row r="986" spans="2:20">
      <c r="B986" s="10"/>
      <c r="C986" s="10"/>
      <c r="D986" s="10"/>
      <c r="E986" s="10"/>
      <c r="F986" s="10"/>
      <c r="G986" s="10"/>
      <c r="H986" s="10"/>
      <c r="I986" s="2"/>
      <c r="J986" s="2"/>
      <c r="K986" s="2"/>
      <c r="L986" s="2"/>
      <c r="M986" s="2"/>
      <c r="N986" s="2"/>
      <c r="O986" s="10"/>
      <c r="P986" s="10"/>
      <c r="Q986" s="10"/>
      <c r="R986" s="10"/>
      <c r="T986" s="19"/>
    </row>
    <row r="987" spans="2:20">
      <c r="B987" s="10"/>
      <c r="C987" s="10"/>
      <c r="D987" s="10"/>
      <c r="E987" s="10"/>
      <c r="F987" s="10"/>
      <c r="G987" s="10"/>
      <c r="H987" s="10"/>
      <c r="I987" s="2"/>
      <c r="J987" s="2"/>
      <c r="K987" s="2"/>
      <c r="L987" s="2"/>
      <c r="M987" s="2"/>
      <c r="N987" s="2"/>
      <c r="O987" s="10"/>
      <c r="P987" s="10"/>
      <c r="Q987" s="10"/>
      <c r="R987" s="10"/>
      <c r="T987" s="19"/>
    </row>
    <row r="988" spans="2:20">
      <c r="B988" s="10"/>
      <c r="C988" s="10"/>
      <c r="D988" s="10"/>
      <c r="E988" s="10"/>
      <c r="F988" s="10"/>
      <c r="G988" s="10"/>
      <c r="H988" s="10"/>
      <c r="I988" s="2"/>
      <c r="J988" s="2"/>
      <c r="K988" s="2"/>
      <c r="L988" s="2"/>
      <c r="M988" s="2"/>
      <c r="N988" s="2"/>
      <c r="O988" s="10"/>
      <c r="P988" s="10"/>
      <c r="Q988" s="10"/>
      <c r="R988" s="10"/>
      <c r="T988" s="19"/>
    </row>
    <row r="989" spans="2:20">
      <c r="B989" s="10"/>
      <c r="C989" s="10"/>
      <c r="D989" s="10"/>
      <c r="E989" s="10"/>
      <c r="F989" s="10"/>
      <c r="G989" s="10"/>
      <c r="H989" s="10"/>
      <c r="I989" s="2"/>
      <c r="J989" s="2"/>
      <c r="K989" s="2"/>
      <c r="L989" s="2"/>
      <c r="M989" s="2"/>
      <c r="N989" s="2"/>
      <c r="O989" s="10"/>
      <c r="P989" s="10"/>
      <c r="Q989" s="10"/>
      <c r="R989" s="10"/>
      <c r="T989" s="19"/>
    </row>
    <row r="990" spans="2:20">
      <c r="B990" s="10"/>
      <c r="C990" s="10"/>
      <c r="D990" s="10"/>
      <c r="E990" s="10"/>
      <c r="F990" s="10"/>
      <c r="G990" s="10"/>
      <c r="H990" s="10"/>
      <c r="I990" s="2"/>
      <c r="J990" s="2"/>
      <c r="K990" s="2"/>
      <c r="L990" s="2"/>
      <c r="M990" s="2"/>
      <c r="N990" s="2"/>
      <c r="O990" s="10"/>
      <c r="P990" s="10"/>
      <c r="Q990" s="10"/>
      <c r="R990" s="10"/>
      <c r="T990" s="19"/>
    </row>
    <row r="991" spans="2:20">
      <c r="B991" s="10"/>
      <c r="C991" s="10"/>
      <c r="D991" s="10"/>
      <c r="E991" s="10"/>
      <c r="F991" s="10"/>
      <c r="G991" s="10"/>
      <c r="H991" s="10"/>
      <c r="I991" s="2"/>
      <c r="J991" s="2"/>
      <c r="K991" s="2"/>
      <c r="L991" s="2"/>
      <c r="M991" s="2"/>
      <c r="N991" s="2"/>
      <c r="O991" s="10"/>
      <c r="P991" s="10"/>
      <c r="Q991" s="10"/>
      <c r="R991" s="10"/>
      <c r="T991" s="19"/>
    </row>
    <row r="992" spans="2:20">
      <c r="B992" s="10"/>
      <c r="C992" s="10"/>
      <c r="D992" s="10"/>
      <c r="E992" s="10"/>
      <c r="F992" s="10"/>
      <c r="G992" s="10"/>
      <c r="H992" s="10"/>
      <c r="I992" s="2"/>
      <c r="J992" s="2"/>
      <c r="K992" s="2"/>
      <c r="L992" s="2"/>
      <c r="M992" s="2"/>
      <c r="N992" s="2"/>
      <c r="O992" s="10"/>
      <c r="P992" s="10"/>
      <c r="Q992" s="10"/>
      <c r="R992" s="10"/>
      <c r="T992" s="19"/>
    </row>
    <row r="993" spans="2:20">
      <c r="B993" s="10"/>
      <c r="C993" s="10"/>
      <c r="D993" s="10"/>
      <c r="E993" s="10"/>
      <c r="F993" s="10"/>
      <c r="G993" s="10"/>
      <c r="H993" s="10"/>
      <c r="I993" s="2"/>
      <c r="J993" s="2"/>
      <c r="K993" s="2"/>
      <c r="L993" s="2"/>
      <c r="M993" s="2"/>
      <c r="N993" s="2"/>
      <c r="O993" s="10"/>
      <c r="P993" s="10"/>
      <c r="Q993" s="10"/>
      <c r="R993" s="10"/>
      <c r="T993" s="19"/>
    </row>
    <row r="994" spans="2:20">
      <c r="B994" s="10"/>
      <c r="C994" s="10"/>
      <c r="D994" s="10"/>
      <c r="E994" s="10"/>
      <c r="F994" s="10"/>
      <c r="G994" s="10"/>
      <c r="H994" s="10"/>
      <c r="I994" s="2"/>
      <c r="J994" s="2"/>
      <c r="K994" s="2"/>
      <c r="L994" s="2"/>
      <c r="M994" s="2"/>
      <c r="N994" s="2"/>
      <c r="O994" s="10"/>
      <c r="P994" s="10"/>
      <c r="Q994" s="10"/>
      <c r="R994" s="10"/>
      <c r="T994" s="19"/>
    </row>
    <row r="995" spans="2:20">
      <c r="B995" s="10"/>
      <c r="C995" s="10"/>
      <c r="D995" s="10"/>
      <c r="E995" s="10"/>
      <c r="F995" s="10"/>
      <c r="G995" s="10"/>
      <c r="H995" s="10"/>
      <c r="I995" s="2"/>
      <c r="J995" s="2"/>
      <c r="K995" s="2"/>
      <c r="L995" s="2"/>
      <c r="M995" s="2"/>
      <c r="N995" s="2"/>
      <c r="O995" s="10"/>
      <c r="P995" s="10"/>
      <c r="Q995" s="10"/>
      <c r="R995" s="10"/>
      <c r="T995" s="19"/>
    </row>
    <row r="996" spans="2:20">
      <c r="B996" s="10"/>
      <c r="C996" s="10"/>
      <c r="D996" s="10"/>
      <c r="E996" s="10"/>
      <c r="F996" s="10"/>
      <c r="G996" s="10"/>
      <c r="H996" s="10"/>
      <c r="I996" s="2"/>
      <c r="J996" s="2"/>
      <c r="K996" s="2"/>
      <c r="L996" s="2"/>
      <c r="M996" s="2"/>
      <c r="N996" s="2"/>
      <c r="O996" s="10"/>
      <c r="P996" s="10"/>
      <c r="Q996" s="10"/>
      <c r="R996" s="10"/>
      <c r="T996" s="19"/>
    </row>
    <row r="997" spans="2:20">
      <c r="B997" s="10"/>
      <c r="C997" s="10"/>
      <c r="D997" s="10"/>
      <c r="E997" s="10"/>
      <c r="F997" s="10"/>
      <c r="G997" s="10"/>
      <c r="H997" s="10"/>
      <c r="I997" s="2"/>
      <c r="J997" s="2"/>
      <c r="K997" s="2"/>
      <c r="L997" s="2"/>
      <c r="M997" s="2"/>
      <c r="N997" s="2"/>
      <c r="O997" s="10"/>
      <c r="P997" s="10"/>
      <c r="Q997" s="10"/>
      <c r="R997" s="10"/>
      <c r="T997" s="19"/>
    </row>
    <row r="998" spans="2:20">
      <c r="B998" s="10"/>
      <c r="C998" s="10"/>
      <c r="D998" s="10"/>
      <c r="E998" s="10"/>
      <c r="F998" s="10"/>
      <c r="G998" s="10"/>
      <c r="H998" s="10"/>
      <c r="I998" s="2"/>
      <c r="J998" s="2"/>
      <c r="K998" s="2"/>
      <c r="L998" s="2"/>
      <c r="M998" s="2"/>
      <c r="N998" s="2"/>
      <c r="O998" s="10"/>
      <c r="P998" s="10"/>
      <c r="Q998" s="10"/>
      <c r="R998" s="10"/>
      <c r="T998" s="19"/>
    </row>
    <row r="999" spans="2:20">
      <c r="B999" s="10"/>
      <c r="C999" s="10"/>
      <c r="D999" s="10"/>
      <c r="E999" s="10"/>
      <c r="F999" s="10"/>
      <c r="G999" s="10"/>
      <c r="H999" s="10"/>
      <c r="I999" s="2"/>
      <c r="J999" s="2"/>
      <c r="K999" s="2"/>
      <c r="L999" s="2"/>
      <c r="M999" s="2"/>
      <c r="N999" s="2"/>
      <c r="O999" s="10"/>
      <c r="P999" s="10"/>
      <c r="Q999" s="10"/>
      <c r="R999" s="10"/>
      <c r="T999" s="19"/>
    </row>
    <row r="1000" spans="2:20">
      <c r="B1000" s="10"/>
      <c r="C1000" s="10"/>
      <c r="D1000" s="10"/>
      <c r="E1000" s="10"/>
      <c r="F1000" s="10"/>
      <c r="G1000" s="10"/>
      <c r="H1000" s="10"/>
      <c r="I1000" s="2"/>
      <c r="J1000" s="2"/>
      <c r="K1000" s="2"/>
      <c r="L1000" s="2"/>
      <c r="M1000" s="2"/>
      <c r="N1000" s="2"/>
      <c r="O1000" s="10"/>
      <c r="P1000" s="10"/>
      <c r="Q1000" s="10"/>
      <c r="R1000" s="10"/>
      <c r="T1000" s="19"/>
    </row>
    <row r="1001" spans="2:20">
      <c r="B1001" s="10"/>
      <c r="C1001" s="10"/>
      <c r="D1001" s="10"/>
      <c r="E1001" s="10"/>
      <c r="F1001" s="10"/>
      <c r="G1001" s="10"/>
      <c r="H1001" s="10"/>
      <c r="I1001" s="2"/>
      <c r="J1001" s="2"/>
      <c r="K1001" s="2"/>
      <c r="L1001" s="2"/>
      <c r="M1001" s="2"/>
      <c r="N1001" s="2"/>
      <c r="O1001" s="10"/>
      <c r="P1001" s="10"/>
      <c r="Q1001" s="10"/>
      <c r="R1001" s="10"/>
      <c r="T1001" s="19"/>
    </row>
    <row r="1002" spans="2:20">
      <c r="B1002" s="10"/>
      <c r="C1002" s="10"/>
      <c r="D1002" s="10"/>
      <c r="E1002" s="10"/>
      <c r="F1002" s="10"/>
      <c r="G1002" s="10"/>
      <c r="H1002" s="10"/>
      <c r="I1002" s="2"/>
      <c r="J1002" s="2"/>
      <c r="K1002" s="2"/>
      <c r="L1002" s="2"/>
      <c r="M1002" s="2"/>
      <c r="N1002" s="2"/>
      <c r="O1002" s="10"/>
      <c r="P1002" s="10"/>
      <c r="Q1002" s="10"/>
      <c r="R1002" s="10"/>
      <c r="T1002" s="19"/>
    </row>
    <row r="1003" spans="2:20">
      <c r="B1003" s="10"/>
      <c r="C1003" s="10"/>
      <c r="D1003" s="10"/>
      <c r="E1003" s="10"/>
      <c r="F1003" s="10"/>
      <c r="G1003" s="10"/>
      <c r="H1003" s="10"/>
      <c r="I1003" s="2"/>
      <c r="J1003" s="2"/>
      <c r="K1003" s="2"/>
      <c r="L1003" s="2"/>
      <c r="M1003" s="2"/>
      <c r="N1003" s="2"/>
      <c r="O1003" s="10"/>
      <c r="P1003" s="10"/>
      <c r="Q1003" s="10"/>
      <c r="R1003" s="10"/>
      <c r="T1003" s="19"/>
    </row>
    <row r="1004" spans="2:20">
      <c r="B1004" s="10"/>
      <c r="C1004" s="10"/>
      <c r="D1004" s="10"/>
      <c r="E1004" s="10"/>
      <c r="F1004" s="10"/>
      <c r="G1004" s="10"/>
      <c r="H1004" s="10"/>
      <c r="I1004" s="2"/>
      <c r="J1004" s="2"/>
      <c r="K1004" s="2"/>
      <c r="L1004" s="2"/>
      <c r="M1004" s="2"/>
      <c r="N1004" s="2"/>
      <c r="O1004" s="10"/>
      <c r="P1004" s="10"/>
      <c r="Q1004" s="10"/>
      <c r="R1004" s="10"/>
      <c r="T1004" s="19"/>
    </row>
    <row r="1005" spans="2:20">
      <c r="B1005" s="10"/>
      <c r="C1005" s="10"/>
      <c r="D1005" s="10"/>
      <c r="E1005" s="10"/>
      <c r="F1005" s="10"/>
      <c r="G1005" s="10"/>
      <c r="H1005" s="10"/>
      <c r="I1005" s="2"/>
      <c r="J1005" s="2"/>
      <c r="K1005" s="2"/>
      <c r="L1005" s="2"/>
      <c r="M1005" s="2"/>
      <c r="N1005" s="2"/>
      <c r="O1005" s="10"/>
      <c r="P1005" s="10"/>
      <c r="Q1005" s="10"/>
      <c r="R1005" s="10"/>
      <c r="T1005" s="19"/>
    </row>
    <row r="1006" spans="2:20">
      <c r="B1006" s="10"/>
      <c r="C1006" s="10"/>
      <c r="D1006" s="10"/>
      <c r="E1006" s="10"/>
      <c r="F1006" s="10"/>
      <c r="G1006" s="10"/>
      <c r="H1006" s="10"/>
      <c r="I1006" s="2"/>
      <c r="J1006" s="2"/>
      <c r="K1006" s="2"/>
      <c r="L1006" s="2"/>
      <c r="M1006" s="2"/>
      <c r="N1006" s="2"/>
      <c r="O1006" s="10"/>
      <c r="P1006" s="10"/>
      <c r="Q1006" s="10"/>
      <c r="R1006" s="10"/>
      <c r="T1006" s="19"/>
    </row>
    <row r="1007" spans="2:20">
      <c r="B1007" s="10"/>
      <c r="C1007" s="10"/>
      <c r="D1007" s="10"/>
      <c r="E1007" s="10"/>
      <c r="F1007" s="10"/>
      <c r="G1007" s="10"/>
      <c r="H1007" s="10"/>
      <c r="I1007" s="2"/>
      <c r="J1007" s="2"/>
      <c r="K1007" s="2"/>
      <c r="L1007" s="2"/>
      <c r="M1007" s="2"/>
      <c r="N1007" s="2"/>
      <c r="O1007" s="10"/>
      <c r="P1007" s="10"/>
      <c r="Q1007" s="10"/>
      <c r="R1007" s="10"/>
      <c r="T1007" s="19"/>
    </row>
    <row r="1008" spans="2:20">
      <c r="B1008" s="10"/>
      <c r="C1008" s="10"/>
      <c r="D1008" s="10"/>
      <c r="E1008" s="10"/>
      <c r="F1008" s="10"/>
      <c r="G1008" s="10"/>
      <c r="H1008" s="10"/>
      <c r="I1008" s="2"/>
      <c r="J1008" s="2"/>
      <c r="K1008" s="2"/>
      <c r="L1008" s="2"/>
      <c r="M1008" s="2"/>
      <c r="N1008" s="2"/>
      <c r="O1008" s="10"/>
      <c r="P1008" s="10"/>
      <c r="Q1008" s="10"/>
      <c r="R1008" s="10"/>
      <c r="T1008" s="19"/>
    </row>
    <row r="1009" spans="2:20">
      <c r="B1009" s="10"/>
      <c r="C1009" s="10"/>
      <c r="D1009" s="10"/>
      <c r="E1009" s="10"/>
      <c r="F1009" s="10"/>
      <c r="G1009" s="10"/>
      <c r="H1009" s="10"/>
      <c r="I1009" s="2"/>
      <c r="J1009" s="2"/>
      <c r="K1009" s="2"/>
      <c r="L1009" s="2"/>
      <c r="M1009" s="2"/>
      <c r="N1009" s="2"/>
      <c r="O1009" s="10"/>
      <c r="P1009" s="10"/>
      <c r="Q1009" s="10"/>
      <c r="R1009" s="10"/>
      <c r="T1009" s="19"/>
    </row>
    <row r="1010" spans="2:20">
      <c r="B1010" s="10"/>
      <c r="C1010" s="10"/>
      <c r="D1010" s="10"/>
      <c r="E1010" s="10"/>
      <c r="F1010" s="10"/>
      <c r="G1010" s="10"/>
      <c r="H1010" s="10"/>
      <c r="I1010" s="2"/>
      <c r="J1010" s="2"/>
      <c r="K1010" s="2"/>
      <c r="L1010" s="2"/>
      <c r="M1010" s="2"/>
      <c r="N1010" s="2"/>
      <c r="O1010" s="10"/>
      <c r="P1010" s="10"/>
      <c r="Q1010" s="10"/>
      <c r="R1010" s="10"/>
      <c r="T1010" s="19"/>
    </row>
    <row r="1011" spans="2:20">
      <c r="B1011" s="10"/>
      <c r="C1011" s="10"/>
      <c r="D1011" s="10"/>
      <c r="E1011" s="10"/>
      <c r="F1011" s="10"/>
      <c r="G1011" s="10"/>
      <c r="H1011" s="10"/>
      <c r="I1011" s="2"/>
      <c r="J1011" s="2"/>
      <c r="K1011" s="2"/>
      <c r="L1011" s="2"/>
      <c r="M1011" s="2"/>
      <c r="N1011" s="2"/>
      <c r="O1011" s="10"/>
      <c r="P1011" s="10"/>
      <c r="Q1011" s="10"/>
      <c r="R1011" s="10"/>
      <c r="T1011" s="19"/>
    </row>
    <row r="1012" spans="2:20">
      <c r="B1012" s="10"/>
      <c r="C1012" s="10"/>
      <c r="D1012" s="10"/>
      <c r="E1012" s="10"/>
      <c r="F1012" s="10"/>
      <c r="G1012" s="10"/>
      <c r="H1012" s="10"/>
      <c r="I1012" s="2"/>
      <c r="J1012" s="2"/>
      <c r="K1012" s="2"/>
      <c r="L1012" s="2"/>
      <c r="M1012" s="2"/>
      <c r="N1012" s="2"/>
      <c r="O1012" s="10"/>
      <c r="P1012" s="10"/>
      <c r="Q1012" s="10"/>
      <c r="R1012" s="10"/>
      <c r="T1012" s="19"/>
    </row>
    <row r="1013" spans="2:20">
      <c r="B1013" s="10"/>
      <c r="C1013" s="10"/>
      <c r="D1013" s="10"/>
      <c r="E1013" s="10"/>
      <c r="F1013" s="10"/>
      <c r="G1013" s="10"/>
      <c r="H1013" s="10"/>
      <c r="I1013" s="2"/>
      <c r="J1013" s="2"/>
      <c r="K1013" s="2"/>
      <c r="L1013" s="2"/>
      <c r="M1013" s="2"/>
      <c r="N1013" s="2"/>
      <c r="O1013" s="10"/>
      <c r="P1013" s="10"/>
      <c r="Q1013" s="10"/>
      <c r="R1013" s="10"/>
      <c r="T1013" s="19"/>
    </row>
    <row r="1014" spans="2:20">
      <c r="B1014" s="10"/>
      <c r="C1014" s="10"/>
      <c r="D1014" s="10"/>
      <c r="E1014" s="10"/>
      <c r="F1014" s="10"/>
      <c r="G1014" s="10"/>
      <c r="H1014" s="10"/>
      <c r="I1014" s="2"/>
      <c r="J1014" s="2"/>
      <c r="K1014" s="2"/>
      <c r="L1014" s="2"/>
      <c r="M1014" s="2"/>
      <c r="N1014" s="2"/>
      <c r="O1014" s="10"/>
      <c r="P1014" s="10"/>
      <c r="Q1014" s="10"/>
      <c r="R1014" s="10"/>
      <c r="T1014" s="19"/>
    </row>
    <row r="1015" spans="2:20">
      <c r="B1015" s="10"/>
      <c r="C1015" s="10"/>
      <c r="D1015" s="10"/>
      <c r="E1015" s="10"/>
      <c r="F1015" s="10"/>
      <c r="G1015" s="10"/>
      <c r="H1015" s="10"/>
      <c r="I1015" s="2"/>
      <c r="J1015" s="2"/>
      <c r="K1015" s="2"/>
      <c r="L1015" s="2"/>
      <c r="M1015" s="2"/>
      <c r="N1015" s="2"/>
      <c r="O1015" s="10"/>
      <c r="P1015" s="10"/>
      <c r="Q1015" s="10"/>
      <c r="R1015" s="10"/>
      <c r="T1015" s="19"/>
    </row>
    <row r="1016" spans="2:20">
      <c r="B1016" s="10"/>
      <c r="C1016" s="10"/>
      <c r="D1016" s="10"/>
      <c r="E1016" s="10"/>
      <c r="F1016" s="10"/>
      <c r="G1016" s="10"/>
      <c r="H1016" s="10"/>
      <c r="I1016" s="2"/>
      <c r="J1016" s="2"/>
      <c r="K1016" s="2"/>
      <c r="L1016" s="2"/>
      <c r="M1016" s="2"/>
      <c r="N1016" s="2"/>
      <c r="O1016" s="10"/>
      <c r="P1016" s="10"/>
      <c r="Q1016" s="10"/>
      <c r="R1016" s="10"/>
      <c r="T1016" s="19"/>
    </row>
    <row r="1017" spans="2:20">
      <c r="B1017" s="10"/>
      <c r="C1017" s="10"/>
      <c r="D1017" s="10"/>
      <c r="E1017" s="10"/>
      <c r="F1017" s="10"/>
      <c r="G1017" s="10"/>
      <c r="H1017" s="10"/>
      <c r="I1017" s="2"/>
      <c r="J1017" s="2"/>
      <c r="K1017" s="2"/>
      <c r="L1017" s="2"/>
      <c r="M1017" s="2"/>
      <c r="N1017" s="2"/>
      <c r="O1017" s="10"/>
      <c r="P1017" s="10"/>
      <c r="Q1017" s="10"/>
      <c r="R1017" s="10"/>
      <c r="T1017" s="19"/>
    </row>
    <row r="1018" spans="2:20">
      <c r="B1018" s="10"/>
      <c r="C1018" s="10"/>
      <c r="D1018" s="10"/>
      <c r="E1018" s="10"/>
      <c r="F1018" s="10"/>
      <c r="G1018" s="10"/>
      <c r="H1018" s="10"/>
      <c r="I1018" s="2"/>
      <c r="J1018" s="2"/>
      <c r="K1018" s="2"/>
      <c r="L1018" s="2"/>
      <c r="M1018" s="2"/>
      <c r="N1018" s="2"/>
      <c r="O1018" s="10"/>
      <c r="P1018" s="10"/>
      <c r="Q1018" s="10"/>
      <c r="R1018" s="10"/>
      <c r="T1018" s="19"/>
    </row>
    <row r="1019" spans="2:20">
      <c r="B1019" s="10"/>
      <c r="C1019" s="10"/>
      <c r="D1019" s="10"/>
      <c r="E1019" s="10"/>
      <c r="F1019" s="10"/>
      <c r="G1019" s="10"/>
      <c r="H1019" s="10"/>
      <c r="I1019" s="2"/>
      <c r="J1019" s="2"/>
      <c r="K1019" s="2"/>
      <c r="L1019" s="2"/>
      <c r="M1019" s="2"/>
      <c r="N1019" s="2"/>
      <c r="O1019" s="10"/>
      <c r="P1019" s="10"/>
      <c r="Q1019" s="10"/>
      <c r="R1019" s="10"/>
      <c r="T1019" s="19"/>
    </row>
    <row r="1020" spans="2:20">
      <c r="B1020" s="10"/>
      <c r="C1020" s="10"/>
      <c r="D1020" s="10"/>
      <c r="E1020" s="10"/>
      <c r="F1020" s="10"/>
      <c r="G1020" s="10"/>
      <c r="H1020" s="10"/>
      <c r="I1020" s="2"/>
      <c r="J1020" s="2"/>
      <c r="K1020" s="2"/>
      <c r="L1020" s="2"/>
      <c r="M1020" s="2"/>
      <c r="N1020" s="2"/>
      <c r="O1020" s="10"/>
      <c r="P1020" s="10"/>
      <c r="Q1020" s="10"/>
      <c r="R1020" s="10"/>
      <c r="T1020" s="19"/>
    </row>
    <row r="1021" spans="2:20">
      <c r="B1021" s="10"/>
      <c r="C1021" s="10"/>
      <c r="D1021" s="10"/>
      <c r="E1021" s="10"/>
      <c r="F1021" s="10"/>
      <c r="G1021" s="10"/>
      <c r="H1021" s="10"/>
      <c r="I1021" s="2"/>
      <c r="J1021" s="2"/>
      <c r="K1021" s="2"/>
      <c r="L1021" s="2"/>
      <c r="M1021" s="2"/>
      <c r="N1021" s="2"/>
      <c r="O1021" s="10"/>
      <c r="P1021" s="10"/>
      <c r="Q1021" s="10"/>
      <c r="R1021" s="10"/>
      <c r="T1021" s="19"/>
    </row>
    <row r="1022" spans="2:20">
      <c r="B1022" s="10"/>
      <c r="C1022" s="10"/>
      <c r="D1022" s="10"/>
      <c r="E1022" s="10"/>
      <c r="F1022" s="10"/>
      <c r="G1022" s="10"/>
      <c r="H1022" s="10"/>
      <c r="I1022" s="2"/>
      <c r="J1022" s="2"/>
      <c r="K1022" s="2"/>
      <c r="L1022" s="2"/>
      <c r="M1022" s="2"/>
      <c r="N1022" s="2"/>
      <c r="O1022" s="10"/>
      <c r="P1022" s="10"/>
      <c r="Q1022" s="10"/>
      <c r="R1022" s="10"/>
      <c r="T1022" s="19"/>
    </row>
    <row r="1023" spans="2:20">
      <c r="B1023" s="10"/>
      <c r="C1023" s="10"/>
      <c r="D1023" s="10"/>
      <c r="E1023" s="10"/>
      <c r="F1023" s="10"/>
      <c r="G1023" s="10"/>
      <c r="H1023" s="10"/>
      <c r="I1023" s="2"/>
      <c r="J1023" s="2"/>
      <c r="K1023" s="2"/>
      <c r="L1023" s="2"/>
      <c r="M1023" s="2"/>
      <c r="N1023" s="2"/>
      <c r="O1023" s="10"/>
      <c r="P1023" s="10"/>
      <c r="Q1023" s="10"/>
      <c r="R1023" s="10"/>
      <c r="T1023" s="19"/>
    </row>
    <row r="1024" spans="2:20">
      <c r="B1024" s="10"/>
      <c r="C1024" s="10"/>
      <c r="D1024" s="10"/>
      <c r="E1024" s="10"/>
      <c r="F1024" s="10"/>
      <c r="G1024" s="10"/>
      <c r="H1024" s="10"/>
      <c r="I1024" s="2"/>
      <c r="J1024" s="2"/>
      <c r="K1024" s="2"/>
      <c r="L1024" s="2"/>
      <c r="M1024" s="2"/>
      <c r="N1024" s="2"/>
      <c r="O1024" s="10"/>
      <c r="P1024" s="10"/>
      <c r="Q1024" s="10"/>
      <c r="R1024" s="10"/>
      <c r="T1024" s="19"/>
    </row>
  </sheetData>
  <sheetProtection selectLockedCells="1"/>
  <pageMargins left="0.25" right="0.25" top="0.75" bottom="0.75" header="0.3" footer="0.3"/>
  <pageSetup paperSize="8" scale="68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4" tint="-0.249977111117893"/>
  </sheetPr>
  <dimension ref="C5:E11"/>
  <sheetViews>
    <sheetView zoomScale="85" zoomScaleNormal="85" workbookViewId="0">
      <selection activeCell="E10" sqref="E10"/>
    </sheetView>
  </sheetViews>
  <sheetFormatPr baseColWidth="10" defaultRowHeight="15"/>
  <cols>
    <col min="3" max="3" width="16.7109375" customWidth="1"/>
    <col min="5" max="5" width="32.5703125" customWidth="1"/>
  </cols>
  <sheetData>
    <row r="5" spans="3:5" ht="13.15" customHeight="1">
      <c r="C5" s="3" t="s">
        <v>1664</v>
      </c>
      <c r="D5" s="3" t="s">
        <v>247</v>
      </c>
      <c r="E5" t="s">
        <v>2399</v>
      </c>
    </row>
    <row r="6" spans="3:5" ht="13.15" customHeight="1">
      <c r="C6" s="3" t="s">
        <v>1695</v>
      </c>
      <c r="D6" s="3" t="s">
        <v>245</v>
      </c>
      <c r="E6" t="s">
        <v>2398</v>
      </c>
    </row>
    <row r="7" spans="3:5" ht="13.15" customHeight="1">
      <c r="C7" s="3" t="s">
        <v>13</v>
      </c>
      <c r="D7" s="3" t="s">
        <v>249</v>
      </c>
      <c r="E7" t="s">
        <v>2397</v>
      </c>
    </row>
    <row r="8" spans="3:5" ht="13.15" customHeight="1">
      <c r="C8" s="3"/>
      <c r="D8" s="3" t="s">
        <v>248</v>
      </c>
      <c r="E8" t="s">
        <v>2400</v>
      </c>
    </row>
    <row r="9" spans="3:5" ht="13.15" customHeight="1">
      <c r="C9" s="3"/>
      <c r="D9" s="3" t="s">
        <v>246</v>
      </c>
      <c r="E9" t="s">
        <v>2401</v>
      </c>
    </row>
    <row r="10" spans="3:5" ht="13.15" customHeight="1">
      <c r="C10" s="3"/>
      <c r="E10" t="s">
        <v>2402</v>
      </c>
    </row>
    <row r="11" spans="3:5" ht="13.15" customHeight="1">
      <c r="C11" s="3"/>
    </row>
  </sheetData>
  <phoneticPr fontId="3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D2F9A9F9B08B499163038DD7588458" ma:contentTypeVersion="7" ma:contentTypeDescription="Crear nuevo documento." ma:contentTypeScope="" ma:versionID="bb8b1d0b45566d8b2807b0d2d123ead5">
  <xsd:schema xmlns:xsd="http://www.w3.org/2001/XMLSchema" xmlns:xs="http://www.w3.org/2001/XMLSchema" xmlns:p="http://schemas.microsoft.com/office/2006/metadata/properties" xmlns:ns3="522638fe-2fa7-4051-a6d3-7a34653d9198" targetNamespace="http://schemas.microsoft.com/office/2006/metadata/properties" ma:root="true" ma:fieldsID="0e482af7ebb07801ffc7e3a8ff6509a4" ns3:_="">
    <xsd:import namespace="522638fe-2fa7-4051-a6d3-7a34653d919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2638fe-2fa7-4051-a6d3-7a34653d91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D7CCA0A-88C0-42C2-9B71-03A2CA4C901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9580B21-9067-4BA4-9C6E-9DE4B284DEF7}">
  <ds:schemaRefs>
    <ds:schemaRef ds:uri="522638fe-2fa7-4051-a6d3-7a34653d9198"/>
    <ds:schemaRef ds:uri="http://purl.org/dc/elements/1.1/"/>
    <ds:schemaRef ds:uri="http://purl.org/dc/dcmitype/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CC72DDD-FB49-4DB0-9558-EC5FDC417368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522638fe-2fa7-4051-a6d3-7a34653d9198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MP-PROGR</vt:lpstr>
      <vt:lpstr>MP-CIERRE AVISOS</vt:lpstr>
      <vt:lpstr>COSTO MATERIAL</vt:lpstr>
      <vt:lpstr>DB-EQUIPOS GEN</vt:lpstr>
      <vt:lpstr>LISTAS</vt:lpstr>
      <vt:lpstr>'MP-PROGR'!Área_de_impresión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Tavara Navarro, Juan (Agrolmos S.A.)</dc:creator>
  <cp:lastModifiedBy>JUAN RAMIREZ</cp:lastModifiedBy>
  <cp:lastPrinted>2021-06-08T14:23:33Z</cp:lastPrinted>
  <dcterms:created xsi:type="dcterms:W3CDTF">2015-06-05T18:19:34Z</dcterms:created>
  <dcterms:modified xsi:type="dcterms:W3CDTF">2022-10-11T04:06:49Z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0x010100EED2F9A9F9B08B499163038DD7588458</vt:lpwstr>
  </property>
</Properties>
</file>